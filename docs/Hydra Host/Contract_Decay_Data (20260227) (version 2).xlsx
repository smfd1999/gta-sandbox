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ermacadreams-my.sharepoint.com/personal/smiranda_fermacadreams_com_mx/Documents/Escritorio/Fermaca Dreams/FDO/"/>
    </mc:Choice>
  </mc:AlternateContent>
  <xr:revisionPtr revIDLastSave="7" documentId="8_{22DB959F-0739-4860-8429-D843EB88C70D}" xr6:coauthVersionLast="47" xr6:coauthVersionMax="47" xr10:uidLastSave="{DE9ED695-C80D-47A1-8104-49F70F6C7C1E}"/>
  <bookViews>
    <workbookView xWindow="20370" yWindow="-120" windowWidth="29040" windowHeight="15840" xr2:uid="{00000000-000D-0000-FFFF-FFFF00000000}"/>
  </bookViews>
  <sheets>
    <sheet name="Invoice Reconciliation (Raw)" sheetId="1" r:id="rId1"/>
    <sheet name="Pivot" sheetId="5" r:id="rId2"/>
    <sheet name="ref" sheetId="4" r:id="rId3"/>
    <sheet name="Price Evolution" sheetId="6" r:id="rId4"/>
  </sheets>
  <definedNames>
    <definedName name="_xlnm._FilterDatabase" localSheetId="0" hidden="1">'Invoice Reconciliation (Raw)'!$A$1:$G$1818</definedName>
    <definedName name="_xlnm._FilterDatabase" localSheetId="2" hidden="1">ref!$B$2:$B$34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F61" i="5"/>
  <c r="G89" i="5"/>
  <c r="H1818" i="1"/>
  <c r="C642" i="1"/>
  <c r="H1817" i="1"/>
  <c r="C1544" i="1"/>
  <c r="H1816" i="1"/>
  <c r="C492" i="1"/>
  <c r="H1815" i="1"/>
  <c r="C1543" i="1"/>
  <c r="H1814" i="1"/>
  <c r="C303" i="1"/>
  <c r="H1813" i="1"/>
  <c r="C22" i="1"/>
  <c r="H1812" i="1"/>
  <c r="C641" i="1"/>
  <c r="H1811" i="1"/>
  <c r="C640" i="1"/>
  <c r="H1810" i="1"/>
  <c r="C21" i="1"/>
  <c r="H1809" i="1"/>
  <c r="C342" i="1"/>
  <c r="H1808" i="1"/>
  <c r="C160" i="1"/>
  <c r="H1807" i="1"/>
  <c r="C302" i="1"/>
  <c r="H1806" i="1"/>
  <c r="C1609" i="1"/>
  <c r="H1805" i="1"/>
  <c r="C341" i="1"/>
  <c r="H1804" i="1"/>
  <c r="C159" i="1"/>
  <c r="H1803" i="1"/>
  <c r="C301" i="1"/>
  <c r="H1802" i="1"/>
  <c r="C1608" i="1"/>
  <c r="H1801" i="1"/>
  <c r="C1542" i="1"/>
  <c r="H1800" i="1"/>
  <c r="C1541" i="1"/>
  <c r="H1799" i="1"/>
  <c r="C1540" i="1"/>
  <c r="H1798" i="1"/>
  <c r="C1539" i="1"/>
  <c r="H1797" i="1"/>
  <c r="C1538" i="1"/>
  <c r="H1796" i="1"/>
  <c r="C1537" i="1"/>
  <c r="H1795" i="1"/>
  <c r="C1607" i="1"/>
  <c r="H1794" i="1"/>
  <c r="C239" i="1"/>
  <c r="H1793" i="1"/>
  <c r="C1536" i="1"/>
  <c r="H1792" i="1"/>
  <c r="C1606" i="1"/>
  <c r="H1791" i="1"/>
  <c r="C1535" i="1"/>
  <c r="H1790" i="1"/>
  <c r="C244" i="1"/>
  <c r="H1789" i="1"/>
  <c r="C1534" i="1"/>
  <c r="H1788" i="1"/>
  <c r="C426" i="1"/>
  <c r="H1787" i="1"/>
  <c r="C1605" i="1"/>
  <c r="H1786" i="1"/>
  <c r="C639" i="1"/>
  <c r="H1785" i="1"/>
  <c r="C425" i="1"/>
  <c r="H1784" i="1"/>
  <c r="C638" i="1"/>
  <c r="H1783" i="1"/>
  <c r="C1604" i="1"/>
  <c r="H1782" i="1"/>
  <c r="C243" i="1"/>
  <c r="H1781" i="1"/>
  <c r="C1533" i="1"/>
  <c r="H1780" i="1"/>
  <c r="C1532" i="1"/>
  <c r="H1779" i="1"/>
  <c r="C1531" i="1"/>
  <c r="H1778" i="1"/>
  <c r="C1530" i="1"/>
  <c r="H1777" i="1"/>
  <c r="C1529" i="1"/>
  <c r="H1776" i="1"/>
  <c r="C1528" i="1"/>
  <c r="H1775" i="1"/>
  <c r="C1527" i="1"/>
  <c r="H1774" i="1"/>
  <c r="C1526" i="1"/>
  <c r="H1773" i="1"/>
  <c r="C424" i="1"/>
  <c r="H1772" i="1"/>
  <c r="C1525" i="1"/>
  <c r="H1771" i="1"/>
  <c r="C423" i="1"/>
  <c r="H1770" i="1"/>
  <c r="C300" i="1"/>
  <c r="H1769" i="1"/>
  <c r="C299" i="1"/>
  <c r="H1768" i="1"/>
  <c r="C1524" i="1"/>
  <c r="H1767" i="1"/>
  <c r="C298" i="1"/>
  <c r="H1766" i="1"/>
  <c r="C1523" i="1"/>
  <c r="H1765" i="1"/>
  <c r="C158" i="1"/>
  <c r="H1764" i="1"/>
  <c r="C1522" i="1"/>
  <c r="H1763" i="1"/>
  <c r="C637" i="1"/>
  <c r="H1762" i="1"/>
  <c r="C1521" i="1"/>
  <c r="H1761" i="1"/>
  <c r="C161" i="1"/>
  <c r="H1760" i="1"/>
  <c r="C636" i="1"/>
  <c r="H1759" i="1"/>
  <c r="C635" i="1"/>
  <c r="H1758" i="1"/>
  <c r="C1520" i="1"/>
  <c r="H1757" i="1"/>
  <c r="C44" i="1"/>
  <c r="H1756" i="1"/>
  <c r="C103" i="1"/>
  <c r="H1755" i="1"/>
  <c r="C1519" i="1"/>
  <c r="H1754" i="1"/>
  <c r="C1518" i="1"/>
  <c r="H1753" i="1"/>
  <c r="C43" i="1"/>
  <c r="H1752" i="1"/>
  <c r="C42" i="1"/>
  <c r="H1751" i="1"/>
  <c r="C1517" i="1"/>
  <c r="H1750" i="1"/>
  <c r="C1516" i="1"/>
  <c r="H1749" i="1"/>
  <c r="C1515" i="1"/>
  <c r="H1748" i="1"/>
  <c r="C1514" i="1"/>
  <c r="H1747" i="1"/>
  <c r="C340" i="1"/>
  <c r="H1746" i="1"/>
  <c r="C656" i="1"/>
  <c r="H1745" i="1"/>
  <c r="C297" i="1"/>
  <c r="H1744" i="1"/>
  <c r="C193" i="1"/>
  <c r="H1743" i="1"/>
  <c r="C1513" i="1"/>
  <c r="H1742" i="1"/>
  <c r="C1512" i="1"/>
  <c r="H1741" i="1"/>
  <c r="C1511" i="1"/>
  <c r="H1740" i="1"/>
  <c r="C1510" i="1"/>
  <c r="H1739" i="1"/>
  <c r="C1509" i="1"/>
  <c r="H1738" i="1"/>
  <c r="C1508" i="1"/>
  <c r="H1737" i="1"/>
  <c r="C1507" i="1"/>
  <c r="H1736" i="1"/>
  <c r="C1506" i="1"/>
  <c r="H1735" i="1"/>
  <c r="C11" i="1"/>
  <c r="H1734" i="1"/>
  <c r="C1505" i="1"/>
  <c r="H1733" i="1"/>
  <c r="C1504" i="1"/>
  <c r="H1732" i="1"/>
  <c r="C1503" i="1"/>
  <c r="H1731" i="1"/>
  <c r="C1502" i="1"/>
  <c r="H1730" i="1"/>
  <c r="C634" i="1"/>
  <c r="H1729" i="1"/>
  <c r="C633" i="1"/>
  <c r="H1728" i="1"/>
  <c r="C1501" i="1"/>
  <c r="H1727" i="1"/>
  <c r="C632" i="1"/>
  <c r="H1726" i="1"/>
  <c r="C1500" i="1"/>
  <c r="H1725" i="1"/>
  <c r="C1499" i="1"/>
  <c r="H1724" i="1"/>
  <c r="C1638" i="1"/>
  <c r="H1723" i="1"/>
  <c r="C1498" i="1"/>
  <c r="H1722" i="1"/>
  <c r="C655" i="1"/>
  <c r="H1721" i="1"/>
  <c r="C491" i="1"/>
  <c r="H1720" i="1"/>
  <c r="C631" i="1"/>
  <c r="H1719" i="1"/>
  <c r="C1497" i="1"/>
  <c r="H1718" i="1"/>
  <c r="C30" i="1"/>
  <c r="H1717" i="1"/>
  <c r="C422" i="1"/>
  <c r="H1716" i="1"/>
  <c r="C29" i="1"/>
  <c r="H1715" i="1"/>
  <c r="C490" i="1"/>
  <c r="H1714" i="1"/>
  <c r="C28" i="1"/>
  <c r="H1713" i="1"/>
  <c r="C489" i="1"/>
  <c r="H1712" i="1"/>
  <c r="C238" i="1"/>
  <c r="H1711" i="1"/>
  <c r="C1496" i="1"/>
  <c r="H1710" i="1"/>
  <c r="C1495" i="1"/>
  <c r="H1709" i="1"/>
  <c r="C237" i="1"/>
  <c r="H1708" i="1"/>
  <c r="C1637" i="1"/>
  <c r="H1707" i="1"/>
  <c r="C102" i="1"/>
  <c r="H1706" i="1"/>
  <c r="C1494" i="1"/>
  <c r="H1705" i="1"/>
  <c r="C101" i="1"/>
  <c r="H1704" i="1"/>
  <c r="C100" i="1"/>
  <c r="H1703" i="1"/>
  <c r="C1493" i="1"/>
  <c r="H1702" i="1"/>
  <c r="C1492" i="1"/>
  <c r="H1701" i="1"/>
  <c r="C1558" i="1"/>
  <c r="H1700" i="1"/>
  <c r="C1491" i="1"/>
  <c r="H1699" i="1"/>
  <c r="C1490" i="1"/>
  <c r="H1698" i="1"/>
  <c r="C1489" i="1"/>
  <c r="H1697" i="1"/>
  <c r="C1488" i="1"/>
  <c r="H1696" i="1"/>
  <c r="C1487" i="1"/>
  <c r="H1695" i="1"/>
  <c r="C10" i="1"/>
  <c r="H1694" i="1"/>
  <c r="C1486" i="1"/>
  <c r="H1693" i="1"/>
  <c r="C630" i="1"/>
  <c r="H1692" i="1"/>
  <c r="C1485" i="1"/>
  <c r="H1691" i="1"/>
  <c r="C1484" i="1"/>
  <c r="H1690" i="1"/>
  <c r="C629" i="1"/>
  <c r="H1689" i="1"/>
  <c r="C1483" i="1"/>
  <c r="H1688" i="1"/>
  <c r="C628" i="1"/>
  <c r="H1687" i="1"/>
  <c r="C167" i="1"/>
  <c r="H1686" i="1"/>
  <c r="C310" i="1"/>
  <c r="H1685" i="1"/>
  <c r="C1482" i="1"/>
  <c r="H1684" i="1"/>
  <c r="C1481" i="1"/>
  <c r="H1683" i="1"/>
  <c r="C1480" i="1"/>
  <c r="H1682" i="1"/>
  <c r="C1479" i="1"/>
  <c r="H1681" i="1"/>
  <c r="C1478" i="1"/>
  <c r="H1680" i="1"/>
  <c r="C1477" i="1"/>
  <c r="H1679" i="1"/>
  <c r="C488" i="1"/>
  <c r="H1678" i="1"/>
  <c r="C421" i="1"/>
  <c r="H1677" i="1"/>
  <c r="C1476" i="1"/>
  <c r="H1676" i="1"/>
  <c r="C1475" i="1"/>
  <c r="H1675" i="1"/>
  <c r="C420" i="1"/>
  <c r="H1674" i="1"/>
  <c r="C419" i="1"/>
  <c r="H1673" i="1"/>
  <c r="C487" i="1"/>
  <c r="H1672" i="1"/>
  <c r="C627" i="1"/>
  <c r="H1671" i="1"/>
  <c r="C1622" i="1"/>
  <c r="H1670" i="1"/>
  <c r="C148" i="1"/>
  <c r="H1669" i="1"/>
  <c r="C1474" i="1"/>
  <c r="H1668" i="1"/>
  <c r="C147" i="1"/>
  <c r="H1667" i="1"/>
  <c r="C1808" i="1"/>
  <c r="H1666" i="1"/>
  <c r="C1473" i="1"/>
  <c r="H1665" i="1"/>
  <c r="C211" i="1"/>
  <c r="H1664" i="1"/>
  <c r="C626" i="1"/>
  <c r="H1663" i="1"/>
  <c r="C418" i="1"/>
  <c r="H1662" i="1"/>
  <c r="C296" i="1"/>
  <c r="H1661" i="1"/>
  <c r="C166" i="1"/>
  <c r="H1660" i="1"/>
  <c r="C625" i="1"/>
  <c r="H1659" i="1"/>
  <c r="C624" i="1"/>
  <c r="H1658" i="1"/>
  <c r="C623" i="1"/>
  <c r="H1657" i="1"/>
  <c r="C1472" i="1"/>
  <c r="H1656" i="1"/>
  <c r="C192" i="1"/>
  <c r="H1655" i="1"/>
  <c r="C1471" i="1"/>
  <c r="H1654" i="1"/>
  <c r="C1470" i="1"/>
  <c r="H1653" i="1"/>
  <c r="C1469" i="1"/>
  <c r="H1652" i="1"/>
  <c r="C1468" i="1"/>
  <c r="H1651" i="1"/>
  <c r="C417" i="1"/>
  <c r="H1650" i="1"/>
  <c r="C622" i="1"/>
  <c r="H1649" i="1"/>
  <c r="C165" i="1"/>
  <c r="H1648" i="1"/>
  <c r="C1467" i="1"/>
  <c r="H1647" i="1"/>
  <c r="C416" i="1"/>
  <c r="H1646" i="1"/>
  <c r="C210" i="1"/>
  <c r="H1645" i="1"/>
  <c r="C621" i="1"/>
  <c r="H1644" i="1"/>
  <c r="C1466" i="1"/>
  <c r="H1643" i="1"/>
  <c r="C415" i="1"/>
  <c r="H1642" i="1"/>
  <c r="C191" i="1"/>
  <c r="H1641" i="1"/>
  <c r="C190" i="1"/>
  <c r="H1640" i="1"/>
  <c r="C414" i="1"/>
  <c r="H1639" i="1"/>
  <c r="C259" i="1"/>
  <c r="H1638" i="1"/>
  <c r="C209" i="1"/>
  <c r="H1637" i="1"/>
  <c r="C413" i="1"/>
  <c r="H1636" i="1"/>
  <c r="C258" i="1"/>
  <c r="H1635" i="1"/>
  <c r="C208" i="1"/>
  <c r="H1634" i="1"/>
  <c r="C412" i="1"/>
  <c r="H1633" i="1"/>
  <c r="C257" i="1"/>
  <c r="H1632" i="1"/>
  <c r="C207" i="1"/>
  <c r="H1631" i="1"/>
  <c r="C411" i="1"/>
  <c r="H1630" i="1"/>
  <c r="C339" i="1"/>
  <c r="H1629" i="1"/>
  <c r="C1465" i="1"/>
  <c r="H1628" i="1"/>
  <c r="C1464" i="1"/>
  <c r="H1627" i="1"/>
  <c r="C1463" i="1"/>
  <c r="H1626" i="1"/>
  <c r="C620" i="1"/>
  <c r="H1625" i="1"/>
  <c r="C1462" i="1"/>
  <c r="H1624" i="1"/>
  <c r="C1461" i="1"/>
  <c r="H1623" i="1"/>
  <c r="C654" i="1"/>
  <c r="H1622" i="1"/>
  <c r="C1460" i="1"/>
  <c r="H1621" i="1"/>
  <c r="C1459" i="1"/>
  <c r="H1620" i="1"/>
  <c r="C1458" i="1"/>
  <c r="H1619" i="1"/>
  <c r="C1603" i="1"/>
  <c r="H1618" i="1"/>
  <c r="C1457" i="1"/>
  <c r="H1617" i="1"/>
  <c r="C410" i="1"/>
  <c r="H1616" i="1"/>
  <c r="C1807" i="1"/>
  <c r="H1615" i="1"/>
  <c r="C619" i="1"/>
  <c r="H1614" i="1"/>
  <c r="C1456" i="1"/>
  <c r="H1613" i="1"/>
  <c r="C1455" i="1"/>
  <c r="H1612" i="1"/>
  <c r="C1454" i="1"/>
  <c r="H1611" i="1"/>
  <c r="C618" i="1"/>
  <c r="H1610" i="1"/>
  <c r="C1453" i="1"/>
  <c r="H1609" i="1"/>
  <c r="C1452" i="1"/>
  <c r="H1608" i="1"/>
  <c r="C617" i="1"/>
  <c r="H1607" i="1"/>
  <c r="C1451" i="1"/>
  <c r="H1606" i="1"/>
  <c r="C1450" i="1"/>
  <c r="H1605" i="1"/>
  <c r="C1602" i="1"/>
  <c r="H1604" i="1"/>
  <c r="C1449" i="1"/>
  <c r="H1603" i="1"/>
  <c r="C1448" i="1"/>
  <c r="H1602" i="1"/>
  <c r="C1806" i="1"/>
  <c r="H1601" i="1"/>
  <c r="C1447" i="1"/>
  <c r="H1600" i="1"/>
  <c r="C295" i="1"/>
  <c r="H1599" i="1"/>
  <c r="C616" i="1"/>
  <c r="H1598" i="1"/>
  <c r="C1636" i="1"/>
  <c r="H1597" i="1"/>
  <c r="C294" i="1"/>
  <c r="H1596" i="1"/>
  <c r="C615" i="1"/>
  <c r="H1595" i="1"/>
  <c r="C409" i="1"/>
  <c r="H1594" i="1"/>
  <c r="C260" i="1"/>
  <c r="H1593" i="1"/>
  <c r="C486" i="1"/>
  <c r="H1592" i="1"/>
  <c r="C614" i="1"/>
  <c r="H1591" i="1"/>
  <c r="C1446" i="1"/>
  <c r="H1590" i="1"/>
  <c r="C613" i="1"/>
  <c r="H1589" i="1"/>
  <c r="C1445" i="1"/>
  <c r="H1588" i="1"/>
  <c r="C1444" i="1"/>
  <c r="H1587" i="1"/>
  <c r="C309" i="1"/>
  <c r="H1586" i="1"/>
  <c r="C1443" i="1"/>
  <c r="H1585" i="1"/>
  <c r="C1442" i="1"/>
  <c r="H1584" i="1"/>
  <c r="C39" i="1"/>
  <c r="H1583" i="1"/>
  <c r="C38" i="1"/>
  <c r="H1582" i="1"/>
  <c r="C1441" i="1"/>
  <c r="H1581" i="1"/>
  <c r="C1440" i="1"/>
  <c r="H1580" i="1"/>
  <c r="C612" i="1"/>
  <c r="H1579" i="1"/>
  <c r="C338" i="1"/>
  <c r="H1578" i="1"/>
  <c r="C611" i="1"/>
  <c r="H1577" i="1"/>
  <c r="C1439" i="1"/>
  <c r="H1576" i="1"/>
  <c r="C337" i="1"/>
  <c r="H1575" i="1"/>
  <c r="C1438" i="1"/>
  <c r="H1574" i="1"/>
  <c r="C408" i="1"/>
  <c r="H1573" i="1"/>
  <c r="C1437" i="1"/>
  <c r="H1572" i="1"/>
  <c r="C1436" i="1"/>
  <c r="H1571" i="1"/>
  <c r="C1435" i="1"/>
  <c r="H1570" i="1"/>
  <c r="C1805" i="1"/>
  <c r="H1569" i="1"/>
  <c r="C407" i="1"/>
  <c r="H1568" i="1"/>
  <c r="C610" i="1"/>
  <c r="H1567" i="1"/>
  <c r="C1434" i="1"/>
  <c r="H1566" i="1"/>
  <c r="C1433" i="1"/>
  <c r="H1565" i="1"/>
  <c r="C1432" i="1"/>
  <c r="H1564" i="1"/>
  <c r="C1431" i="1"/>
  <c r="H1563" i="1"/>
  <c r="C1430" i="1"/>
  <c r="H1562" i="1"/>
  <c r="C406" i="1"/>
  <c r="H1561" i="1"/>
  <c r="C609" i="1"/>
  <c r="H1560" i="1"/>
  <c r="C1429" i="1"/>
  <c r="H1559" i="1"/>
  <c r="C405" i="1"/>
  <c r="H1558" i="1"/>
  <c r="C293" i="1"/>
  <c r="H1557" i="1"/>
  <c r="C292" i="1"/>
  <c r="H1556" i="1"/>
  <c r="C485" i="1"/>
  <c r="H1555" i="1"/>
  <c r="C1557" i="1"/>
  <c r="H1554" i="1"/>
  <c r="C9" i="1"/>
  <c r="H1553" i="1"/>
  <c r="C291" i="1"/>
  <c r="H1552" i="1"/>
  <c r="C1428" i="1"/>
  <c r="H1551" i="1"/>
  <c r="C484" i="1"/>
  <c r="H1550" i="1"/>
  <c r="C608" i="1"/>
  <c r="H1549" i="1"/>
  <c r="C1427" i="1"/>
  <c r="H1548" i="1"/>
  <c r="C256" i="1"/>
  <c r="H1547" i="1"/>
  <c r="C607" i="1"/>
  <c r="H1546" i="1"/>
  <c r="C606" i="1"/>
  <c r="H1545" i="1"/>
  <c r="C404" i="1"/>
  <c r="H1544" i="1"/>
  <c r="C1426" i="1"/>
  <c r="H1543" i="1"/>
  <c r="C206" i="1"/>
  <c r="H1542" i="1"/>
  <c r="C336" i="1"/>
  <c r="H1541" i="1"/>
  <c r="C403" i="1"/>
  <c r="H1540" i="1"/>
  <c r="C205" i="1"/>
  <c r="H1539" i="1"/>
  <c r="C335" i="1"/>
  <c r="H1538" i="1"/>
  <c r="C402" i="1"/>
  <c r="H1537" i="1"/>
  <c r="C290" i="1"/>
  <c r="H1536" i="1"/>
  <c r="C1818" i="1"/>
  <c r="H1535" i="1"/>
  <c r="C1425" i="1"/>
  <c r="H1534" i="1"/>
  <c r="C157" i="1"/>
  <c r="H1533" i="1"/>
  <c r="C255" i="1"/>
  <c r="H1532" i="1"/>
  <c r="C1424" i="1"/>
  <c r="H1531" i="1"/>
  <c r="C483" i="1"/>
  <c r="H1530" i="1"/>
  <c r="C605" i="1"/>
  <c r="H1529" i="1"/>
  <c r="C1423" i="1"/>
  <c r="H1528" i="1"/>
  <c r="C1422" i="1"/>
  <c r="H1527" i="1"/>
  <c r="C401" i="1"/>
  <c r="H1526" i="1"/>
  <c r="C1421" i="1"/>
  <c r="H1525" i="1"/>
  <c r="C1556" i="1"/>
  <c r="H1524" i="1"/>
  <c r="C1420" i="1"/>
  <c r="H1523" i="1"/>
  <c r="C653" i="1"/>
  <c r="H1522" i="1"/>
  <c r="C652" i="1"/>
  <c r="H1521" i="1"/>
  <c r="C651" i="1"/>
  <c r="H1520" i="1"/>
  <c r="C650" i="1"/>
  <c r="H1519" i="1"/>
  <c r="C649" i="1"/>
  <c r="H1518" i="1"/>
  <c r="C648" i="1"/>
  <c r="H1517" i="1"/>
  <c r="C647" i="1"/>
  <c r="H1516" i="1"/>
  <c r="C646" i="1"/>
  <c r="H1515" i="1"/>
  <c r="C645" i="1"/>
  <c r="H1514" i="1"/>
  <c r="C644" i="1"/>
  <c r="H1513" i="1"/>
  <c r="C1419" i="1"/>
  <c r="H1512" i="1"/>
  <c r="C289" i="1"/>
  <c r="H1511" i="1"/>
  <c r="C604" i="1"/>
  <c r="H1510" i="1"/>
  <c r="C146" i="1"/>
  <c r="H1509" i="1"/>
  <c r="C288" i="1"/>
  <c r="H1508" i="1"/>
  <c r="C287" i="1"/>
  <c r="H1507" i="1"/>
  <c r="C286" i="1"/>
  <c r="H1506" i="1"/>
  <c r="C1418" i="1"/>
  <c r="H1505" i="1"/>
  <c r="C145" i="1"/>
  <c r="H1504" i="1"/>
  <c r="C1417" i="1"/>
  <c r="H1503" i="1"/>
  <c r="C1416" i="1"/>
  <c r="H1502" i="1"/>
  <c r="C1415" i="1"/>
  <c r="H1501" i="1"/>
  <c r="C1414" i="1"/>
  <c r="H1500" i="1"/>
  <c r="C1413" i="1"/>
  <c r="H1499" i="1"/>
  <c r="C1412" i="1"/>
  <c r="H1498" i="1"/>
  <c r="C1411" i="1"/>
  <c r="H1497" i="1"/>
  <c r="C1410" i="1"/>
  <c r="H1496" i="1"/>
  <c r="C1409" i="1"/>
  <c r="H1495" i="1"/>
  <c r="C1408" i="1"/>
  <c r="H1494" i="1"/>
  <c r="C1407" i="1"/>
  <c r="H1493" i="1"/>
  <c r="C1406" i="1"/>
  <c r="H1492" i="1"/>
  <c r="C1405" i="1"/>
  <c r="H1491" i="1"/>
  <c r="C1404" i="1"/>
  <c r="H1490" i="1"/>
  <c r="C1403" i="1"/>
  <c r="H1489" i="1"/>
  <c r="C1402" i="1"/>
  <c r="H1488" i="1"/>
  <c r="C1401" i="1"/>
  <c r="H1487" i="1"/>
  <c r="C1400" i="1"/>
  <c r="H1486" i="1"/>
  <c r="C1399" i="1"/>
  <c r="H1485" i="1"/>
  <c r="C1398" i="1"/>
  <c r="H1484" i="1"/>
  <c r="C1397" i="1"/>
  <c r="H1483" i="1"/>
  <c r="C1396" i="1"/>
  <c r="H1482" i="1"/>
  <c r="C1395" i="1"/>
  <c r="H1481" i="1"/>
  <c r="C1804" i="1"/>
  <c r="H1480" i="1"/>
  <c r="C1803" i="1"/>
  <c r="H1479" i="1"/>
  <c r="C254" i="1"/>
  <c r="H1478" i="1"/>
  <c r="C1394" i="1"/>
  <c r="H1477" i="1"/>
  <c r="C1393" i="1"/>
  <c r="H1476" i="1"/>
  <c r="C253" i="1"/>
  <c r="H1475" i="1"/>
  <c r="C1392" i="1"/>
  <c r="H1474" i="1"/>
  <c r="C252" i="1"/>
  <c r="H1473" i="1"/>
  <c r="C1391" i="1"/>
  <c r="H1472" i="1"/>
  <c r="C251" i="1"/>
  <c r="H1471" i="1"/>
  <c r="C1390" i="1"/>
  <c r="H1470" i="1"/>
  <c r="C250" i="1"/>
  <c r="H1469" i="1"/>
  <c r="C1802" i="1"/>
  <c r="H1468" i="1"/>
  <c r="C1389" i="1"/>
  <c r="H1467" i="1"/>
  <c r="C249" i="1"/>
  <c r="H1466" i="1"/>
  <c r="C1388" i="1"/>
  <c r="H1465" i="1"/>
  <c r="C248" i="1"/>
  <c r="H1464" i="1"/>
  <c r="C1801" i="1"/>
  <c r="H1463" i="1"/>
  <c r="C1800" i="1"/>
  <c r="H1462" i="1"/>
  <c r="C1799" i="1"/>
  <c r="H1461" i="1"/>
  <c r="C482" i="1"/>
  <c r="H1460" i="1"/>
  <c r="C285" i="1"/>
  <c r="H1459" i="1"/>
  <c r="C481" i="1"/>
  <c r="H1458" i="1"/>
  <c r="C480" i="1"/>
  <c r="H1457" i="1"/>
  <c r="C479" i="1"/>
  <c r="H1456" i="1"/>
  <c r="C603" i="1"/>
  <c r="H1455" i="1"/>
  <c r="C602" i="1"/>
  <c r="H1454" i="1"/>
  <c r="C601" i="1"/>
  <c r="H1453" i="1"/>
  <c r="C1387" i="1"/>
  <c r="H1452" i="1"/>
  <c r="C600" i="1"/>
  <c r="H1451" i="1"/>
  <c r="C1386" i="1"/>
  <c r="H1450" i="1"/>
  <c r="C599" i="1"/>
  <c r="H1449" i="1"/>
  <c r="C1385" i="1"/>
  <c r="H1448" i="1"/>
  <c r="C598" i="1"/>
  <c r="H1447" i="1"/>
  <c r="C1384" i="1"/>
  <c r="H1446" i="1"/>
  <c r="C597" i="1"/>
  <c r="H1445" i="1"/>
  <c r="C1383" i="1"/>
  <c r="H1444" i="1"/>
  <c r="C596" i="1"/>
  <c r="H1443" i="1"/>
  <c r="C1382" i="1"/>
  <c r="H1442" i="1"/>
  <c r="C595" i="1"/>
  <c r="H1441" i="1"/>
  <c r="C1381" i="1"/>
  <c r="H1440" i="1"/>
  <c r="C594" i="1"/>
  <c r="H1439" i="1"/>
  <c r="C1798" i="1"/>
  <c r="H1438" i="1"/>
  <c r="C593" i="1"/>
  <c r="H1437" i="1"/>
  <c r="C1380" i="1"/>
  <c r="H1436" i="1"/>
  <c r="C592" i="1"/>
  <c r="H1435" i="1"/>
  <c r="C400" i="1"/>
  <c r="H1434" i="1"/>
  <c r="C1379" i="1"/>
  <c r="H1433" i="1"/>
  <c r="C591" i="1"/>
  <c r="H1432" i="1"/>
  <c r="C399" i="1"/>
  <c r="H1431" i="1"/>
  <c r="C1378" i="1"/>
  <c r="H1430" i="1"/>
  <c r="C590" i="1"/>
  <c r="H1429" i="1"/>
  <c r="C398" i="1"/>
  <c r="H1428" i="1"/>
  <c r="C1377" i="1"/>
  <c r="H1427" i="1"/>
  <c r="C589" i="1"/>
  <c r="H1426" i="1"/>
  <c r="C397" i="1"/>
  <c r="H1425" i="1"/>
  <c r="C1376" i="1"/>
  <c r="H1424" i="1"/>
  <c r="C396" i="1"/>
  <c r="H1423" i="1"/>
  <c r="C588" i="1"/>
  <c r="H1422" i="1"/>
  <c r="C1375" i="1"/>
  <c r="H1421" i="1"/>
  <c r="C587" i="1"/>
  <c r="H1420" i="1"/>
  <c r="C395" i="1"/>
  <c r="H1419" i="1"/>
  <c r="C1374" i="1"/>
  <c r="H1418" i="1"/>
  <c r="C586" i="1"/>
  <c r="H1417" i="1"/>
  <c r="C394" i="1"/>
  <c r="H1416" i="1"/>
  <c r="C1797" i="1"/>
  <c r="H1415" i="1"/>
  <c r="C1373" i="1"/>
  <c r="H1414" i="1"/>
  <c r="C204" i="1"/>
  <c r="H1413" i="1"/>
  <c r="C1372" i="1"/>
  <c r="H1412" i="1"/>
  <c r="C203" i="1"/>
  <c r="H1411" i="1"/>
  <c r="C1371" i="1"/>
  <c r="H1410" i="1"/>
  <c r="C202" i="1"/>
  <c r="H1409" i="1"/>
  <c r="C1370" i="1"/>
  <c r="H1408" i="1"/>
  <c r="C201" i="1"/>
  <c r="H1407" i="1"/>
  <c r="C200" i="1"/>
  <c r="H1406" i="1"/>
  <c r="C199" i="1"/>
  <c r="H1405" i="1"/>
  <c r="C1369" i="1"/>
  <c r="H1404" i="1"/>
  <c r="C1368" i="1"/>
  <c r="H1403" i="1"/>
  <c r="C1367" i="1"/>
  <c r="H1402" i="1"/>
  <c r="C1366" i="1"/>
  <c r="H1401" i="1"/>
  <c r="C1365" i="1"/>
  <c r="H1400" i="1"/>
  <c r="C1364" i="1"/>
  <c r="H1399" i="1"/>
  <c r="C334" i="1"/>
  <c r="H1398" i="1"/>
  <c r="C393" i="1"/>
  <c r="H1397" i="1"/>
  <c r="C333" i="1"/>
  <c r="H1396" i="1"/>
  <c r="C1363" i="1"/>
  <c r="H1395" i="1"/>
  <c r="C1362" i="1"/>
  <c r="H1394" i="1"/>
  <c r="C1361" i="1"/>
  <c r="H1393" i="1"/>
  <c r="C1360" i="1"/>
  <c r="H1392" i="1"/>
  <c r="C392" i="1"/>
  <c r="H1391" i="1"/>
  <c r="C1359" i="1"/>
  <c r="H1390" i="1"/>
  <c r="C1358" i="1"/>
  <c r="H1389" i="1"/>
  <c r="C1357" i="1"/>
  <c r="H1388" i="1"/>
  <c r="C391" i="1"/>
  <c r="H1387" i="1"/>
  <c r="C1356" i="1"/>
  <c r="H1386" i="1"/>
  <c r="C390" i="1"/>
  <c r="H1385" i="1"/>
  <c r="C1355" i="1"/>
  <c r="H1384" i="1"/>
  <c r="C389" i="1"/>
  <c r="H1383" i="1"/>
  <c r="C1354" i="1"/>
  <c r="H1382" i="1"/>
  <c r="C388" i="1"/>
  <c r="H1381" i="1"/>
  <c r="C1353" i="1"/>
  <c r="H1380" i="1"/>
  <c r="C387" i="1"/>
  <c r="H1379" i="1"/>
  <c r="C1352" i="1"/>
  <c r="H1378" i="1"/>
  <c r="C386" i="1"/>
  <c r="H1377" i="1"/>
  <c r="C1351" i="1"/>
  <c r="H1376" i="1"/>
  <c r="C1350" i="1"/>
  <c r="H1375" i="1"/>
  <c r="C1349" i="1"/>
  <c r="H1374" i="1"/>
  <c r="C1348" i="1"/>
  <c r="H1373" i="1"/>
  <c r="C1347" i="1"/>
  <c r="H1372" i="1"/>
  <c r="C1346" i="1"/>
  <c r="H1371" i="1"/>
  <c r="C1345" i="1"/>
  <c r="H1370" i="1"/>
  <c r="C1344" i="1"/>
  <c r="H1369" i="1"/>
  <c r="C1343" i="1"/>
  <c r="H1368" i="1"/>
  <c r="C1342" i="1"/>
  <c r="H1367" i="1"/>
  <c r="C242" i="1"/>
  <c r="H1366" i="1"/>
  <c r="C1601" i="1"/>
  <c r="H1365" i="1"/>
  <c r="C1341" i="1"/>
  <c r="H1364" i="1"/>
  <c r="C241" i="1"/>
  <c r="H1363" i="1"/>
  <c r="C240" i="1"/>
  <c r="H1362" i="1"/>
  <c r="C1796" i="1"/>
  <c r="H1361" i="1"/>
  <c r="C1600" i="1"/>
  <c r="H1360" i="1"/>
  <c r="C1340" i="1"/>
  <c r="H1359" i="1"/>
  <c r="C385" i="1"/>
  <c r="H1358" i="1"/>
  <c r="C1339" i="1"/>
  <c r="H1357" i="1"/>
  <c r="C1338" i="1"/>
  <c r="H1356" i="1"/>
  <c r="C1337" i="1"/>
  <c r="H1355" i="1"/>
  <c r="C1336" i="1"/>
  <c r="H1354" i="1"/>
  <c r="C384" i="1"/>
  <c r="H1353" i="1"/>
  <c r="C1335" i="1"/>
  <c r="H1352" i="1"/>
  <c r="C383" i="1"/>
  <c r="H1351" i="1"/>
  <c r="C41" i="1"/>
  <c r="H1350" i="1"/>
  <c r="C1795" i="1"/>
  <c r="H1349" i="1"/>
  <c r="C585" i="1"/>
  <c r="H1348" i="1"/>
  <c r="C478" i="1"/>
  <c r="H1347" i="1"/>
  <c r="C584" i="1"/>
  <c r="H1346" i="1"/>
  <c r="C583" i="1"/>
  <c r="H1345" i="1"/>
  <c r="C582" i="1"/>
  <c r="H1344" i="1"/>
  <c r="C581" i="1"/>
  <c r="H1343" i="1"/>
  <c r="C580" i="1"/>
  <c r="H1342" i="1"/>
  <c r="C579" i="1"/>
  <c r="H1341" i="1"/>
  <c r="C578" i="1"/>
  <c r="H1340" i="1"/>
  <c r="C1555" i="1"/>
  <c r="H1339" i="1"/>
  <c r="C8" i="1"/>
  <c r="H1338" i="1"/>
  <c r="C1554" i="1"/>
  <c r="H1337" i="1"/>
  <c r="C1553" i="1"/>
  <c r="H1336" i="1"/>
  <c r="C1552" i="1"/>
  <c r="H1335" i="1"/>
  <c r="C1551" i="1"/>
  <c r="H1334" i="1"/>
  <c r="C1550" i="1"/>
  <c r="H1333" i="1"/>
  <c r="C1549" i="1"/>
  <c r="H1332" i="1"/>
  <c r="C1548" i="1"/>
  <c r="H1331" i="1"/>
  <c r="C1547" i="1"/>
  <c r="H1330" i="1"/>
  <c r="C1546" i="1"/>
  <c r="H1329" i="1"/>
  <c r="C1794" i="1"/>
  <c r="H1328" i="1"/>
  <c r="C308" i="1"/>
  <c r="H1327" i="1"/>
  <c r="C1334" i="1"/>
  <c r="H1326" i="1"/>
  <c r="C1333" i="1"/>
  <c r="H1325" i="1"/>
  <c r="C1793" i="1"/>
  <c r="H1324" i="1"/>
  <c r="C1332" i="1"/>
  <c r="H1323" i="1"/>
  <c r="C307" i="1"/>
  <c r="H1322" i="1"/>
  <c r="C1331" i="1"/>
  <c r="H1321" i="1"/>
  <c r="C306" i="1"/>
  <c r="H1320" i="1"/>
  <c r="C1330" i="1"/>
  <c r="H1319" i="1"/>
  <c r="C1329" i="1"/>
  <c r="H1318" i="1"/>
  <c r="C305" i="1"/>
  <c r="H1317" i="1"/>
  <c r="C304" i="1"/>
  <c r="H1316" i="1"/>
  <c r="C1817" i="1"/>
  <c r="H1315" i="1"/>
  <c r="C1816" i="1"/>
  <c r="H1314" i="1"/>
  <c r="C1815" i="1"/>
  <c r="H1313" i="1"/>
  <c r="C1814" i="1"/>
  <c r="H1312" i="1"/>
  <c r="C1813" i="1"/>
  <c r="H1311" i="1"/>
  <c r="C577" i="1"/>
  <c r="H1310" i="1"/>
  <c r="C37" i="1"/>
  <c r="H1309" i="1"/>
  <c r="C36" i="1"/>
  <c r="H1308" i="1"/>
  <c r="C1328" i="1"/>
  <c r="H1307" i="1"/>
  <c r="C1327" i="1"/>
  <c r="H1306" i="1"/>
  <c r="C1326" i="1"/>
  <c r="H1305" i="1"/>
  <c r="C1792" i="1"/>
  <c r="H1304" i="1"/>
  <c r="C1325" i="1"/>
  <c r="H1303" i="1"/>
  <c r="C1324" i="1"/>
  <c r="H1302" i="1"/>
  <c r="C1323" i="1"/>
  <c r="H1301" i="1"/>
  <c r="C1322" i="1"/>
  <c r="H1300" i="1"/>
  <c r="C1321" i="1"/>
  <c r="H1299" i="1"/>
  <c r="C1320" i="1"/>
  <c r="H1298" i="1"/>
  <c r="C1319" i="1"/>
  <c r="H1297" i="1"/>
  <c r="C1318" i="1"/>
  <c r="H1296" i="1"/>
  <c r="C1791" i="1"/>
  <c r="H1295" i="1"/>
  <c r="C1317" i="1"/>
  <c r="H1294" i="1"/>
  <c r="C1316" i="1"/>
  <c r="H1293" i="1"/>
  <c r="C1315" i="1"/>
  <c r="H1292" i="1"/>
  <c r="C1314" i="1"/>
  <c r="H1291" i="1"/>
  <c r="C1313" i="1"/>
  <c r="H1290" i="1"/>
  <c r="C1312" i="1"/>
  <c r="H1289" i="1"/>
  <c r="C1790" i="1"/>
  <c r="H1288" i="1"/>
  <c r="C1311" i="1"/>
  <c r="H1287" i="1"/>
  <c r="C1310" i="1"/>
  <c r="H1286" i="1"/>
  <c r="C1309" i="1"/>
  <c r="H1285" i="1"/>
  <c r="C1308" i="1"/>
  <c r="H1284" i="1"/>
  <c r="C1789" i="1"/>
  <c r="H1283" i="1"/>
  <c r="C1788" i="1"/>
  <c r="H1282" i="1"/>
  <c r="C1787" i="1"/>
  <c r="H1281" i="1"/>
  <c r="C1786" i="1"/>
  <c r="H1280" i="1"/>
  <c r="C1785" i="1"/>
  <c r="H1279" i="1"/>
  <c r="C1784" i="1"/>
  <c r="H1278" i="1"/>
  <c r="C1783" i="1"/>
  <c r="H1277" i="1"/>
  <c r="C49" i="1"/>
  <c r="H1276" i="1"/>
  <c r="C1307" i="1"/>
  <c r="H1275" i="1"/>
  <c r="C1306" i="1"/>
  <c r="H1274" i="1"/>
  <c r="C1305" i="1"/>
  <c r="H1273" i="1"/>
  <c r="C1304" i="1"/>
  <c r="H1272" i="1"/>
  <c r="C236" i="1"/>
  <c r="H1271" i="1"/>
  <c r="C1303" i="1"/>
  <c r="H1270" i="1"/>
  <c r="C1782" i="1"/>
  <c r="H1269" i="1"/>
  <c r="C1781" i="1"/>
  <c r="H1268" i="1"/>
  <c r="C1812" i="1"/>
  <c r="H1267" i="1"/>
  <c r="C235" i="1"/>
  <c r="H1266" i="1"/>
  <c r="C477" i="1"/>
  <c r="H1265" i="1"/>
  <c r="C332" i="1"/>
  <c r="H1264" i="1"/>
  <c r="C476" i="1"/>
  <c r="H1263" i="1"/>
  <c r="C475" i="1"/>
  <c r="H1262" i="1"/>
  <c r="C474" i="1"/>
  <c r="H1261" i="1"/>
  <c r="C576" i="1"/>
  <c r="H1260" i="1"/>
  <c r="C575" i="1"/>
  <c r="H1259" i="1"/>
  <c r="C1302" i="1"/>
  <c r="H1258" i="1"/>
  <c r="C1301" i="1"/>
  <c r="H1257" i="1"/>
  <c r="C574" i="1"/>
  <c r="H1256" i="1"/>
  <c r="C573" i="1"/>
  <c r="H1255" i="1"/>
  <c r="C572" i="1"/>
  <c r="H1254" i="1"/>
  <c r="C571" i="1"/>
  <c r="H1253" i="1"/>
  <c r="C570" i="1"/>
  <c r="H1252" i="1"/>
  <c r="C569" i="1"/>
  <c r="H1251" i="1"/>
  <c r="C568" i="1"/>
  <c r="H1250" i="1"/>
  <c r="C567" i="1"/>
  <c r="H1249" i="1"/>
  <c r="C566" i="1"/>
  <c r="H1248" i="1"/>
  <c r="C565" i="1"/>
  <c r="H1247" i="1"/>
  <c r="C564" i="1"/>
  <c r="H1246" i="1"/>
  <c r="C563" i="1"/>
  <c r="H1245" i="1"/>
  <c r="C562" i="1"/>
  <c r="H1244" i="1"/>
  <c r="C561" i="1"/>
  <c r="H1243" i="1"/>
  <c r="C560" i="1"/>
  <c r="H1242" i="1"/>
  <c r="C559" i="1"/>
  <c r="H1241" i="1"/>
  <c r="C558" i="1"/>
  <c r="H1240" i="1"/>
  <c r="C557" i="1"/>
  <c r="H1239" i="1"/>
  <c r="C556" i="1"/>
  <c r="H1238" i="1"/>
  <c r="C555" i="1"/>
  <c r="H1237" i="1"/>
  <c r="C1780" i="1"/>
  <c r="H1236" i="1"/>
  <c r="C1779" i="1"/>
  <c r="H1235" i="1"/>
  <c r="C1300" i="1"/>
  <c r="H1234" i="1"/>
  <c r="C1299" i="1"/>
  <c r="H1233" i="1"/>
  <c r="C1298" i="1"/>
  <c r="H1232" i="1"/>
  <c r="C1297" i="1"/>
  <c r="H1231" i="1"/>
  <c r="C1296" i="1"/>
  <c r="H1230" i="1"/>
  <c r="C1295" i="1"/>
  <c r="H1229" i="1"/>
  <c r="C1294" i="1"/>
  <c r="H1228" i="1"/>
  <c r="C1293" i="1"/>
  <c r="H1227" i="1"/>
  <c r="C1292" i="1"/>
  <c r="H1226" i="1"/>
  <c r="C1291" i="1"/>
  <c r="H1225" i="1"/>
  <c r="C1290" i="1"/>
  <c r="H1224" i="1"/>
  <c r="C1289" i="1"/>
  <c r="H1223" i="1"/>
  <c r="C1288" i="1"/>
  <c r="H1222" i="1"/>
  <c r="C1287" i="1"/>
  <c r="H1221" i="1"/>
  <c r="C189" i="1"/>
  <c r="H1220" i="1"/>
  <c r="C473" i="1"/>
  <c r="H1219" i="1"/>
  <c r="C1286" i="1"/>
  <c r="H1218" i="1"/>
  <c r="C382" i="1"/>
  <c r="H1217" i="1"/>
  <c r="C1285" i="1"/>
  <c r="H1216" i="1"/>
  <c r="C381" i="1"/>
  <c r="H1215" i="1"/>
  <c r="C1284" i="1"/>
  <c r="H1214" i="1"/>
  <c r="C380" i="1"/>
  <c r="H1213" i="1"/>
  <c r="C1283" i="1"/>
  <c r="H1212" i="1"/>
  <c r="C379" i="1"/>
  <c r="H1211" i="1"/>
  <c r="C1282" i="1"/>
  <c r="H1210" i="1"/>
  <c r="C378" i="1"/>
  <c r="H1209" i="1"/>
  <c r="C1281" i="1"/>
  <c r="H1208" i="1"/>
  <c r="C472" i="1"/>
  <c r="H1207" i="1"/>
  <c r="C1280" i="1"/>
  <c r="H1206" i="1"/>
  <c r="C471" i="1"/>
  <c r="H1205" i="1"/>
  <c r="C1279" i="1"/>
  <c r="H1204" i="1"/>
  <c r="C470" i="1"/>
  <c r="H1203" i="1"/>
  <c r="C1278" i="1"/>
  <c r="H1202" i="1"/>
  <c r="C469" i="1"/>
  <c r="H1201" i="1"/>
  <c r="C1277" i="1"/>
  <c r="H1200" i="1"/>
  <c r="C468" i="1"/>
  <c r="H1199" i="1"/>
  <c r="C1276" i="1"/>
  <c r="H1198" i="1"/>
  <c r="C467" i="1"/>
  <c r="H1197" i="1"/>
  <c r="C1275" i="1"/>
  <c r="H1196" i="1"/>
  <c r="C466" i="1"/>
  <c r="H1195" i="1"/>
  <c r="C465" i="1"/>
  <c r="H1194" i="1"/>
  <c r="C1274" i="1"/>
  <c r="H1193" i="1"/>
  <c r="C464" i="1"/>
  <c r="H1192" i="1"/>
  <c r="C554" i="1"/>
  <c r="H1191" i="1"/>
  <c r="C553" i="1"/>
  <c r="H1190" i="1"/>
  <c r="C552" i="1"/>
  <c r="H1189" i="1"/>
  <c r="C1273" i="1"/>
  <c r="H1188" i="1"/>
  <c r="C1272" i="1"/>
  <c r="H1187" i="1"/>
  <c r="C1271" i="1"/>
  <c r="H1186" i="1"/>
  <c r="C331" i="1"/>
  <c r="H1185" i="1"/>
  <c r="C1635" i="1"/>
  <c r="H1184" i="1"/>
  <c r="C330" i="1"/>
  <c r="H1183" i="1"/>
  <c r="C1270" i="1"/>
  <c r="H1182" i="1"/>
  <c r="C1269" i="1"/>
  <c r="H1181" i="1"/>
  <c r="C329" i="1"/>
  <c r="H1180" i="1"/>
  <c r="C1268" i="1"/>
  <c r="H1179" i="1"/>
  <c r="C1267" i="1"/>
  <c r="H1178" i="1"/>
  <c r="C1266" i="1"/>
  <c r="H1177" i="1"/>
  <c r="C1265" i="1"/>
  <c r="H1176" i="1"/>
  <c r="C1634" i="1"/>
  <c r="H1175" i="1"/>
  <c r="C1264" i="1"/>
  <c r="H1174" i="1"/>
  <c r="C1263" i="1"/>
  <c r="H1173" i="1"/>
  <c r="C1262" i="1"/>
  <c r="H1172" i="1"/>
  <c r="C1261" i="1"/>
  <c r="H1171" i="1"/>
  <c r="C1260" i="1"/>
  <c r="H1170" i="1"/>
  <c r="C1633" i="1"/>
  <c r="H1169" i="1"/>
  <c r="C1632" i="1"/>
  <c r="H1168" i="1"/>
  <c r="C1259" i="1"/>
  <c r="H1167" i="1"/>
  <c r="C1258" i="1"/>
  <c r="H1166" i="1"/>
  <c r="C1631" i="1"/>
  <c r="H1165" i="1"/>
  <c r="C1257" i="1"/>
  <c r="H1164" i="1"/>
  <c r="C1630" i="1"/>
  <c r="H1163" i="1"/>
  <c r="C1256" i="1"/>
  <c r="H1162" i="1"/>
  <c r="C1629" i="1"/>
  <c r="H1161" i="1"/>
  <c r="C1628" i="1"/>
  <c r="H1160" i="1"/>
  <c r="C1255" i="1"/>
  <c r="H1159" i="1"/>
  <c r="C1254" i="1"/>
  <c r="H1158" i="1"/>
  <c r="C1627" i="1"/>
  <c r="H1157" i="1"/>
  <c r="C1253" i="1"/>
  <c r="H1156" i="1"/>
  <c r="C1626" i="1"/>
  <c r="H1155" i="1"/>
  <c r="C284" i="1"/>
  <c r="H1154" i="1"/>
  <c r="C27" i="1"/>
  <c r="H1153" i="1"/>
  <c r="C463" i="1"/>
  <c r="H1152" i="1"/>
  <c r="C1778" i="1"/>
  <c r="H1151" i="1"/>
  <c r="C1252" i="1"/>
  <c r="H1150" i="1"/>
  <c r="C1251" i="1"/>
  <c r="H1149" i="1"/>
  <c r="C234" i="1"/>
  <c r="H1148" i="1"/>
  <c r="C462" i="1"/>
  <c r="H1147" i="1"/>
  <c r="C551" i="1"/>
  <c r="H1146" i="1"/>
  <c r="C20" i="1"/>
  <c r="H1145" i="1"/>
  <c r="C461" i="1"/>
  <c r="H1144" i="1"/>
  <c r="C1250" i="1"/>
  <c r="H1143" i="1"/>
  <c r="C283" i="1"/>
  <c r="H1142" i="1"/>
  <c r="C26" i="1"/>
  <c r="H1141" i="1"/>
  <c r="C233" i="1"/>
  <c r="H1140" i="1"/>
  <c r="C460" i="1"/>
  <c r="H1139" i="1"/>
  <c r="C1249" i="1"/>
  <c r="H1138" i="1"/>
  <c r="C232" i="1"/>
  <c r="H1137" i="1"/>
  <c r="C231" i="1"/>
  <c r="H1136" i="1"/>
  <c r="C25" i="1"/>
  <c r="H1135" i="1"/>
  <c r="C282" i="1"/>
  <c r="H1134" i="1"/>
  <c r="C230" i="1"/>
  <c r="H1133" i="1"/>
  <c r="C229" i="1"/>
  <c r="H1132" i="1"/>
  <c r="C228" i="1"/>
  <c r="H1131" i="1"/>
  <c r="C1248" i="1"/>
  <c r="H1130" i="1"/>
  <c r="C227" i="1"/>
  <c r="H1129" i="1"/>
  <c r="C110" i="1"/>
  <c r="H1128" i="1"/>
  <c r="C281" i="1"/>
  <c r="H1127" i="1"/>
  <c r="C1247" i="1"/>
  <c r="H1126" i="1"/>
  <c r="C280" i="1"/>
  <c r="H1125" i="1"/>
  <c r="C1246" i="1"/>
  <c r="H1124" i="1"/>
  <c r="C279" i="1"/>
  <c r="H1123" i="1"/>
  <c r="C1245" i="1"/>
  <c r="H1122" i="1"/>
  <c r="C278" i="1"/>
  <c r="H1121" i="1"/>
  <c r="C1244" i="1"/>
  <c r="H1120" i="1"/>
  <c r="C1243" i="1"/>
  <c r="H1119" i="1"/>
  <c r="C1242" i="1"/>
  <c r="H1118" i="1"/>
  <c r="C1241" i="1"/>
  <c r="H1117" i="1"/>
  <c r="C1599" i="1"/>
  <c r="H1116" i="1"/>
  <c r="C459" i="1"/>
  <c r="H1115" i="1"/>
  <c r="C377" i="1"/>
  <c r="H1114" i="1"/>
  <c r="C1240" i="1"/>
  <c r="H1113" i="1"/>
  <c r="C458" i="1"/>
  <c r="H1112" i="1"/>
  <c r="C376" i="1"/>
  <c r="H1111" i="1"/>
  <c r="C1239" i="1"/>
  <c r="H1110" i="1"/>
  <c r="C457" i="1"/>
  <c r="H1109" i="1"/>
  <c r="C375" i="1"/>
  <c r="H1108" i="1"/>
  <c r="C1238" i="1"/>
  <c r="H1107" i="1"/>
  <c r="C456" i="1"/>
  <c r="H1106" i="1"/>
  <c r="C374" i="1"/>
  <c r="H1105" i="1"/>
  <c r="C1237" i="1"/>
  <c r="H1104" i="1"/>
  <c r="C455" i="1"/>
  <c r="H1103" i="1"/>
  <c r="C373" i="1"/>
  <c r="H1102" i="1"/>
  <c r="C1598" i="1"/>
  <c r="H1101" i="1"/>
  <c r="C1597" i="1"/>
  <c r="H1100" i="1"/>
  <c r="C1596" i="1"/>
  <c r="H1099" i="1"/>
  <c r="C1595" i="1"/>
  <c r="H1098" i="1"/>
  <c r="C1594" i="1"/>
  <c r="H1097" i="1"/>
  <c r="C1593" i="1"/>
  <c r="H1096" i="1"/>
  <c r="C1592" i="1"/>
  <c r="H1095" i="1"/>
  <c r="C1591" i="1"/>
  <c r="H1094" i="1"/>
  <c r="C1590" i="1"/>
  <c r="H1093" i="1"/>
  <c r="C198" i="1"/>
  <c r="H1092" i="1"/>
  <c r="C197" i="1"/>
  <c r="H1091" i="1"/>
  <c r="C196" i="1"/>
  <c r="H1090" i="1"/>
  <c r="C99" i="1"/>
  <c r="H1089" i="1"/>
  <c r="C1236" i="1"/>
  <c r="H1088" i="1"/>
  <c r="C1235" i="1"/>
  <c r="H1087" i="1"/>
  <c r="C1234" i="1"/>
  <c r="H1086" i="1"/>
  <c r="C1233" i="1"/>
  <c r="H1085" i="1"/>
  <c r="C1232" i="1"/>
  <c r="H1084" i="1"/>
  <c r="C1231" i="1"/>
  <c r="H1083" i="1"/>
  <c r="C1230" i="1"/>
  <c r="H1082" i="1"/>
  <c r="C1229" i="1"/>
  <c r="H1081" i="1"/>
  <c r="C1228" i="1"/>
  <c r="H1080" i="1"/>
  <c r="C1227" i="1"/>
  <c r="H1079" i="1"/>
  <c r="C1226" i="1"/>
  <c r="H1078" i="1"/>
  <c r="C1225" i="1"/>
  <c r="H1077" i="1"/>
  <c r="C1224" i="1"/>
  <c r="H1076" i="1"/>
  <c r="C1223" i="1"/>
  <c r="H1075" i="1"/>
  <c r="C1222" i="1"/>
  <c r="H1074" i="1"/>
  <c r="C1221" i="1"/>
  <c r="H1073" i="1"/>
  <c r="C1220" i="1"/>
  <c r="H1072" i="1"/>
  <c r="C1219" i="1"/>
  <c r="H1071" i="1"/>
  <c r="C1218" i="1"/>
  <c r="H1070" i="1"/>
  <c r="C1217" i="1"/>
  <c r="H1069" i="1"/>
  <c r="C1216" i="1"/>
  <c r="H1068" i="1"/>
  <c r="C1215" i="1"/>
  <c r="H1067" i="1"/>
  <c r="C1214" i="1"/>
  <c r="H1066" i="1"/>
  <c r="C1213" i="1"/>
  <c r="H1065" i="1"/>
  <c r="C1212" i="1"/>
  <c r="H1064" i="1"/>
  <c r="C1211" i="1"/>
  <c r="H1063" i="1"/>
  <c r="C1210" i="1"/>
  <c r="H1062" i="1"/>
  <c r="C1209" i="1"/>
  <c r="H1061" i="1"/>
  <c r="C1208" i="1"/>
  <c r="H1060" i="1"/>
  <c r="C48" i="1"/>
  <c r="H1059" i="1"/>
  <c r="C372" i="1"/>
  <c r="H1058" i="1"/>
  <c r="C371" i="1"/>
  <c r="H1057" i="1"/>
  <c r="C370" i="1"/>
  <c r="H1056" i="1"/>
  <c r="C369" i="1"/>
  <c r="H1055" i="1"/>
  <c r="C47" i="1"/>
  <c r="H1054" i="1"/>
  <c r="C46" i="1"/>
  <c r="H1053" i="1"/>
  <c r="C1589" i="1"/>
  <c r="H1052" i="1"/>
  <c r="C226" i="1"/>
  <c r="H1051" i="1"/>
  <c r="C1588" i="1"/>
  <c r="H1050" i="1"/>
  <c r="C1207" i="1"/>
  <c r="H1049" i="1"/>
  <c r="C1206" i="1"/>
  <c r="H1048" i="1"/>
  <c r="C1205" i="1"/>
  <c r="H1047" i="1"/>
  <c r="C225" i="1"/>
  <c r="H1046" i="1"/>
  <c r="C1204" i="1"/>
  <c r="H1045" i="1"/>
  <c r="C224" i="1"/>
  <c r="H1044" i="1"/>
  <c r="C223" i="1"/>
  <c r="H1043" i="1"/>
  <c r="C222" i="1"/>
  <c r="H1042" i="1"/>
  <c r="C1587" i="1"/>
  <c r="H1041" i="1"/>
  <c r="C1586" i="1"/>
  <c r="H1040" i="1"/>
  <c r="C1585" i="1"/>
  <c r="H1039" i="1"/>
  <c r="C1584" i="1"/>
  <c r="H1038" i="1"/>
  <c r="C1583" i="1"/>
  <c r="H1037" i="1"/>
  <c r="C1582" i="1"/>
  <c r="H1036" i="1"/>
  <c r="C1581" i="1"/>
  <c r="H1035" i="1"/>
  <c r="C1580" i="1"/>
  <c r="H1034" i="1"/>
  <c r="C1203" i="1"/>
  <c r="H1033" i="1"/>
  <c r="C78" i="1"/>
  <c r="H1032" i="1"/>
  <c r="C221" i="1"/>
  <c r="H1031" i="1"/>
  <c r="C1579" i="1"/>
  <c r="H1030" i="1"/>
  <c r="C1202" i="1"/>
  <c r="H1029" i="1"/>
  <c r="C77" i="1"/>
  <c r="H1028" i="1"/>
  <c r="C1578" i="1"/>
  <c r="H1027" i="1"/>
  <c r="C1577" i="1"/>
  <c r="H1026" i="1"/>
  <c r="C1201" i="1"/>
  <c r="H1025" i="1"/>
  <c r="C1200" i="1"/>
  <c r="H1024" i="1"/>
  <c r="C1199" i="1"/>
  <c r="H1023" i="1"/>
  <c r="C1198" i="1"/>
  <c r="H1022" i="1"/>
  <c r="C1197" i="1"/>
  <c r="H1021" i="1"/>
  <c r="C7" i="1"/>
  <c r="H1020" i="1"/>
  <c r="C1196" i="1"/>
  <c r="H1019" i="1"/>
  <c r="C277" i="1"/>
  <c r="H1018" i="1"/>
  <c r="C1195" i="1"/>
  <c r="H1017" i="1"/>
  <c r="C1576" i="1"/>
  <c r="H1016" i="1"/>
  <c r="C1777" i="1"/>
  <c r="H1015" i="1"/>
  <c r="C1776" i="1"/>
  <c r="H1014" i="1"/>
  <c r="C368" i="1"/>
  <c r="H1013" i="1"/>
  <c r="C328" i="1"/>
  <c r="H1012" i="1"/>
  <c r="C276" i="1"/>
  <c r="H1011" i="1"/>
  <c r="C1575" i="1"/>
  <c r="H1010" i="1"/>
  <c r="C1194" i="1"/>
  <c r="H1009" i="1"/>
  <c r="C327" i="1"/>
  <c r="H1008" i="1"/>
  <c r="C6" i="1"/>
  <c r="H1007" i="1"/>
  <c r="C275" i="1"/>
  <c r="H1006" i="1"/>
  <c r="C1193" i="1"/>
  <c r="H1005" i="1"/>
  <c r="C1574" i="1"/>
  <c r="H1004" i="1"/>
  <c r="C5" i="1"/>
  <c r="H1003" i="1"/>
  <c r="C326" i="1"/>
  <c r="H1002" i="1"/>
  <c r="C1192" i="1"/>
  <c r="H1001" i="1"/>
  <c r="C274" i="1"/>
  <c r="H1000" i="1"/>
  <c r="C1573" i="1"/>
  <c r="H999" i="1"/>
  <c r="C367" i="1"/>
  <c r="H998" i="1"/>
  <c r="C4" i="1"/>
  <c r="H997" i="1"/>
  <c r="C1191" i="1"/>
  <c r="H996" i="1"/>
  <c r="C273" i="1"/>
  <c r="H995" i="1"/>
  <c r="C1572" i="1"/>
  <c r="H994" i="1"/>
  <c r="C3" i="1"/>
  <c r="H993" i="1"/>
  <c r="C1190" i="1"/>
  <c r="H992" i="1"/>
  <c r="C272" i="1"/>
  <c r="H991" i="1"/>
  <c r="C1571" i="1"/>
  <c r="H990" i="1"/>
  <c r="C2" i="1"/>
  <c r="H989" i="1"/>
  <c r="C271" i="1"/>
  <c r="H988" i="1"/>
  <c r="C1570" i="1"/>
  <c r="H987" i="1"/>
  <c r="C270" i="1"/>
  <c r="H986" i="1"/>
  <c r="C1775" i="1"/>
  <c r="H985" i="1"/>
  <c r="C122" i="1"/>
  <c r="H984" i="1"/>
  <c r="C1774" i="1"/>
  <c r="H983" i="1"/>
  <c r="C1773" i="1"/>
  <c r="H982" i="1"/>
  <c r="C121" i="1"/>
  <c r="H981" i="1"/>
  <c r="C1772" i="1"/>
  <c r="H980" i="1"/>
  <c r="C1771" i="1"/>
  <c r="H979" i="1"/>
  <c r="C1770" i="1"/>
  <c r="H978" i="1"/>
  <c r="C120" i="1"/>
  <c r="H977" i="1"/>
  <c r="C1769" i="1"/>
  <c r="H976" i="1"/>
  <c r="C1768" i="1"/>
  <c r="H975" i="1"/>
  <c r="C1767" i="1"/>
  <c r="H974" i="1"/>
  <c r="C119" i="1"/>
  <c r="H973" i="1"/>
  <c r="C1766" i="1"/>
  <c r="H972" i="1"/>
  <c r="C1765" i="1"/>
  <c r="H971" i="1"/>
  <c r="C1764" i="1"/>
  <c r="H970" i="1"/>
  <c r="C1763" i="1"/>
  <c r="H969" i="1"/>
  <c r="C1762" i="1"/>
  <c r="H968" i="1"/>
  <c r="C1761" i="1"/>
  <c r="H967" i="1"/>
  <c r="C1760" i="1"/>
  <c r="H966" i="1"/>
  <c r="C1759" i="1"/>
  <c r="H965" i="1"/>
  <c r="C1758" i="1"/>
  <c r="H964" i="1"/>
  <c r="C1757" i="1"/>
  <c r="H963" i="1"/>
  <c r="C76" i="1"/>
  <c r="H962" i="1"/>
  <c r="C1189" i="1"/>
  <c r="H961" i="1"/>
  <c r="C1756" i="1"/>
  <c r="H960" i="1"/>
  <c r="C31" i="1"/>
  <c r="H959" i="1"/>
  <c r="C1755" i="1"/>
  <c r="H958" i="1"/>
  <c r="C1188" i="1"/>
  <c r="H957" i="1"/>
  <c r="C188" i="1"/>
  <c r="H956" i="1"/>
  <c r="C75" i="1"/>
  <c r="H955" i="1"/>
  <c r="C74" i="1"/>
  <c r="H954" i="1"/>
  <c r="C83" i="1"/>
  <c r="H953" i="1"/>
  <c r="C73" i="1"/>
  <c r="H952" i="1"/>
  <c r="C72" i="1"/>
  <c r="H951" i="1"/>
  <c r="C82" i="1"/>
  <c r="H950" i="1"/>
  <c r="C81" i="1"/>
  <c r="H949" i="1"/>
  <c r="C71" i="1"/>
  <c r="H948" i="1"/>
  <c r="C70" i="1"/>
  <c r="H947" i="1"/>
  <c r="C69" i="1"/>
  <c r="H946" i="1"/>
  <c r="C68" i="1"/>
  <c r="H945" i="1"/>
  <c r="C67" i="1"/>
  <c r="H944" i="1"/>
  <c r="C66" i="1"/>
  <c r="H943" i="1"/>
  <c r="C65" i="1"/>
  <c r="H942" i="1"/>
  <c r="C64" i="1"/>
  <c r="H941" i="1"/>
  <c r="C63" i="1"/>
  <c r="H940" i="1"/>
  <c r="C1187" i="1"/>
  <c r="H939" i="1"/>
  <c r="C325" i="1"/>
  <c r="H938" i="1"/>
  <c r="C50" i="1"/>
  <c r="H937" i="1"/>
  <c r="C195" i="1"/>
  <c r="H936" i="1"/>
  <c r="C454" i="1"/>
  <c r="H935" i="1"/>
  <c r="C453" i="1"/>
  <c r="H934" i="1"/>
  <c r="C452" i="1"/>
  <c r="H933" i="1"/>
  <c r="C451" i="1"/>
  <c r="H932" i="1"/>
  <c r="C450" i="1"/>
  <c r="H931" i="1"/>
  <c r="C449" i="1"/>
  <c r="H930" i="1"/>
  <c r="C187" i="1"/>
  <c r="H929" i="1"/>
  <c r="C1186" i="1"/>
  <c r="H928" i="1"/>
  <c r="C366" i="1"/>
  <c r="H927" i="1"/>
  <c r="C269" i="1"/>
  <c r="H926" i="1"/>
  <c r="C268" i="1"/>
  <c r="H925" i="1"/>
  <c r="C24" i="1"/>
  <c r="H924" i="1"/>
  <c r="C1185" i="1"/>
  <c r="H923" i="1"/>
  <c r="C62" i="1"/>
  <c r="H922" i="1"/>
  <c r="C550" i="1"/>
  <c r="H921" i="1"/>
  <c r="C144" i="1"/>
  <c r="H920" i="1"/>
  <c r="C61" i="1"/>
  <c r="H919" i="1"/>
  <c r="C60" i="1"/>
  <c r="H918" i="1"/>
  <c r="C59" i="1"/>
  <c r="H917" i="1"/>
  <c r="C1184" i="1"/>
  <c r="H916" i="1"/>
  <c r="C549" i="1"/>
  <c r="H915" i="1"/>
  <c r="C143" i="1"/>
  <c r="H914" i="1"/>
  <c r="C365" i="1"/>
  <c r="H913" i="1"/>
  <c r="C548" i="1"/>
  <c r="H912" i="1"/>
  <c r="C1183" i="1"/>
  <c r="H911" i="1"/>
  <c r="C1182" i="1"/>
  <c r="H910" i="1"/>
  <c r="C547" i="1"/>
  <c r="H909" i="1"/>
  <c r="C1181" i="1"/>
  <c r="H908" i="1"/>
  <c r="C546" i="1"/>
  <c r="H907" i="1"/>
  <c r="C1180" i="1"/>
  <c r="H906" i="1"/>
  <c r="C545" i="1"/>
  <c r="H905" i="1"/>
  <c r="C1179" i="1"/>
  <c r="H904" i="1"/>
  <c r="C544" i="1"/>
  <c r="H903" i="1"/>
  <c r="C543" i="1"/>
  <c r="H902" i="1"/>
  <c r="C1178" i="1"/>
  <c r="H901" i="1"/>
  <c r="C542" i="1"/>
  <c r="H900" i="1"/>
  <c r="C1177" i="1"/>
  <c r="H899" i="1"/>
  <c r="C1176" i="1"/>
  <c r="H898" i="1"/>
  <c r="C1175" i="1"/>
  <c r="H897" i="1"/>
  <c r="C1174" i="1"/>
  <c r="H896" i="1"/>
  <c r="C1173" i="1"/>
  <c r="H895" i="1"/>
  <c r="C1172" i="1"/>
  <c r="H894" i="1"/>
  <c r="C541" i="1"/>
  <c r="H893" i="1"/>
  <c r="C1171" i="1"/>
  <c r="H892" i="1"/>
  <c r="C1170" i="1"/>
  <c r="H891" i="1"/>
  <c r="C1169" i="1"/>
  <c r="H890" i="1"/>
  <c r="C1168" i="1"/>
  <c r="H889" i="1"/>
  <c r="C1167" i="1"/>
  <c r="H888" i="1"/>
  <c r="C1166" i="1"/>
  <c r="H887" i="1"/>
  <c r="C98" i="1"/>
  <c r="H886" i="1"/>
  <c r="C109" i="1"/>
  <c r="H885" i="1"/>
  <c r="C1165" i="1"/>
  <c r="H884" i="1"/>
  <c r="C1164" i="1"/>
  <c r="H883" i="1"/>
  <c r="C97" i="1"/>
  <c r="H882" i="1"/>
  <c r="C108" i="1"/>
  <c r="H881" i="1"/>
  <c r="C448" i="1"/>
  <c r="H880" i="1"/>
  <c r="C87" i="1"/>
  <c r="H879" i="1"/>
  <c r="C86" i="1"/>
  <c r="H878" i="1"/>
  <c r="C540" i="1"/>
  <c r="H877" i="1"/>
  <c r="C539" i="1"/>
  <c r="H876" i="1"/>
  <c r="C538" i="1"/>
  <c r="H875" i="1"/>
  <c r="C537" i="1"/>
  <c r="H874" i="1"/>
  <c r="C536" i="1"/>
  <c r="H873" i="1"/>
  <c r="C535" i="1"/>
  <c r="H872" i="1"/>
  <c r="C534" i="1"/>
  <c r="H871" i="1"/>
  <c r="C533" i="1"/>
  <c r="H870" i="1"/>
  <c r="C1163" i="1"/>
  <c r="H869" i="1"/>
  <c r="C1754" i="1"/>
  <c r="H868" i="1"/>
  <c r="C1162" i="1"/>
  <c r="H867" i="1"/>
  <c r="C1161" i="1"/>
  <c r="H866" i="1"/>
  <c r="C1160" i="1"/>
  <c r="H865" i="1"/>
  <c r="C1159" i="1"/>
  <c r="H864" i="1"/>
  <c r="C1158" i="1"/>
  <c r="H863" i="1"/>
  <c r="C1157" i="1"/>
  <c r="H862" i="1"/>
  <c r="C1156" i="1"/>
  <c r="H861" i="1"/>
  <c r="C1155" i="1"/>
  <c r="H860" i="1"/>
  <c r="C1154" i="1"/>
  <c r="H859" i="1"/>
  <c r="C1153" i="1"/>
  <c r="H858" i="1"/>
  <c r="C1152" i="1"/>
  <c r="H857" i="1"/>
  <c r="C1151" i="1"/>
  <c r="H856" i="1"/>
  <c r="C1150" i="1"/>
  <c r="H855" i="1"/>
  <c r="C1149" i="1"/>
  <c r="H854" i="1"/>
  <c r="C1148" i="1"/>
  <c r="H853" i="1"/>
  <c r="C1147" i="1"/>
  <c r="H852" i="1"/>
  <c r="C1146" i="1"/>
  <c r="H851" i="1"/>
  <c r="C1145" i="1"/>
  <c r="H850" i="1"/>
  <c r="C1144" i="1"/>
  <c r="H849" i="1"/>
  <c r="C1143" i="1"/>
  <c r="H848" i="1"/>
  <c r="C1142" i="1"/>
  <c r="H847" i="1"/>
  <c r="C1141" i="1"/>
  <c r="H846" i="1"/>
  <c r="C1140" i="1"/>
  <c r="H845" i="1"/>
  <c r="C1139" i="1"/>
  <c r="H844" i="1"/>
  <c r="C1138" i="1"/>
  <c r="H843" i="1"/>
  <c r="C1137" i="1"/>
  <c r="H842" i="1"/>
  <c r="C1136" i="1"/>
  <c r="H841" i="1"/>
  <c r="C1135" i="1"/>
  <c r="H840" i="1"/>
  <c r="C1134" i="1"/>
  <c r="H839" i="1"/>
  <c r="C1133" i="1"/>
  <c r="H838" i="1"/>
  <c r="C1132" i="1"/>
  <c r="H837" i="1"/>
  <c r="C1131" i="1"/>
  <c r="H836" i="1"/>
  <c r="C1130" i="1"/>
  <c r="H835" i="1"/>
  <c r="C1129" i="1"/>
  <c r="H834" i="1"/>
  <c r="C1128" i="1"/>
  <c r="H833" i="1"/>
  <c r="C1127" i="1"/>
  <c r="H832" i="1"/>
  <c r="C1126" i="1"/>
  <c r="H831" i="1"/>
  <c r="C1125" i="1"/>
  <c r="H830" i="1"/>
  <c r="C1124" i="1"/>
  <c r="H829" i="1"/>
  <c r="C1123" i="1"/>
  <c r="H828" i="1"/>
  <c r="C1122" i="1"/>
  <c r="H827" i="1"/>
  <c r="C220" i="1"/>
  <c r="H826" i="1"/>
  <c r="C1121" i="1"/>
  <c r="H825" i="1"/>
  <c r="C1120" i="1"/>
  <c r="H824" i="1"/>
  <c r="C1753" i="1"/>
  <c r="H823" i="1"/>
  <c r="C1752" i="1"/>
  <c r="H822" i="1"/>
  <c r="C1751" i="1"/>
  <c r="H821" i="1"/>
  <c r="C1750" i="1"/>
  <c r="H820" i="1"/>
  <c r="C1749" i="1"/>
  <c r="H819" i="1"/>
  <c r="C1748" i="1"/>
  <c r="H818" i="1"/>
  <c r="C1747" i="1"/>
  <c r="H817" i="1"/>
  <c r="C1746" i="1"/>
  <c r="H816" i="1"/>
  <c r="C1745" i="1"/>
  <c r="H815" i="1"/>
  <c r="C1119" i="1"/>
  <c r="H814" i="1"/>
  <c r="C1118" i="1"/>
  <c r="H813" i="1"/>
  <c r="C1117" i="1"/>
  <c r="H812" i="1"/>
  <c r="C1116" i="1"/>
  <c r="H811" i="1"/>
  <c r="C1115" i="1"/>
  <c r="H810" i="1"/>
  <c r="C324" i="1"/>
  <c r="H809" i="1"/>
  <c r="C267" i="1"/>
  <c r="H808" i="1"/>
  <c r="C219" i="1"/>
  <c r="H807" i="1"/>
  <c r="C1744" i="1"/>
  <c r="H806" i="1"/>
  <c r="C1569" i="1"/>
  <c r="H805" i="1"/>
  <c r="C1568" i="1"/>
  <c r="H804" i="1"/>
  <c r="C1567" i="1"/>
  <c r="H803" i="1"/>
  <c r="C1566" i="1"/>
  <c r="H802" i="1"/>
  <c r="C1565" i="1"/>
  <c r="H801" i="1"/>
  <c r="C1564" i="1"/>
  <c r="H800" i="1"/>
  <c r="C1563" i="1"/>
  <c r="H799" i="1"/>
  <c r="C1562" i="1"/>
  <c r="H798" i="1"/>
  <c r="C1743" i="1"/>
  <c r="H797" i="1"/>
  <c r="C1742" i="1"/>
  <c r="H796" i="1"/>
  <c r="C1741" i="1"/>
  <c r="H795" i="1"/>
  <c r="C1740" i="1"/>
  <c r="H794" i="1"/>
  <c r="C1739" i="1"/>
  <c r="H793" i="1"/>
  <c r="C1738" i="1"/>
  <c r="H792" i="1"/>
  <c r="C1737" i="1"/>
  <c r="H791" i="1"/>
  <c r="C1736" i="1"/>
  <c r="H790" i="1"/>
  <c r="C1735" i="1"/>
  <c r="H789" i="1"/>
  <c r="C1734" i="1"/>
  <c r="H788" i="1"/>
  <c r="C1733" i="1"/>
  <c r="H787" i="1"/>
  <c r="C1732" i="1"/>
  <c r="H786" i="1"/>
  <c r="C1731" i="1"/>
  <c r="H785" i="1"/>
  <c r="C532" i="1"/>
  <c r="H784" i="1"/>
  <c r="C447" i="1"/>
  <c r="H783" i="1"/>
  <c r="C19" i="1"/>
  <c r="H782" i="1"/>
  <c r="C446" i="1"/>
  <c r="H781" i="1"/>
  <c r="C18" i="1"/>
  <c r="H780" i="1"/>
  <c r="C17" i="1"/>
  <c r="H779" i="1"/>
  <c r="C445" i="1"/>
  <c r="H778" i="1"/>
  <c r="C444" i="1"/>
  <c r="H777" i="1"/>
  <c r="C16" i="1"/>
  <c r="H776" i="1"/>
  <c r="C443" i="1"/>
  <c r="H775" i="1"/>
  <c r="C15" i="1"/>
  <c r="H774" i="1"/>
  <c r="C442" i="1"/>
  <c r="H773" i="1"/>
  <c r="C14" i="1"/>
  <c r="H772" i="1"/>
  <c r="C13" i="1"/>
  <c r="H771" i="1"/>
  <c r="C12" i="1"/>
  <c r="H770" i="1"/>
  <c r="C1730" i="1"/>
  <c r="H769" i="1"/>
  <c r="C531" i="1"/>
  <c r="H768" i="1"/>
  <c r="C441" i="1"/>
  <c r="H767" i="1"/>
  <c r="C530" i="1"/>
  <c r="H766" i="1"/>
  <c r="C529" i="1"/>
  <c r="H765" i="1"/>
  <c r="C528" i="1"/>
  <c r="H764" i="1"/>
  <c r="C527" i="1"/>
  <c r="H763" i="1"/>
  <c r="C1729" i="1"/>
  <c r="H762" i="1"/>
  <c r="C1728" i="1"/>
  <c r="H761" i="1"/>
  <c r="C1114" i="1"/>
  <c r="H760" i="1"/>
  <c r="C526" i="1"/>
  <c r="H759" i="1"/>
  <c r="C525" i="1"/>
  <c r="H758" i="1"/>
  <c r="C524" i="1"/>
  <c r="H757" i="1"/>
  <c r="C523" i="1"/>
  <c r="H756" i="1"/>
  <c r="C522" i="1"/>
  <c r="H755" i="1"/>
  <c r="C521" i="1"/>
  <c r="H754" i="1"/>
  <c r="C1113" i="1"/>
  <c r="H753" i="1"/>
  <c r="C1112" i="1"/>
  <c r="H752" i="1"/>
  <c r="C1111" i="1"/>
  <c r="H751" i="1"/>
  <c r="C1110" i="1"/>
  <c r="H750" i="1"/>
  <c r="C1109" i="1"/>
  <c r="H749" i="1"/>
  <c r="C1108" i="1"/>
  <c r="H748" i="1"/>
  <c r="C1107" i="1"/>
  <c r="H747" i="1"/>
  <c r="C1106" i="1"/>
  <c r="H746" i="1"/>
  <c r="C1105" i="1"/>
  <c r="H745" i="1"/>
  <c r="C1104" i="1"/>
  <c r="H744" i="1"/>
  <c r="C1103" i="1"/>
  <c r="H743" i="1"/>
  <c r="C1102" i="1"/>
  <c r="H742" i="1"/>
  <c r="C1727" i="1"/>
  <c r="H741" i="1"/>
  <c r="C1101" i="1"/>
  <c r="H740" i="1"/>
  <c r="C1100" i="1"/>
  <c r="H739" i="1"/>
  <c r="C1726" i="1"/>
  <c r="H738" i="1"/>
  <c r="C1725" i="1"/>
  <c r="H737" i="1"/>
  <c r="C1724" i="1"/>
  <c r="H736" i="1"/>
  <c r="C1723" i="1"/>
  <c r="H735" i="1"/>
  <c r="C1099" i="1"/>
  <c r="H734" i="1"/>
  <c r="C1722" i="1"/>
  <c r="H733" i="1"/>
  <c r="C1721" i="1"/>
  <c r="H732" i="1"/>
  <c r="C1720" i="1"/>
  <c r="H731" i="1"/>
  <c r="C1719" i="1"/>
  <c r="H730" i="1"/>
  <c r="C1098" i="1"/>
  <c r="H729" i="1"/>
  <c r="C1718" i="1"/>
  <c r="H728" i="1"/>
  <c r="C1717" i="1"/>
  <c r="H727" i="1"/>
  <c r="C1716" i="1"/>
  <c r="H726" i="1"/>
  <c r="C1715" i="1"/>
  <c r="H725" i="1"/>
  <c r="C1097" i="1"/>
  <c r="H724" i="1"/>
  <c r="C1714" i="1"/>
  <c r="H723" i="1"/>
  <c r="C1713" i="1"/>
  <c r="H722" i="1"/>
  <c r="C1712" i="1"/>
  <c r="H721" i="1"/>
  <c r="C1711" i="1"/>
  <c r="H720" i="1"/>
  <c r="C1096" i="1"/>
  <c r="H719" i="1"/>
  <c r="C1710" i="1"/>
  <c r="H718" i="1"/>
  <c r="C1095" i="1"/>
  <c r="H717" i="1"/>
  <c r="C1709" i="1"/>
  <c r="H716" i="1"/>
  <c r="C1708" i="1"/>
  <c r="H715" i="1"/>
  <c r="C1707" i="1"/>
  <c r="H714" i="1"/>
  <c r="C1706" i="1"/>
  <c r="H713" i="1"/>
  <c r="C1094" i="1"/>
  <c r="H712" i="1"/>
  <c r="C1705" i="1"/>
  <c r="H711" i="1"/>
  <c r="C1704" i="1"/>
  <c r="H710" i="1"/>
  <c r="C1703" i="1"/>
  <c r="H709" i="1"/>
  <c r="C1702" i="1"/>
  <c r="H708" i="1"/>
  <c r="C1093" i="1"/>
  <c r="H707" i="1"/>
  <c r="C1701" i="1"/>
  <c r="H706" i="1"/>
  <c r="C1092" i="1"/>
  <c r="H705" i="1"/>
  <c r="C1700" i="1"/>
  <c r="H704" i="1"/>
  <c r="C1091" i="1"/>
  <c r="H703" i="1"/>
  <c r="C1090" i="1"/>
  <c r="H702" i="1"/>
  <c r="C1089" i="1"/>
  <c r="H701" i="1"/>
  <c r="C1088" i="1"/>
  <c r="H700" i="1"/>
  <c r="C1087" i="1"/>
  <c r="H699" i="1"/>
  <c r="C1086" i="1"/>
  <c r="H698" i="1"/>
  <c r="C1085" i="1"/>
  <c r="H697" i="1"/>
  <c r="C1084" i="1"/>
  <c r="H696" i="1"/>
  <c r="C1083" i="1"/>
  <c r="H695" i="1"/>
  <c r="C1082" i="1"/>
  <c r="H694" i="1"/>
  <c r="C1081" i="1"/>
  <c r="H693" i="1"/>
  <c r="C1080" i="1"/>
  <c r="H692" i="1"/>
  <c r="C1079" i="1"/>
  <c r="H691" i="1"/>
  <c r="C1078" i="1"/>
  <c r="H690" i="1"/>
  <c r="C1077" i="1"/>
  <c r="H689" i="1"/>
  <c r="C1076" i="1"/>
  <c r="H688" i="1"/>
  <c r="C1075" i="1"/>
  <c r="H687" i="1"/>
  <c r="C1074" i="1"/>
  <c r="H686" i="1"/>
  <c r="C1073" i="1"/>
  <c r="H685" i="1"/>
  <c r="C1072" i="1"/>
  <c r="H684" i="1"/>
  <c r="C1071" i="1"/>
  <c r="H683" i="1"/>
  <c r="C1070" i="1"/>
  <c r="H682" i="1"/>
  <c r="C1069" i="1"/>
  <c r="H681" i="1"/>
  <c r="C1068" i="1"/>
  <c r="H680" i="1"/>
  <c r="C1067" i="1"/>
  <c r="H679" i="1"/>
  <c r="C1066" i="1"/>
  <c r="H678" i="1"/>
  <c r="C1065" i="1"/>
  <c r="H677" i="1"/>
  <c r="C1064" i="1"/>
  <c r="H676" i="1"/>
  <c r="C323" i="1"/>
  <c r="H675" i="1"/>
  <c r="C322" i="1"/>
  <c r="H674" i="1"/>
  <c r="C321" i="1"/>
  <c r="H673" i="1"/>
  <c r="C364" i="1"/>
  <c r="H672" i="1"/>
  <c r="C1699" i="1"/>
  <c r="H671" i="1"/>
  <c r="C1698" i="1"/>
  <c r="H670" i="1"/>
  <c r="C1697" i="1"/>
  <c r="H669" i="1"/>
  <c r="C1621" i="1"/>
  <c r="H668" i="1"/>
  <c r="C1063" i="1"/>
  <c r="H667" i="1"/>
  <c r="C1062" i="1"/>
  <c r="H666" i="1"/>
  <c r="C1061" i="1"/>
  <c r="H665" i="1"/>
  <c r="C1060" i="1"/>
  <c r="H664" i="1"/>
  <c r="C1059" i="1"/>
  <c r="H663" i="1"/>
  <c r="C1058" i="1"/>
  <c r="H662" i="1"/>
  <c r="C1057" i="1"/>
  <c r="H661" i="1"/>
  <c r="C1056" i="1"/>
  <c r="H660" i="1"/>
  <c r="C1055" i="1"/>
  <c r="H659" i="1"/>
  <c r="C1696" i="1"/>
  <c r="H658" i="1"/>
  <c r="C1695" i="1"/>
  <c r="H657" i="1"/>
  <c r="C1694" i="1"/>
  <c r="H656" i="1"/>
  <c r="C1054" i="1"/>
  <c r="H655" i="1"/>
  <c r="C1053" i="1"/>
  <c r="H654" i="1"/>
  <c r="C1052" i="1"/>
  <c r="H653" i="1"/>
  <c r="C1051" i="1"/>
  <c r="H652" i="1"/>
  <c r="C1561" i="1"/>
  <c r="H651" i="1"/>
  <c r="C1050" i="1"/>
  <c r="H650" i="1"/>
  <c r="C1049" i="1"/>
  <c r="H649" i="1"/>
  <c r="C1048" i="1"/>
  <c r="H648" i="1"/>
  <c r="C1047" i="1"/>
  <c r="H647" i="1"/>
  <c r="C1046" i="1"/>
  <c r="H646" i="1"/>
  <c r="C1560" i="1"/>
  <c r="H645" i="1"/>
  <c r="C1045" i="1"/>
  <c r="H644" i="1"/>
  <c r="C520" i="1"/>
  <c r="H643" i="1"/>
  <c r="C1044" i="1"/>
  <c r="H642" i="1"/>
  <c r="C1043" i="1"/>
  <c r="H641" i="1"/>
  <c r="C1042" i="1"/>
  <c r="H640" i="1"/>
  <c r="C1041" i="1"/>
  <c r="H639" i="1"/>
  <c r="C1040" i="1"/>
  <c r="H638" i="1"/>
  <c r="C1039" i="1"/>
  <c r="H637" i="1"/>
  <c r="C1038" i="1"/>
  <c r="H636" i="1"/>
  <c r="C1037" i="1"/>
  <c r="H635" i="1"/>
  <c r="C1036" i="1"/>
  <c r="H634" i="1"/>
  <c r="C1625" i="1"/>
  <c r="H633" i="1"/>
  <c r="C1035" i="1"/>
  <c r="H632" i="1"/>
  <c r="C1693" i="1"/>
  <c r="H631" i="1"/>
  <c r="C1692" i="1"/>
  <c r="H630" i="1"/>
  <c r="C1691" i="1"/>
  <c r="H629" i="1"/>
  <c r="C1690" i="1"/>
  <c r="H628" i="1"/>
  <c r="C1689" i="1"/>
  <c r="H627" i="1"/>
  <c r="C1688" i="1"/>
  <c r="H626" i="1"/>
  <c r="C1687" i="1"/>
  <c r="H625" i="1"/>
  <c r="C1686" i="1"/>
  <c r="H624" i="1"/>
  <c r="C1685" i="1"/>
  <c r="H623" i="1"/>
  <c r="C1034" i="1"/>
  <c r="H622" i="1"/>
  <c r="C1033" i="1"/>
  <c r="H621" i="1"/>
  <c r="C1032" i="1"/>
  <c r="H620" i="1"/>
  <c r="C1031" i="1"/>
  <c r="H619" i="1"/>
  <c r="C1030" i="1"/>
  <c r="H618" i="1"/>
  <c r="C1029" i="1"/>
  <c r="H617" i="1"/>
  <c r="C1028" i="1"/>
  <c r="H616" i="1"/>
  <c r="C1027" i="1"/>
  <c r="H615" i="1"/>
  <c r="C1026" i="1"/>
  <c r="H614" i="1"/>
  <c r="C1025" i="1"/>
  <c r="H613" i="1"/>
  <c r="C1024" i="1"/>
  <c r="H612" i="1"/>
  <c r="C1023" i="1"/>
  <c r="H611" i="1"/>
  <c r="C1022" i="1"/>
  <c r="H610" i="1"/>
  <c r="C519" i="1"/>
  <c r="H609" i="1"/>
  <c r="C518" i="1"/>
  <c r="H608" i="1"/>
  <c r="C1021" i="1"/>
  <c r="H607" i="1"/>
  <c r="C1684" i="1"/>
  <c r="H606" i="1"/>
  <c r="C1020" i="1"/>
  <c r="H605" i="1"/>
  <c r="C1683" i="1"/>
  <c r="H604" i="1"/>
  <c r="C1682" i="1"/>
  <c r="H603" i="1"/>
  <c r="C1681" i="1"/>
  <c r="H602" i="1"/>
  <c r="C1019" i="1"/>
  <c r="H601" i="1"/>
  <c r="C1018" i="1"/>
  <c r="H600" i="1"/>
  <c r="C1017" i="1"/>
  <c r="H599" i="1"/>
  <c r="C1016" i="1"/>
  <c r="H598" i="1"/>
  <c r="C1015" i="1"/>
  <c r="H597" i="1"/>
  <c r="C1014" i="1"/>
  <c r="H596" i="1"/>
  <c r="C1013" i="1"/>
  <c r="H595" i="1"/>
  <c r="C1012" i="1"/>
  <c r="H594" i="1"/>
  <c r="C1811" i="1"/>
  <c r="H593" i="1"/>
  <c r="C1011" i="1"/>
  <c r="H592" i="1"/>
  <c r="C1010" i="1"/>
  <c r="H591" i="1"/>
  <c r="C517" i="1"/>
  <c r="H590" i="1"/>
  <c r="C186" i="1"/>
  <c r="H589" i="1"/>
  <c r="C1009" i="1"/>
  <c r="H588" i="1"/>
  <c r="C1680" i="1"/>
  <c r="H587" i="1"/>
  <c r="C185" i="1"/>
  <c r="H586" i="1"/>
  <c r="C1008" i="1"/>
  <c r="H585" i="1"/>
  <c r="C1679" i="1"/>
  <c r="H584" i="1"/>
  <c r="C184" i="1"/>
  <c r="H583" i="1"/>
  <c r="C164" i="1"/>
  <c r="H582" i="1"/>
  <c r="C163" i="1"/>
  <c r="H581" i="1"/>
  <c r="C142" i="1"/>
  <c r="H580" i="1"/>
  <c r="C141" i="1"/>
  <c r="H579" i="1"/>
  <c r="C140" i="1"/>
  <c r="H578" i="1"/>
  <c r="C139" i="1"/>
  <c r="H577" i="1"/>
  <c r="C138" i="1"/>
  <c r="H576" i="1"/>
  <c r="C137" i="1"/>
  <c r="H575" i="1"/>
  <c r="C136" i="1"/>
  <c r="H574" i="1"/>
  <c r="C135" i="1"/>
  <c r="H573" i="1"/>
  <c r="C118" i="1"/>
  <c r="H572" i="1"/>
  <c r="C117" i="1"/>
  <c r="H571" i="1"/>
  <c r="C156" i="1"/>
  <c r="H570" i="1"/>
  <c r="C155" i="1"/>
  <c r="H569" i="1"/>
  <c r="C162" i="1"/>
  <c r="H568" i="1"/>
  <c r="C154" i="1"/>
  <c r="H567" i="1"/>
  <c r="C153" i="1"/>
  <c r="H566" i="1"/>
  <c r="C152" i="1"/>
  <c r="H565" i="1"/>
  <c r="C151" i="1"/>
  <c r="H564" i="1"/>
  <c r="C1007" i="1"/>
  <c r="H563" i="1"/>
  <c r="C134" i="1"/>
  <c r="H562" i="1"/>
  <c r="C133" i="1"/>
  <c r="H561" i="1"/>
  <c r="C132" i="1"/>
  <c r="H560" i="1"/>
  <c r="C150" i="1"/>
  <c r="H559" i="1"/>
  <c r="C149" i="1"/>
  <c r="H558" i="1"/>
  <c r="C1006" i="1"/>
  <c r="H557" i="1"/>
  <c r="C1005" i="1"/>
  <c r="H556" i="1"/>
  <c r="C1004" i="1"/>
  <c r="H555" i="1"/>
  <c r="C1003" i="1"/>
  <c r="H554" i="1"/>
  <c r="C1002" i="1"/>
  <c r="H553" i="1"/>
  <c r="C1001" i="1"/>
  <c r="H552" i="1"/>
  <c r="C1000" i="1"/>
  <c r="H551" i="1"/>
  <c r="C999" i="1"/>
  <c r="H550" i="1"/>
  <c r="C998" i="1"/>
  <c r="H549" i="1"/>
  <c r="C997" i="1"/>
  <c r="H548" i="1"/>
  <c r="C996" i="1"/>
  <c r="H547" i="1"/>
  <c r="C995" i="1"/>
  <c r="H546" i="1"/>
  <c r="C994" i="1"/>
  <c r="H545" i="1"/>
  <c r="C1678" i="1"/>
  <c r="H544" i="1"/>
  <c r="C1677" i="1"/>
  <c r="H543" i="1"/>
  <c r="C1676" i="1"/>
  <c r="H542" i="1"/>
  <c r="C993" i="1"/>
  <c r="H541" i="1"/>
  <c r="C1675" i="1"/>
  <c r="H540" i="1"/>
  <c r="C1674" i="1"/>
  <c r="H539" i="1"/>
  <c r="C1673" i="1"/>
  <c r="H538" i="1"/>
  <c r="C1672" i="1"/>
  <c r="H537" i="1"/>
  <c r="C1671" i="1"/>
  <c r="H536" i="1"/>
  <c r="C1670" i="1"/>
  <c r="H535" i="1"/>
  <c r="C1669" i="1"/>
  <c r="H534" i="1"/>
  <c r="C1668" i="1"/>
  <c r="H533" i="1"/>
  <c r="C1667" i="1"/>
  <c r="H532" i="1"/>
  <c r="C1666" i="1"/>
  <c r="H531" i="1"/>
  <c r="C1665" i="1"/>
  <c r="H530" i="1"/>
  <c r="C1664" i="1"/>
  <c r="H529" i="1"/>
  <c r="C1663" i="1"/>
  <c r="H528" i="1"/>
  <c r="C1662" i="1"/>
  <c r="H527" i="1"/>
  <c r="C1661" i="1"/>
  <c r="H526" i="1"/>
  <c r="C1660" i="1"/>
  <c r="H525" i="1"/>
  <c r="C992" i="1"/>
  <c r="H524" i="1"/>
  <c r="C516" i="1"/>
  <c r="H523" i="1"/>
  <c r="C991" i="1"/>
  <c r="H522" i="1"/>
  <c r="C990" i="1"/>
  <c r="H521" i="1"/>
  <c r="C989" i="1"/>
  <c r="H520" i="1"/>
  <c r="C515" i="1"/>
  <c r="H519" i="1"/>
  <c r="C988" i="1"/>
  <c r="H518" i="1"/>
  <c r="C987" i="1"/>
  <c r="H517" i="1"/>
  <c r="C514" i="1"/>
  <c r="H516" i="1"/>
  <c r="C513" i="1"/>
  <c r="H515" i="1"/>
  <c r="C986" i="1"/>
  <c r="H514" i="1"/>
  <c r="C985" i="1"/>
  <c r="H513" i="1"/>
  <c r="C984" i="1"/>
  <c r="H512" i="1"/>
  <c r="C983" i="1"/>
  <c r="H511" i="1"/>
  <c r="C982" i="1"/>
  <c r="H510" i="1"/>
  <c r="C981" i="1"/>
  <c r="H509" i="1"/>
  <c r="C980" i="1"/>
  <c r="H508" i="1"/>
  <c r="C979" i="1"/>
  <c r="H507" i="1"/>
  <c r="C978" i="1"/>
  <c r="H506" i="1"/>
  <c r="C977" i="1"/>
  <c r="H505" i="1"/>
  <c r="C976" i="1"/>
  <c r="H504" i="1"/>
  <c r="C975" i="1"/>
  <c r="H503" i="1"/>
  <c r="C974" i="1"/>
  <c r="H502" i="1"/>
  <c r="C363" i="1"/>
  <c r="H501" i="1"/>
  <c r="C362" i="1"/>
  <c r="H500" i="1"/>
  <c r="C361" i="1"/>
  <c r="H499" i="1"/>
  <c r="C360" i="1"/>
  <c r="H498" i="1"/>
  <c r="C359" i="1"/>
  <c r="H497" i="1"/>
  <c r="C358" i="1"/>
  <c r="H496" i="1"/>
  <c r="C357" i="1"/>
  <c r="H495" i="1"/>
  <c r="C973" i="1"/>
  <c r="H494" i="1"/>
  <c r="C972" i="1"/>
  <c r="H493" i="1"/>
  <c r="C971" i="1"/>
  <c r="H492" i="1"/>
  <c r="C970" i="1"/>
  <c r="H491" i="1"/>
  <c r="C969" i="1"/>
  <c r="H490" i="1"/>
  <c r="C968" i="1"/>
  <c r="H489" i="1"/>
  <c r="C967" i="1"/>
  <c r="H488" i="1"/>
  <c r="C966" i="1"/>
  <c r="H487" i="1"/>
  <c r="C965" i="1"/>
  <c r="H486" i="1"/>
  <c r="C964" i="1"/>
  <c r="H485" i="1"/>
  <c r="C963" i="1"/>
  <c r="H484" i="1"/>
  <c r="C962" i="1"/>
  <c r="H483" i="1"/>
  <c r="C961" i="1"/>
  <c r="H482" i="1"/>
  <c r="C960" i="1"/>
  <c r="H481" i="1"/>
  <c r="C959" i="1"/>
  <c r="H480" i="1"/>
  <c r="C958" i="1"/>
  <c r="H479" i="1"/>
  <c r="C957" i="1"/>
  <c r="H478" i="1"/>
  <c r="C956" i="1"/>
  <c r="H477" i="1"/>
  <c r="C955" i="1"/>
  <c r="H476" i="1"/>
  <c r="C954" i="1"/>
  <c r="H475" i="1"/>
  <c r="C953" i="1"/>
  <c r="H474" i="1"/>
  <c r="C952" i="1"/>
  <c r="H473" i="1"/>
  <c r="C951" i="1"/>
  <c r="H472" i="1"/>
  <c r="C950" i="1"/>
  <c r="H471" i="1"/>
  <c r="C949" i="1"/>
  <c r="H470" i="1"/>
  <c r="C948" i="1"/>
  <c r="H469" i="1"/>
  <c r="C947" i="1"/>
  <c r="H468" i="1"/>
  <c r="C946" i="1"/>
  <c r="H467" i="1"/>
  <c r="C945" i="1"/>
  <c r="H466" i="1"/>
  <c r="C944" i="1"/>
  <c r="H465" i="1"/>
  <c r="C943" i="1"/>
  <c r="H464" i="1"/>
  <c r="C942" i="1"/>
  <c r="H463" i="1"/>
  <c r="C941" i="1"/>
  <c r="H462" i="1"/>
  <c r="C940" i="1"/>
  <c r="H461" i="1"/>
  <c r="C939" i="1"/>
  <c r="H460" i="1"/>
  <c r="C938" i="1"/>
  <c r="H459" i="1"/>
  <c r="C937" i="1"/>
  <c r="H458" i="1"/>
  <c r="C1620" i="1"/>
  <c r="H457" i="1"/>
  <c r="C1619" i="1"/>
  <c r="H456" i="1"/>
  <c r="C1618" i="1"/>
  <c r="H455" i="1"/>
  <c r="C1617" i="1"/>
  <c r="H454" i="1"/>
  <c r="C1616" i="1"/>
  <c r="H453" i="1"/>
  <c r="C1615" i="1"/>
  <c r="H452" i="1"/>
  <c r="C512" i="1"/>
  <c r="H451" i="1"/>
  <c r="C936" i="1"/>
  <c r="H450" i="1"/>
  <c r="C511" i="1"/>
  <c r="H449" i="1"/>
  <c r="C510" i="1"/>
  <c r="H448" i="1"/>
  <c r="C935" i="1"/>
  <c r="H447" i="1"/>
  <c r="C427" i="1"/>
  <c r="H446" i="1"/>
  <c r="C218" i="1"/>
  <c r="H445" i="1"/>
  <c r="C356" i="1"/>
  <c r="H444" i="1"/>
  <c r="C355" i="1"/>
  <c r="H443" i="1"/>
  <c r="C934" i="1"/>
  <c r="H442" i="1"/>
  <c r="C1659" i="1"/>
  <c r="H441" i="1"/>
  <c r="C1658" i="1"/>
  <c r="H440" i="1"/>
  <c r="C1657" i="1"/>
  <c r="H439" i="1"/>
  <c r="C1656" i="1"/>
  <c r="H438" i="1"/>
  <c r="C1655" i="1"/>
  <c r="H437" i="1"/>
  <c r="C1654" i="1"/>
  <c r="H436" i="1"/>
  <c r="C1653" i="1"/>
  <c r="H435" i="1"/>
  <c r="C1652" i="1"/>
  <c r="H434" i="1"/>
  <c r="C1651" i="1"/>
  <c r="H433" i="1"/>
  <c r="C1650" i="1"/>
  <c r="H432" i="1"/>
  <c r="C1649" i="1"/>
  <c r="H431" i="1"/>
  <c r="C1648" i="1"/>
  <c r="H430" i="1"/>
  <c r="C1647" i="1"/>
  <c r="H429" i="1"/>
  <c r="C1646" i="1"/>
  <c r="H428" i="1"/>
  <c r="C1645" i="1"/>
  <c r="H427" i="1"/>
  <c r="C1644" i="1"/>
  <c r="H426" i="1"/>
  <c r="C933" i="1"/>
  <c r="H425" i="1"/>
  <c r="C932" i="1"/>
  <c r="H424" i="1"/>
  <c r="C931" i="1"/>
  <c r="H423" i="1"/>
  <c r="C930" i="1"/>
  <c r="H422" i="1"/>
  <c r="C929" i="1"/>
  <c r="H421" i="1"/>
  <c r="C928" i="1"/>
  <c r="H420" i="1"/>
  <c r="C927" i="1"/>
  <c r="H419" i="1"/>
  <c r="C926" i="1"/>
  <c r="H418" i="1"/>
  <c r="C925" i="1"/>
  <c r="H417" i="1"/>
  <c r="C924" i="1"/>
  <c r="H416" i="1"/>
  <c r="C923" i="1"/>
  <c r="H415" i="1"/>
  <c r="C922" i="1"/>
  <c r="H414" i="1"/>
  <c r="C921" i="1"/>
  <c r="H413" i="1"/>
  <c r="C920" i="1"/>
  <c r="H412" i="1"/>
  <c r="C919" i="1"/>
  <c r="H411" i="1"/>
  <c r="C918" i="1"/>
  <c r="H410" i="1"/>
  <c r="C917" i="1"/>
  <c r="H409" i="1"/>
  <c r="C40" i="1"/>
  <c r="H408" i="1"/>
  <c r="C1643" i="1"/>
  <c r="H407" i="1"/>
  <c r="C916" i="1"/>
  <c r="H406" i="1"/>
  <c r="C915" i="1"/>
  <c r="H405" i="1"/>
  <c r="C914" i="1"/>
  <c r="H404" i="1"/>
  <c r="C509" i="1"/>
  <c r="H403" i="1"/>
  <c r="C508" i="1"/>
  <c r="H402" i="1"/>
  <c r="C507" i="1"/>
  <c r="H401" i="1"/>
  <c r="C913" i="1"/>
  <c r="H400" i="1"/>
  <c r="C912" i="1"/>
  <c r="H399" i="1"/>
  <c r="C911" i="1"/>
  <c r="H398" i="1"/>
  <c r="C910" i="1"/>
  <c r="H397" i="1"/>
  <c r="C909" i="1"/>
  <c r="H396" i="1"/>
  <c r="C440" i="1"/>
  <c r="H395" i="1"/>
  <c r="C908" i="1"/>
  <c r="H394" i="1"/>
  <c r="C907" i="1"/>
  <c r="H393" i="1"/>
  <c r="C906" i="1"/>
  <c r="H392" i="1"/>
  <c r="C905" i="1"/>
  <c r="H391" i="1"/>
  <c r="C904" i="1"/>
  <c r="H390" i="1"/>
  <c r="C903" i="1"/>
  <c r="H389" i="1"/>
  <c r="C902" i="1"/>
  <c r="H388" i="1"/>
  <c r="C901" i="1"/>
  <c r="H387" i="1"/>
  <c r="C900" i="1"/>
  <c r="H386" i="1"/>
  <c r="C899" i="1"/>
  <c r="H385" i="1"/>
  <c r="C898" i="1"/>
  <c r="H384" i="1"/>
  <c r="C897" i="1"/>
  <c r="H383" i="1"/>
  <c r="C96" i="1"/>
  <c r="H382" i="1"/>
  <c r="C506" i="1"/>
  <c r="H381" i="1"/>
  <c r="C896" i="1"/>
  <c r="H380" i="1"/>
  <c r="C895" i="1"/>
  <c r="H379" i="1"/>
  <c r="C894" i="1"/>
  <c r="H378" i="1"/>
  <c r="C893" i="1"/>
  <c r="H377" i="1"/>
  <c r="C505" i="1"/>
  <c r="H376" i="1"/>
  <c r="C504" i="1"/>
  <c r="H375" i="1"/>
  <c r="C892" i="1"/>
  <c r="H374" i="1"/>
  <c r="C891" i="1"/>
  <c r="H373" i="1"/>
  <c r="C890" i="1"/>
  <c r="H372" i="1"/>
  <c r="C889" i="1"/>
  <c r="H371" i="1"/>
  <c r="C888" i="1"/>
  <c r="H370" i="1"/>
  <c r="C887" i="1"/>
  <c r="H369" i="1"/>
  <c r="C886" i="1"/>
  <c r="H368" i="1"/>
  <c r="C503" i="1"/>
  <c r="H367" i="1"/>
  <c r="C885" i="1"/>
  <c r="H366" i="1"/>
  <c r="C884" i="1"/>
  <c r="H365" i="1"/>
  <c r="C883" i="1"/>
  <c r="H364" i="1"/>
  <c r="C354" i="1"/>
  <c r="H363" i="1"/>
  <c r="C882" i="1"/>
  <c r="H362" i="1"/>
  <c r="C881" i="1"/>
  <c r="H361" i="1"/>
  <c r="C131" i="1"/>
  <c r="H360" i="1"/>
  <c r="C880" i="1"/>
  <c r="H359" i="1"/>
  <c r="C879" i="1"/>
  <c r="H358" i="1"/>
  <c r="C353" i="1"/>
  <c r="H357" i="1"/>
  <c r="C352" i="1"/>
  <c r="H356" i="1"/>
  <c r="C95" i="1"/>
  <c r="H355" i="1"/>
  <c r="C94" i="1"/>
  <c r="H354" i="1"/>
  <c r="C93" i="1"/>
  <c r="H353" i="1"/>
  <c r="C88" i="1"/>
  <c r="H352" i="1"/>
  <c r="C58" i="1"/>
  <c r="H351" i="1"/>
  <c r="C878" i="1"/>
  <c r="H350" i="1"/>
  <c r="C877" i="1"/>
  <c r="H349" i="1"/>
  <c r="C876" i="1"/>
  <c r="H348" i="1"/>
  <c r="C875" i="1"/>
  <c r="H347" i="1"/>
  <c r="C874" i="1"/>
  <c r="H346" i="1"/>
  <c r="C92" i="1"/>
  <c r="H345" i="1"/>
  <c r="C183" i="1"/>
  <c r="H344" i="1"/>
  <c r="C873" i="1"/>
  <c r="H343" i="1"/>
  <c r="C872" i="1"/>
  <c r="H342" i="1"/>
  <c r="C871" i="1"/>
  <c r="H341" i="1"/>
  <c r="C870" i="1"/>
  <c r="H340" i="1"/>
  <c r="C869" i="1"/>
  <c r="H339" i="1"/>
  <c r="C868" i="1"/>
  <c r="H338" i="1"/>
  <c r="C867" i="1"/>
  <c r="H337" i="1"/>
  <c r="C182" i="1"/>
  <c r="H336" i="1"/>
  <c r="C866" i="1"/>
  <c r="H335" i="1"/>
  <c r="C865" i="1"/>
  <c r="H334" i="1"/>
  <c r="C864" i="1"/>
  <c r="H333" i="1"/>
  <c r="C863" i="1"/>
  <c r="H332" i="1"/>
  <c r="C862" i="1"/>
  <c r="H331" i="1"/>
  <c r="C247" i="1"/>
  <c r="H330" i="1"/>
  <c r="C246" i="1"/>
  <c r="H329" i="1"/>
  <c r="C502" i="1"/>
  <c r="H328" i="1"/>
  <c r="C861" i="1"/>
  <c r="H327" i="1"/>
  <c r="C860" i="1"/>
  <c r="H326" i="1"/>
  <c r="C859" i="1"/>
  <c r="H325" i="1"/>
  <c r="C858" i="1"/>
  <c r="H324" i="1"/>
  <c r="C857" i="1"/>
  <c r="H323" i="1"/>
  <c r="C856" i="1"/>
  <c r="H322" i="1"/>
  <c r="C855" i="1"/>
  <c r="H321" i="1"/>
  <c r="C854" i="1"/>
  <c r="H320" i="1"/>
  <c r="C853" i="1"/>
  <c r="H319" i="1"/>
  <c r="C852" i="1"/>
  <c r="H318" i="1"/>
  <c r="C851" i="1"/>
  <c r="H317" i="1"/>
  <c r="C850" i="1"/>
  <c r="H316" i="1"/>
  <c r="C849" i="1"/>
  <c r="H315" i="1"/>
  <c r="C848" i="1"/>
  <c r="H314" i="1"/>
  <c r="C847" i="1"/>
  <c r="H313" i="1"/>
  <c r="C1624" i="1"/>
  <c r="H312" i="1"/>
  <c r="C57" i="1"/>
  <c r="H311" i="1"/>
  <c r="C1559" i="1"/>
  <c r="H310" i="1"/>
  <c r="C107" i="1"/>
  <c r="H309" i="1"/>
  <c r="C56" i="1"/>
  <c r="H308" i="1"/>
  <c r="C55" i="1"/>
  <c r="H307" i="1"/>
  <c r="C130" i="1"/>
  <c r="H306" i="1"/>
  <c r="C129" i="1"/>
  <c r="H305" i="1"/>
  <c r="C128" i="1"/>
  <c r="H304" i="1"/>
  <c r="C127" i="1"/>
  <c r="H303" i="1"/>
  <c r="C126" i="1"/>
  <c r="H302" i="1"/>
  <c r="C125" i="1"/>
  <c r="H301" i="1"/>
  <c r="C124" i="1"/>
  <c r="H300" i="1"/>
  <c r="C116" i="1"/>
  <c r="H299" i="1"/>
  <c r="C115" i="1"/>
  <c r="H298" i="1"/>
  <c r="C114" i="1"/>
  <c r="H297" i="1"/>
  <c r="C113" i="1"/>
  <c r="H296" i="1"/>
  <c r="C112" i="1"/>
  <c r="H295" i="1"/>
  <c r="C111" i="1"/>
  <c r="H294" i="1"/>
  <c r="C846" i="1"/>
  <c r="H293" i="1"/>
  <c r="C1614" i="1"/>
  <c r="H292" i="1"/>
  <c r="C845" i="1"/>
  <c r="H291" i="1"/>
  <c r="C844" i="1"/>
  <c r="H290" i="1"/>
  <c r="C843" i="1"/>
  <c r="H289" i="1"/>
  <c r="C85" i="1"/>
  <c r="H288" i="1"/>
  <c r="C181" i="1"/>
  <c r="H287" i="1"/>
  <c r="C842" i="1"/>
  <c r="H286" i="1"/>
  <c r="C180" i="1"/>
  <c r="H285" i="1"/>
  <c r="C501" i="1"/>
  <c r="H284" i="1"/>
  <c r="C179" i="1"/>
  <c r="H283" i="1"/>
  <c r="C178" i="1"/>
  <c r="H282" i="1"/>
  <c r="C177" i="1"/>
  <c r="H281" i="1"/>
  <c r="C176" i="1"/>
  <c r="H280" i="1"/>
  <c r="C175" i="1"/>
  <c r="H279" i="1"/>
  <c r="C351" i="1"/>
  <c r="H278" i="1"/>
  <c r="C350" i="1"/>
  <c r="H277" i="1"/>
  <c r="C349" i="1"/>
  <c r="H276" i="1"/>
  <c r="C841" i="1"/>
  <c r="H275" i="1"/>
  <c r="C840" i="1"/>
  <c r="H274" i="1"/>
  <c r="C839" i="1"/>
  <c r="H273" i="1"/>
  <c r="C838" i="1"/>
  <c r="H272" i="1"/>
  <c r="C837" i="1"/>
  <c r="H271" i="1"/>
  <c r="C836" i="1"/>
  <c r="H270" i="1"/>
  <c r="C835" i="1"/>
  <c r="H269" i="1"/>
  <c r="C834" i="1"/>
  <c r="H268" i="1"/>
  <c r="C833" i="1"/>
  <c r="H267" i="1"/>
  <c r="C832" i="1"/>
  <c r="H266" i="1"/>
  <c r="C831" i="1"/>
  <c r="H265" i="1"/>
  <c r="C830" i="1"/>
  <c r="H264" i="1"/>
  <c r="C829" i="1"/>
  <c r="H263" i="1"/>
  <c r="C828" i="1"/>
  <c r="H262" i="1"/>
  <c r="C827" i="1"/>
  <c r="H261" i="1"/>
  <c r="C826" i="1"/>
  <c r="H260" i="1"/>
  <c r="C825" i="1"/>
  <c r="H259" i="1"/>
  <c r="C824" i="1"/>
  <c r="H258" i="1"/>
  <c r="C348" i="1"/>
  <c r="H257" i="1"/>
  <c r="C347" i="1"/>
  <c r="H256" i="1"/>
  <c r="C174" i="1"/>
  <c r="H255" i="1"/>
  <c r="C823" i="1"/>
  <c r="H254" i="1"/>
  <c r="C822" i="1"/>
  <c r="H253" i="1"/>
  <c r="C821" i="1"/>
  <c r="H252" i="1"/>
  <c r="C820" i="1"/>
  <c r="H251" i="1"/>
  <c r="C819" i="1"/>
  <c r="H250" i="1"/>
  <c r="C818" i="1"/>
  <c r="H249" i="1"/>
  <c r="C817" i="1"/>
  <c r="H248" i="1"/>
  <c r="C816" i="1"/>
  <c r="H247" i="1"/>
  <c r="C815" i="1"/>
  <c r="H246" i="1"/>
  <c r="C814" i="1"/>
  <c r="H245" i="1"/>
  <c r="C813" i="1"/>
  <c r="H244" i="1"/>
  <c r="C812" i="1"/>
  <c r="H243" i="1"/>
  <c r="C811" i="1"/>
  <c r="H242" i="1"/>
  <c r="C810" i="1"/>
  <c r="H241" i="1"/>
  <c r="C809" i="1"/>
  <c r="H240" i="1"/>
  <c r="C808" i="1"/>
  <c r="H239" i="1"/>
  <c r="C807" i="1"/>
  <c r="H238" i="1"/>
  <c r="C806" i="1"/>
  <c r="H237" i="1"/>
  <c r="C805" i="1"/>
  <c r="H236" i="1"/>
  <c r="C804" i="1"/>
  <c r="H235" i="1"/>
  <c r="C803" i="1"/>
  <c r="H234" i="1"/>
  <c r="C802" i="1"/>
  <c r="H233" i="1"/>
  <c r="C801" i="1"/>
  <c r="H232" i="1"/>
  <c r="C800" i="1"/>
  <c r="H231" i="1"/>
  <c r="C320" i="1"/>
  <c r="H230" i="1"/>
  <c r="C319" i="1"/>
  <c r="H229" i="1"/>
  <c r="C106" i="1"/>
  <c r="H228" i="1"/>
  <c r="C318" i="1"/>
  <c r="H227" i="1"/>
  <c r="C317" i="1"/>
  <c r="H226" i="1"/>
  <c r="C316" i="1"/>
  <c r="H225" i="1"/>
  <c r="C105" i="1"/>
  <c r="H224" i="1"/>
  <c r="C1613" i="1"/>
  <c r="H223" i="1"/>
  <c r="C315" i="1"/>
  <c r="H222" i="1"/>
  <c r="C1810" i="1"/>
  <c r="H221" i="1"/>
  <c r="C799" i="1"/>
  <c r="H220" i="1"/>
  <c r="C91" i="1"/>
  <c r="H219" i="1"/>
  <c r="C798" i="1"/>
  <c r="H218" i="1"/>
  <c r="C217" i="1"/>
  <c r="H217" i="1"/>
  <c r="C797" i="1"/>
  <c r="H216" i="1"/>
  <c r="C216" i="1"/>
  <c r="H215" i="1"/>
  <c r="C215" i="1"/>
  <c r="H214" i="1"/>
  <c r="C214" i="1"/>
  <c r="H213" i="1"/>
  <c r="C90" i="1"/>
  <c r="H212" i="1"/>
  <c r="C104" i="1"/>
  <c r="H211" i="1"/>
  <c r="C213" i="1"/>
  <c r="H210" i="1"/>
  <c r="C212" i="1"/>
  <c r="H209" i="1"/>
  <c r="C1612" i="1"/>
  <c r="H208" i="1"/>
  <c r="C89" i="1"/>
  <c r="H207" i="1"/>
  <c r="C796" i="1"/>
  <c r="H206" i="1"/>
  <c r="C795" i="1"/>
  <c r="H205" i="1"/>
  <c r="C794" i="1"/>
  <c r="H204" i="1"/>
  <c r="C793" i="1"/>
  <c r="H203" i="1"/>
  <c r="C792" i="1"/>
  <c r="H202" i="1"/>
  <c r="C791" i="1"/>
  <c r="H201" i="1"/>
  <c r="C790" i="1"/>
  <c r="H200" i="1"/>
  <c r="C789" i="1"/>
  <c r="H199" i="1"/>
  <c r="C788" i="1"/>
  <c r="H198" i="1"/>
  <c r="C787" i="1"/>
  <c r="H197" i="1"/>
  <c r="C786" i="1"/>
  <c r="H196" i="1"/>
  <c r="C785" i="1"/>
  <c r="H195" i="1"/>
  <c r="C439" i="1"/>
  <c r="H194" i="1"/>
  <c r="C438" i="1"/>
  <c r="H193" i="1"/>
  <c r="C784" i="1"/>
  <c r="H192" i="1"/>
  <c r="C783" i="1"/>
  <c r="H191" i="1"/>
  <c r="C782" i="1"/>
  <c r="H190" i="1"/>
  <c r="C781" i="1"/>
  <c r="H189" i="1"/>
  <c r="C780" i="1"/>
  <c r="H188" i="1"/>
  <c r="C779" i="1"/>
  <c r="H187" i="1"/>
  <c r="C778" i="1"/>
  <c r="H186" i="1"/>
  <c r="C777" i="1"/>
  <c r="H185" i="1"/>
  <c r="C776" i="1"/>
  <c r="H184" i="1"/>
  <c r="C775" i="1"/>
  <c r="H183" i="1"/>
  <c r="C774" i="1"/>
  <c r="H182" i="1"/>
  <c r="C773" i="1"/>
  <c r="H181" i="1"/>
  <c r="C772" i="1"/>
  <c r="H180" i="1"/>
  <c r="C771" i="1"/>
  <c r="H179" i="1"/>
  <c r="C437" i="1"/>
  <c r="H178" i="1"/>
  <c r="C500" i="1"/>
  <c r="H177" i="1"/>
  <c r="C770" i="1"/>
  <c r="H176" i="1"/>
  <c r="C769" i="1"/>
  <c r="H175" i="1"/>
  <c r="C499" i="1"/>
  <c r="H174" i="1"/>
  <c r="C498" i="1"/>
  <c r="H173" i="1"/>
  <c r="C768" i="1"/>
  <c r="H172" i="1"/>
  <c r="C767" i="1"/>
  <c r="H171" i="1"/>
  <c r="C766" i="1"/>
  <c r="H170" i="1"/>
  <c r="C765" i="1"/>
  <c r="H169" i="1"/>
  <c r="C764" i="1"/>
  <c r="H168" i="1"/>
  <c r="C763" i="1"/>
  <c r="H167" i="1"/>
  <c r="C23" i="1"/>
  <c r="H166" i="1"/>
  <c r="C1623" i="1"/>
  <c r="H165" i="1"/>
  <c r="C1611" i="1"/>
  <c r="H164" i="1"/>
  <c r="C173" i="1"/>
  <c r="H163" i="1"/>
  <c r="C436" i="1"/>
  <c r="H162" i="1"/>
  <c r="C435" i="1"/>
  <c r="H161" i="1"/>
  <c r="C434" i="1"/>
  <c r="H160" i="1"/>
  <c r="C172" i="1"/>
  <c r="H159" i="1"/>
  <c r="C80" i="1"/>
  <c r="H158" i="1"/>
  <c r="C79" i="1"/>
  <c r="H157" i="1"/>
  <c r="C661" i="1"/>
  <c r="H156" i="1"/>
  <c r="C762" i="1"/>
  <c r="H155" i="1"/>
  <c r="C761" i="1"/>
  <c r="H154" i="1"/>
  <c r="C760" i="1"/>
  <c r="H153" i="1"/>
  <c r="C759" i="1"/>
  <c r="H152" i="1"/>
  <c r="C758" i="1"/>
  <c r="H151" i="1"/>
  <c r="C757" i="1"/>
  <c r="H150" i="1"/>
  <c r="C314" i="1"/>
  <c r="H149" i="1"/>
  <c r="C756" i="1"/>
  <c r="H148" i="1"/>
  <c r="C497" i="1"/>
  <c r="H147" i="1"/>
  <c r="C755" i="1"/>
  <c r="H146" i="1"/>
  <c r="C754" i="1"/>
  <c r="H145" i="1"/>
  <c r="C123" i="1"/>
  <c r="H144" i="1"/>
  <c r="C1809" i="1"/>
  <c r="H143" i="1"/>
  <c r="C496" i="1"/>
  <c r="H142" i="1"/>
  <c r="C660" i="1"/>
  <c r="H141" i="1"/>
  <c r="C194" i="1"/>
  <c r="H140" i="1"/>
  <c r="C753" i="1"/>
  <c r="H139" i="1"/>
  <c r="C168" i="1"/>
  <c r="H138" i="1"/>
  <c r="C54" i="1"/>
  <c r="H137" i="1"/>
  <c r="C659" i="1"/>
  <c r="H136" i="1"/>
  <c r="C658" i="1"/>
  <c r="H135" i="1"/>
  <c r="C53" i="1"/>
  <c r="H134" i="1"/>
  <c r="C657" i="1"/>
  <c r="H133" i="1"/>
  <c r="C52" i="1"/>
  <c r="H132" i="1"/>
  <c r="C752" i="1"/>
  <c r="H131" i="1"/>
  <c r="C751" i="1"/>
  <c r="H130" i="1"/>
  <c r="C750" i="1"/>
  <c r="H129" i="1"/>
  <c r="C749" i="1"/>
  <c r="H128" i="1"/>
  <c r="C748" i="1"/>
  <c r="H127" i="1"/>
  <c r="C171" i="1"/>
  <c r="H126" i="1"/>
  <c r="C747" i="1"/>
  <c r="H125" i="1"/>
  <c r="C746" i="1"/>
  <c r="H124" i="1"/>
  <c r="C745" i="1"/>
  <c r="H123" i="1"/>
  <c r="C744" i="1"/>
  <c r="H122" i="1"/>
  <c r="C743" i="1"/>
  <c r="H121" i="1"/>
  <c r="C742" i="1"/>
  <c r="H120" i="1"/>
  <c r="C741" i="1"/>
  <c r="H119" i="1"/>
  <c r="C740" i="1"/>
  <c r="H118" i="1"/>
  <c r="C739" i="1"/>
  <c r="H117" i="1"/>
  <c r="C738" i="1"/>
  <c r="H116" i="1"/>
  <c r="C737" i="1"/>
  <c r="H115" i="1"/>
  <c r="C736" i="1"/>
  <c r="H114" i="1"/>
  <c r="C735" i="1"/>
  <c r="H113" i="1"/>
  <c r="C734" i="1"/>
  <c r="H112" i="1"/>
  <c r="C733" i="1"/>
  <c r="H111" i="1"/>
  <c r="C732" i="1"/>
  <c r="H110" i="1"/>
  <c r="C731" i="1"/>
  <c r="H109" i="1"/>
  <c r="C730" i="1"/>
  <c r="H108" i="1"/>
  <c r="C495" i="1"/>
  <c r="H107" i="1"/>
  <c r="C729" i="1"/>
  <c r="H106" i="1"/>
  <c r="C728" i="1"/>
  <c r="H105" i="1"/>
  <c r="C494" i="1"/>
  <c r="H104" i="1"/>
  <c r="C727" i="1"/>
  <c r="H103" i="1"/>
  <c r="C726" i="1"/>
  <c r="H102" i="1"/>
  <c r="C725" i="1"/>
  <c r="H101" i="1"/>
  <c r="C724" i="1"/>
  <c r="H100" i="1"/>
  <c r="C723" i="1"/>
  <c r="H99" i="1"/>
  <c r="C722" i="1"/>
  <c r="H98" i="1"/>
  <c r="C721" i="1"/>
  <c r="H97" i="1"/>
  <c r="C720" i="1"/>
  <c r="H96" i="1"/>
  <c r="C719" i="1"/>
  <c r="H95" i="1"/>
  <c r="C718" i="1"/>
  <c r="H94" i="1"/>
  <c r="C717" i="1"/>
  <c r="H93" i="1"/>
  <c r="C716" i="1"/>
  <c r="H92" i="1"/>
  <c r="C715" i="1"/>
  <c r="H91" i="1"/>
  <c r="C714" i="1"/>
  <c r="H90" i="1"/>
  <c r="C1545" i="1"/>
  <c r="H89" i="1"/>
  <c r="C713" i="1"/>
  <c r="H88" i="1"/>
  <c r="C712" i="1"/>
  <c r="H87" i="1"/>
  <c r="C711" i="1"/>
  <c r="H86" i="1"/>
  <c r="C710" i="1"/>
  <c r="H85" i="1"/>
  <c r="C709" i="1"/>
  <c r="H84" i="1"/>
  <c r="C45" i="1"/>
  <c r="H83" i="1"/>
  <c r="C643" i="1"/>
  <c r="H82" i="1"/>
  <c r="C433" i="1"/>
  <c r="H81" i="1"/>
  <c r="C170" i="1"/>
  <c r="H80" i="1"/>
  <c r="C708" i="1"/>
  <c r="H79" i="1"/>
  <c r="C493" i="1"/>
  <c r="H78" i="1"/>
  <c r="C707" i="1"/>
  <c r="H77" i="1"/>
  <c r="C706" i="1"/>
  <c r="H76" i="1"/>
  <c r="C35" i="1"/>
  <c r="H75" i="1"/>
  <c r="C346" i="1"/>
  <c r="H74" i="1"/>
  <c r="C345" i="1"/>
  <c r="H73" i="1"/>
  <c r="C705" i="1"/>
  <c r="H72" i="1"/>
  <c r="C34" i="1"/>
  <c r="H71" i="1"/>
  <c r="C704" i="1"/>
  <c r="H70" i="1"/>
  <c r="C703" i="1"/>
  <c r="H69" i="1"/>
  <c r="C1610" i="1"/>
  <c r="H68" i="1"/>
  <c r="C702" i="1"/>
  <c r="H67" i="1"/>
  <c r="C701" i="1"/>
  <c r="H66" i="1"/>
  <c r="C700" i="1"/>
  <c r="H65" i="1"/>
  <c r="C699" i="1"/>
  <c r="H64" i="1"/>
  <c r="C698" i="1"/>
  <c r="H63" i="1"/>
  <c r="C697" i="1"/>
  <c r="H62" i="1"/>
  <c r="C696" i="1"/>
  <c r="H61" i="1"/>
  <c r="C695" i="1"/>
  <c r="H60" i="1"/>
  <c r="C694" i="1"/>
  <c r="H59" i="1"/>
  <c r="C33" i="1"/>
  <c r="H58" i="1"/>
  <c r="C432" i="1"/>
  <c r="H57" i="1"/>
  <c r="C693" i="1"/>
  <c r="H56" i="1"/>
  <c r="C692" i="1"/>
  <c r="H55" i="1"/>
  <c r="C1642" i="1"/>
  <c r="H54" i="1"/>
  <c r="C691" i="1"/>
  <c r="H53" i="1"/>
  <c r="C1641" i="1"/>
  <c r="H52" i="1"/>
  <c r="C690" i="1"/>
  <c r="H51" i="1"/>
  <c r="C1640" i="1"/>
  <c r="H50" i="1"/>
  <c r="C689" i="1"/>
  <c r="H49" i="1"/>
  <c r="C1639" i="1"/>
  <c r="H48" i="1"/>
  <c r="C688" i="1"/>
  <c r="H47" i="1"/>
  <c r="C344" i="1"/>
  <c r="H46" i="1"/>
  <c r="C687" i="1"/>
  <c r="H45" i="1"/>
  <c r="C686" i="1"/>
  <c r="H44" i="1"/>
  <c r="C431" i="1"/>
  <c r="H43" i="1"/>
  <c r="C430" i="1"/>
  <c r="H42" i="1"/>
  <c r="C429" i="1"/>
  <c r="H41" i="1"/>
  <c r="C685" i="1"/>
  <c r="H40" i="1"/>
  <c r="C684" i="1"/>
  <c r="H39" i="1"/>
  <c r="C313" i="1"/>
  <c r="H38" i="1"/>
  <c r="C266" i="1"/>
  <c r="H37" i="1"/>
  <c r="C265" i="1"/>
  <c r="H36" i="1"/>
  <c r="C683" i="1"/>
  <c r="H35" i="1"/>
  <c r="C682" i="1"/>
  <c r="H34" i="1"/>
  <c r="C51" i="1"/>
  <c r="H33" i="1"/>
  <c r="C264" i="1"/>
  <c r="H32" i="1"/>
  <c r="C263" i="1"/>
  <c r="H31" i="1"/>
  <c r="C262" i="1"/>
  <c r="H30" i="1"/>
  <c r="C681" i="1"/>
  <c r="H29" i="1"/>
  <c r="C680" i="1"/>
  <c r="H28" i="1"/>
  <c r="C679" i="1"/>
  <c r="H27" i="1"/>
  <c r="C312" i="1"/>
  <c r="H26" i="1"/>
  <c r="C678" i="1"/>
  <c r="H25" i="1"/>
  <c r="C677" i="1"/>
  <c r="H24" i="1"/>
  <c r="C676" i="1"/>
  <c r="H23" i="1"/>
  <c r="C675" i="1"/>
  <c r="H22" i="1"/>
  <c r="C674" i="1"/>
  <c r="H21" i="1"/>
  <c r="C261" i="1"/>
  <c r="H20" i="1"/>
  <c r="C245" i="1"/>
  <c r="H19" i="1"/>
  <c r="C673" i="1"/>
  <c r="H18" i="1"/>
  <c r="C672" i="1"/>
  <c r="H17" i="1"/>
  <c r="C671" i="1"/>
  <c r="H16" i="1"/>
  <c r="C670" i="1"/>
  <c r="H15" i="1"/>
  <c r="C669" i="1"/>
  <c r="H14" i="1"/>
  <c r="C668" i="1"/>
  <c r="H13" i="1"/>
  <c r="C84" i="1"/>
  <c r="H12" i="1"/>
  <c r="C428" i="1"/>
  <c r="H11" i="1"/>
  <c r="C169" i="1"/>
  <c r="H10" i="1"/>
  <c r="C32" i="1"/>
  <c r="H9" i="1"/>
  <c r="C667" i="1"/>
  <c r="H8" i="1"/>
  <c r="C666" i="1"/>
  <c r="H7" i="1"/>
  <c r="C665" i="1"/>
  <c r="H6" i="1"/>
  <c r="C343" i="1"/>
  <c r="H5" i="1"/>
  <c r="C664" i="1"/>
  <c r="H4" i="1"/>
  <c r="C311" i="1"/>
  <c r="H3" i="1"/>
  <c r="C663" i="1"/>
  <c r="H2" i="1"/>
  <c r="C662" i="1"/>
</calcChain>
</file>

<file path=xl/sharedStrings.xml><?xml version="1.0" encoding="utf-8"?>
<sst xmlns="http://schemas.openxmlformats.org/spreadsheetml/2006/main" count="3316" uniqueCount="96">
  <si>
    <t>Contract Start Date</t>
  </si>
  <si>
    <t>Term</t>
  </si>
  <si>
    <t>GPU Type</t>
  </si>
  <si>
    <t>GPUs/Quant</t>
  </si>
  <si>
    <t xml:space="preserve"> Buyer GPU/ Hr </t>
  </si>
  <si>
    <t xml:space="preserve"> Supplier GPU/ Hr </t>
  </si>
  <si>
    <t>3mo</t>
  </si>
  <si>
    <t>H200</t>
  </si>
  <si>
    <t>A100 80g PCIE</t>
  </si>
  <si>
    <t>12mo</t>
  </si>
  <si>
    <t>H100</t>
  </si>
  <si>
    <t>24mo</t>
  </si>
  <si>
    <t>m2m</t>
  </si>
  <si>
    <t>A100</t>
  </si>
  <si>
    <t>wk</t>
  </si>
  <si>
    <t>V100</t>
  </si>
  <si>
    <t>Storage</t>
  </si>
  <si>
    <t>6mo</t>
  </si>
  <si>
    <t>L40S</t>
  </si>
  <si>
    <t>9mo</t>
  </si>
  <si>
    <t>A6000 ADA</t>
  </si>
  <si>
    <t>A6000 Ampere</t>
  </si>
  <si>
    <t>A100 40g</t>
  </si>
  <si>
    <t>CPU</t>
  </si>
  <si>
    <t>ir5</t>
  </si>
  <si>
    <t>GH200</t>
  </si>
  <si>
    <t>24hr</t>
  </si>
  <si>
    <t>ir3</t>
  </si>
  <si>
    <t xml:space="preserve">6mo
</t>
  </si>
  <si>
    <t>WEEKLY</t>
  </si>
  <si>
    <t>w2w</t>
  </si>
  <si>
    <t>1mo</t>
  </si>
  <si>
    <t>A100 PCIE</t>
  </si>
  <si>
    <t>12 mo</t>
  </si>
  <si>
    <t>NVIDIA GeForce RTX 3090</t>
  </si>
  <si>
    <t>ir1</t>
  </si>
  <si>
    <t>A100 80g</t>
  </si>
  <si>
    <t>NVIDIA H200</t>
  </si>
  <si>
    <t>A6000</t>
  </si>
  <si>
    <t>MONTHLY</t>
  </si>
  <si>
    <t>NVIDIA GeForce RTX 4090</t>
  </si>
  <si>
    <t>NVIDIA L40S</t>
  </si>
  <si>
    <t>test</t>
  </si>
  <si>
    <t>ir2</t>
  </si>
  <si>
    <t>mo</t>
  </si>
  <si>
    <t>7mo</t>
  </si>
  <si>
    <t>B200</t>
  </si>
  <si>
    <t>NVIDIA H100 80GB HBM3</t>
  </si>
  <si>
    <t>NVIDIA A100-SXM4-80GB</t>
  </si>
  <si>
    <t>2w test</t>
  </si>
  <si>
    <t>NVIDIA B200</t>
  </si>
  <si>
    <t>20mo</t>
  </si>
  <si>
    <t>NVIDIA GeForce RTX 5090</t>
  </si>
  <si>
    <t>h200</t>
  </si>
  <si>
    <t>weekly</t>
  </si>
  <si>
    <t>poc</t>
  </si>
  <si>
    <t>monthly</t>
  </si>
  <si>
    <t>Gh200</t>
  </si>
  <si>
    <t>Pro 6000</t>
  </si>
  <si>
    <t>2mo</t>
  </si>
  <si>
    <t>5 days</t>
  </si>
  <si>
    <t>ir</t>
  </si>
  <si>
    <t>1d</t>
  </si>
  <si>
    <t>0mo</t>
  </si>
  <si>
    <t>RTX Pro 6000</t>
  </si>
  <si>
    <t>NVIDIA B300 SXM6 AC</t>
  </si>
  <si>
    <t>NVIDIA RTX PRO 6000 Blackwell Server Edition</t>
  </si>
  <si>
    <t>0.91mo</t>
  </si>
  <si>
    <t>4mo</t>
  </si>
  <si>
    <t>Term_Fixed</t>
  </si>
  <si>
    <t>Term (Original)</t>
  </si>
  <si>
    <t>Spot</t>
  </si>
  <si>
    <t>12 Month</t>
  </si>
  <si>
    <t>Term (Fixed)</t>
  </si>
  <si>
    <t>1 Month</t>
  </si>
  <si>
    <t>20 Month</t>
  </si>
  <si>
    <t>24 Month</t>
  </si>
  <si>
    <t>2 Month</t>
  </si>
  <si>
    <t>3 Month</t>
  </si>
  <si>
    <t>4 Month</t>
  </si>
  <si>
    <t>6 Month</t>
  </si>
  <si>
    <t>7 Month</t>
  </si>
  <si>
    <t>9 Month</t>
  </si>
  <si>
    <t>Misc</t>
  </si>
  <si>
    <t>Spread</t>
  </si>
  <si>
    <t>Row Labels</t>
  </si>
  <si>
    <t>(blank)</t>
  </si>
  <si>
    <t>Grand Total</t>
  </si>
  <si>
    <t>NA</t>
  </si>
  <si>
    <t>Count of Term_Fixed</t>
  </si>
  <si>
    <t xml:space="preserve">Average of  Supplier GPU/ Hr </t>
  </si>
  <si>
    <t>Average of GPUs/Quant</t>
  </si>
  <si>
    <t>Month</t>
  </si>
  <si>
    <t>GPU Price Evolution — Avg Buyer Rate ($/GPU/Hr)</t>
  </si>
  <si>
    <t>Monthly Deal Count</t>
  </si>
  <si>
    <t>Avg Supplier Rate ($/GPU/Hr)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</si>
</sst>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_);[Red]\(&quot;$&quot;#,##0.00\)"/>
    <numFmt numFmtId="165" formatCode="yyyy\-mm\-dd"/>
    <numFmt numFmtId="166" formatCode="0.0%"/>
    <numFmt numFmtId="167" formatCode="&quot;$&quot;#,##0.00"/>
  </numFmts>
  <fonts count="7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4472C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165" fontId="0" fillId="2" borderId="0" xfId="0" applyNumberFormat="1" applyFill="1"/>
    <xf numFmtId="0" fontId="0" fillId="0" borderId="0" xfId="0" applyAlignment="1">
      <alignment horizontal="left"/>
    </xf>
    <xf numFmtId="0" fontId="2" fillId="0" borderId="0" xfId="0" applyFont="1"/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166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 indent="1"/>
    </xf>
    <xf numFmtId="10" fontId="0" fillId="0" borderId="0" xfId="1" applyNumberFormat="1" applyFont="1"/>
    <xf numFmtId="17" fontId="0" fillId="0" borderId="0" xfId="0" applyNumberFormat="1"/>
    <xf numFmtId="0" fontId="4" fillId="0" borderId="0" xfId="0" applyFont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7" fontId="0" fillId="5" borderId="0" xfId="0" applyNumberFormat="1" applyFill="1"/>
    <xf numFmtId="3" fontId="0" fillId="5" borderId="0" xfId="0" applyNumberFormat="1" applyFill="1" applyAlignment="1">
      <alignment horizontal="center"/>
    </xf>
    <xf numFmtId="3" fontId="0" fillId="0" borderId="0" xfId="0" applyNumberFormat="1" applyAlignment="1">
      <alignment horizontal="center"/>
    </xf>
    <xf numFmtId="167" fontId="0" fillId="5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[Contract_Decay_Data (20260227) (version 2).xlsx]Pivot!PivotTable1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Count of Term_Fixed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Pivot!$A$4:$A$114</c:f>
              <c:multiLvlStrCache>
                <c:ptCount val="97"/>
                <c:lvl>
                  <c:pt idx="0">
                    <c:v>3090</c:v>
                  </c:pt>
                  <c:pt idx="1">
                    <c:v>4090</c:v>
                  </c:pt>
                  <c:pt idx="2">
                    <c:v>5090</c:v>
                  </c:pt>
                  <c:pt idx="3">
                    <c:v>A100</c:v>
                  </c:pt>
                  <c:pt idx="4">
                    <c:v>A6000 Ampere</c:v>
                  </c:pt>
                  <c:pt idx="5">
                    <c:v>B200</c:v>
                  </c:pt>
                  <c:pt idx="6">
                    <c:v>CPU</c:v>
                  </c:pt>
                  <c:pt idx="7">
                    <c:v>GH200</c:v>
                  </c:pt>
                  <c:pt idx="8">
                    <c:v>H100</c:v>
                  </c:pt>
                  <c:pt idx="9">
                    <c:v>H200</c:v>
                  </c:pt>
                  <c:pt idx="10">
                    <c:v>L40S</c:v>
                  </c:pt>
                  <c:pt idx="11">
                    <c:v>RTX Pro 6000</c:v>
                  </c:pt>
                  <c:pt idx="12">
                    <c:v>Storage</c:v>
                  </c:pt>
                  <c:pt idx="13">
                    <c:v>(blank)</c:v>
                  </c:pt>
                  <c:pt idx="14">
                    <c:v>4090</c:v>
                  </c:pt>
                  <c:pt idx="15">
                    <c:v>5090</c:v>
                  </c:pt>
                  <c:pt idx="16">
                    <c:v>A100</c:v>
                  </c:pt>
                  <c:pt idx="17">
                    <c:v>A100 40g</c:v>
                  </c:pt>
                  <c:pt idx="18">
                    <c:v>A100 80g</c:v>
                  </c:pt>
                  <c:pt idx="19">
                    <c:v>A6000</c:v>
                  </c:pt>
                  <c:pt idx="20">
                    <c:v>B200</c:v>
                  </c:pt>
                  <c:pt idx="21">
                    <c:v>H100</c:v>
                  </c:pt>
                  <c:pt idx="22">
                    <c:v>H200</c:v>
                  </c:pt>
                  <c:pt idx="23">
                    <c:v>L40S</c:v>
                  </c:pt>
                  <c:pt idx="24">
                    <c:v>H200</c:v>
                  </c:pt>
                  <c:pt idx="25">
                    <c:v>H200</c:v>
                  </c:pt>
                  <c:pt idx="26">
                    <c:v>B200</c:v>
                  </c:pt>
                  <c:pt idx="27">
                    <c:v>H100</c:v>
                  </c:pt>
                  <c:pt idx="28">
                    <c:v>4090</c:v>
                  </c:pt>
                  <c:pt idx="29">
                    <c:v>5090</c:v>
                  </c:pt>
                  <c:pt idx="30">
                    <c:v>A100</c:v>
                  </c:pt>
                  <c:pt idx="31">
                    <c:v>A100 80g PCIE</c:v>
                  </c:pt>
                  <c:pt idx="32">
                    <c:v>B200</c:v>
                  </c:pt>
                  <c:pt idx="33">
                    <c:v>CPU</c:v>
                  </c:pt>
                  <c:pt idx="34">
                    <c:v>H200</c:v>
                  </c:pt>
                  <c:pt idx="35">
                    <c:v>L40S</c:v>
                  </c:pt>
                  <c:pt idx="36">
                    <c:v>(blank)</c:v>
                  </c:pt>
                  <c:pt idx="37">
                    <c:v>5090</c:v>
                  </c:pt>
                  <c:pt idx="38">
                    <c:v>(blank)</c:v>
                  </c:pt>
                  <c:pt idx="39">
                    <c:v>5090</c:v>
                  </c:pt>
                  <c:pt idx="40">
                    <c:v>A100</c:v>
                  </c:pt>
                  <c:pt idx="41">
                    <c:v>A6000</c:v>
                  </c:pt>
                  <c:pt idx="42">
                    <c:v>H100</c:v>
                  </c:pt>
                  <c:pt idx="43">
                    <c:v>H200</c:v>
                  </c:pt>
                  <c:pt idx="44">
                    <c:v>Storage</c:v>
                  </c:pt>
                  <c:pt idx="45">
                    <c:v>V100</c:v>
                  </c:pt>
                  <c:pt idx="46">
                    <c:v>(blank)</c:v>
                  </c:pt>
                  <c:pt idx="47">
                    <c:v>H100</c:v>
                  </c:pt>
                  <c:pt idx="48">
                    <c:v>H100</c:v>
                  </c:pt>
                  <c:pt idx="49">
                    <c:v>4090</c:v>
                  </c:pt>
                  <c:pt idx="50">
                    <c:v>5090</c:v>
                  </c:pt>
                  <c:pt idx="51">
                    <c:v>B200</c:v>
                  </c:pt>
                  <c:pt idx="52">
                    <c:v>H200</c:v>
                  </c:pt>
                  <c:pt idx="53">
                    <c:v>NVIDIA B200</c:v>
                  </c:pt>
                  <c:pt idx="54">
                    <c:v>(blank)</c:v>
                  </c:pt>
                  <c:pt idx="55">
                    <c:v>3090</c:v>
                  </c:pt>
                  <c:pt idx="56">
                    <c:v>4090</c:v>
                  </c:pt>
                  <c:pt idx="57">
                    <c:v>A100</c:v>
                  </c:pt>
                  <c:pt idx="58">
                    <c:v>A6000 Ampere</c:v>
                  </c:pt>
                  <c:pt idx="59">
                    <c:v>B200</c:v>
                  </c:pt>
                  <c:pt idx="60">
                    <c:v>CPU</c:v>
                  </c:pt>
                  <c:pt idx="61">
                    <c:v>GH200</c:v>
                  </c:pt>
                  <c:pt idx="62">
                    <c:v>H100</c:v>
                  </c:pt>
                  <c:pt idx="63">
                    <c:v>H200</c:v>
                  </c:pt>
                  <c:pt idx="64">
                    <c:v>L40S</c:v>
                  </c:pt>
                  <c:pt idx="65">
                    <c:v>NVIDIA GeForce RTX 3090</c:v>
                  </c:pt>
                  <c:pt idx="66">
                    <c:v>NVIDIA GeForce RTX 4090</c:v>
                  </c:pt>
                  <c:pt idx="67">
                    <c:v>NVIDIA H100 80GB HBM3</c:v>
                  </c:pt>
                  <c:pt idx="68">
                    <c:v>Storage</c:v>
                  </c:pt>
                  <c:pt idx="69">
                    <c:v>V100</c:v>
                  </c:pt>
                  <c:pt idx="70">
                    <c:v>(blank)</c:v>
                  </c:pt>
                  <c:pt idx="71">
                    <c:v>3090</c:v>
                  </c:pt>
                  <c:pt idx="72">
                    <c:v>4090</c:v>
                  </c:pt>
                  <c:pt idx="73">
                    <c:v>5090</c:v>
                  </c:pt>
                  <c:pt idx="74">
                    <c:v>A100</c:v>
                  </c:pt>
                  <c:pt idx="75">
                    <c:v>A100 PCIE</c:v>
                  </c:pt>
                  <c:pt idx="76">
                    <c:v>A6000</c:v>
                  </c:pt>
                  <c:pt idx="77">
                    <c:v>A6000 ADA</c:v>
                  </c:pt>
                  <c:pt idx="78">
                    <c:v>A6000 Ampere</c:v>
                  </c:pt>
                  <c:pt idx="79">
                    <c:v>B200</c:v>
                  </c:pt>
                  <c:pt idx="80">
                    <c:v>CPU</c:v>
                  </c:pt>
                  <c:pt idx="81">
                    <c:v>GH200</c:v>
                  </c:pt>
                  <c:pt idx="82">
                    <c:v>H100</c:v>
                  </c:pt>
                  <c:pt idx="83">
                    <c:v>H200</c:v>
                  </c:pt>
                  <c:pt idx="84">
                    <c:v>L40S</c:v>
                  </c:pt>
                  <c:pt idx="85">
                    <c:v>NVIDIA A100-SXM4-80GB</c:v>
                  </c:pt>
                  <c:pt idx="86">
                    <c:v>NVIDIA B200</c:v>
                  </c:pt>
                  <c:pt idx="87">
                    <c:v>NVIDIA B300 SXM6 AC</c:v>
                  </c:pt>
                  <c:pt idx="88">
                    <c:v>NVIDIA GeForce RTX 3090</c:v>
                  </c:pt>
                  <c:pt idx="89">
                    <c:v>NVIDIA GeForce RTX 4090</c:v>
                  </c:pt>
                  <c:pt idx="90">
                    <c:v>NVIDIA GeForce RTX 5090</c:v>
                  </c:pt>
                  <c:pt idx="91">
                    <c:v>NVIDIA H100 80GB HBM3</c:v>
                  </c:pt>
                  <c:pt idx="92">
                    <c:v>NVIDIA H200</c:v>
                  </c:pt>
                  <c:pt idx="93">
                    <c:v>NVIDIA L40S</c:v>
                  </c:pt>
                  <c:pt idx="94">
                    <c:v>NVIDIA RTX PRO 6000 Blackwell Server Edition</c:v>
                  </c:pt>
                  <c:pt idx="95">
                    <c:v>Pro 6000</c:v>
                  </c:pt>
                  <c:pt idx="96">
                    <c:v>(blank)</c:v>
                  </c:pt>
                </c:lvl>
                <c:lvl>
                  <c:pt idx="0">
                    <c:v>1 Month</c:v>
                  </c:pt>
                  <c:pt idx="14">
                    <c:v>12 Month</c:v>
                  </c:pt>
                  <c:pt idx="24">
                    <c:v>2 Month</c:v>
                  </c:pt>
                  <c:pt idx="25">
                    <c:v>20 Month</c:v>
                  </c:pt>
                  <c:pt idx="26">
                    <c:v>24 Month</c:v>
                  </c:pt>
                  <c:pt idx="28">
                    <c:v>3 Month</c:v>
                  </c:pt>
                  <c:pt idx="37">
                    <c:v>4 Month</c:v>
                  </c:pt>
                  <c:pt idx="39">
                    <c:v>6 Month</c:v>
                  </c:pt>
                  <c:pt idx="47">
                    <c:v>7 Month</c:v>
                  </c:pt>
                  <c:pt idx="48">
                    <c:v>9 Month</c:v>
                  </c:pt>
                  <c:pt idx="49">
                    <c:v>Misc</c:v>
                  </c:pt>
                  <c:pt idx="55">
                    <c:v>NA</c:v>
                  </c:pt>
                  <c:pt idx="71">
                    <c:v>Spot</c:v>
                  </c:pt>
                </c:lvl>
              </c:multiLvlStrCache>
            </c:multiLvlStrRef>
          </c:cat>
          <c:val>
            <c:numRef>
              <c:f>Pivot!$B$4:$B$114</c:f>
              <c:numCache>
                <c:formatCode>General</c:formatCode>
                <c:ptCount val="97"/>
                <c:pt idx="0">
                  <c:v>13</c:v>
                </c:pt>
                <c:pt idx="1">
                  <c:v>2</c:v>
                </c:pt>
                <c:pt idx="2">
                  <c:v>4</c:v>
                </c:pt>
                <c:pt idx="3">
                  <c:v>18</c:v>
                </c:pt>
                <c:pt idx="4">
                  <c:v>1</c:v>
                </c:pt>
                <c:pt idx="5">
                  <c:v>16</c:v>
                </c:pt>
                <c:pt idx="6">
                  <c:v>8</c:v>
                </c:pt>
                <c:pt idx="7">
                  <c:v>1</c:v>
                </c:pt>
                <c:pt idx="8">
                  <c:v>33</c:v>
                </c:pt>
                <c:pt idx="9">
                  <c:v>54</c:v>
                </c:pt>
                <c:pt idx="10">
                  <c:v>9</c:v>
                </c:pt>
                <c:pt idx="11">
                  <c:v>1</c:v>
                </c:pt>
                <c:pt idx="12">
                  <c:v>1</c:v>
                </c:pt>
                <c:pt idx="13">
                  <c:v>6</c:v>
                </c:pt>
                <c:pt idx="14">
                  <c:v>23</c:v>
                </c:pt>
                <c:pt idx="15">
                  <c:v>2</c:v>
                </c:pt>
                <c:pt idx="16">
                  <c:v>8</c:v>
                </c:pt>
                <c:pt idx="17">
                  <c:v>4</c:v>
                </c:pt>
                <c:pt idx="18">
                  <c:v>9</c:v>
                </c:pt>
                <c:pt idx="19">
                  <c:v>1</c:v>
                </c:pt>
                <c:pt idx="20">
                  <c:v>7</c:v>
                </c:pt>
                <c:pt idx="21">
                  <c:v>35</c:v>
                </c:pt>
                <c:pt idx="22">
                  <c:v>10</c:v>
                </c:pt>
                <c:pt idx="23">
                  <c:v>3</c:v>
                </c:pt>
                <c:pt idx="24">
                  <c:v>3</c:v>
                </c:pt>
                <c:pt idx="25">
                  <c:v>7</c:v>
                </c:pt>
                <c:pt idx="26">
                  <c:v>1</c:v>
                </c:pt>
                <c:pt idx="27">
                  <c:v>9</c:v>
                </c:pt>
                <c:pt idx="28">
                  <c:v>4</c:v>
                </c:pt>
                <c:pt idx="29">
                  <c:v>3</c:v>
                </c:pt>
                <c:pt idx="30">
                  <c:v>5</c:v>
                </c:pt>
                <c:pt idx="31">
                  <c:v>1</c:v>
                </c:pt>
                <c:pt idx="32">
                  <c:v>9</c:v>
                </c:pt>
                <c:pt idx="33">
                  <c:v>4</c:v>
                </c:pt>
                <c:pt idx="34">
                  <c:v>46</c:v>
                </c:pt>
                <c:pt idx="35">
                  <c:v>6</c:v>
                </c:pt>
                <c:pt idx="36">
                  <c:v>5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6</c:v>
                </c:pt>
                <c:pt idx="41">
                  <c:v>6</c:v>
                </c:pt>
                <c:pt idx="42">
                  <c:v>12</c:v>
                </c:pt>
                <c:pt idx="43">
                  <c:v>13</c:v>
                </c:pt>
                <c:pt idx="44">
                  <c:v>1</c:v>
                </c:pt>
                <c:pt idx="45">
                  <c:v>4</c:v>
                </c:pt>
                <c:pt idx="46">
                  <c:v>2</c:v>
                </c:pt>
                <c:pt idx="47">
                  <c:v>6</c:v>
                </c:pt>
                <c:pt idx="48">
                  <c:v>8</c:v>
                </c:pt>
                <c:pt idx="49">
                  <c:v>4</c:v>
                </c:pt>
                <c:pt idx="50">
                  <c:v>1</c:v>
                </c:pt>
                <c:pt idx="51">
                  <c:v>28</c:v>
                </c:pt>
                <c:pt idx="52">
                  <c:v>123</c:v>
                </c:pt>
                <c:pt idx="53">
                  <c:v>1</c:v>
                </c:pt>
                <c:pt idx="54">
                  <c:v>1</c:v>
                </c:pt>
                <c:pt idx="55">
                  <c:v>14</c:v>
                </c:pt>
                <c:pt idx="56">
                  <c:v>28</c:v>
                </c:pt>
                <c:pt idx="57">
                  <c:v>13</c:v>
                </c:pt>
                <c:pt idx="58">
                  <c:v>12</c:v>
                </c:pt>
                <c:pt idx="59">
                  <c:v>7</c:v>
                </c:pt>
                <c:pt idx="60">
                  <c:v>5</c:v>
                </c:pt>
                <c:pt idx="61">
                  <c:v>3</c:v>
                </c:pt>
                <c:pt idx="62">
                  <c:v>23</c:v>
                </c:pt>
                <c:pt idx="63">
                  <c:v>19</c:v>
                </c:pt>
                <c:pt idx="64">
                  <c:v>1</c:v>
                </c:pt>
                <c:pt idx="65">
                  <c:v>2</c:v>
                </c:pt>
                <c:pt idx="66">
                  <c:v>4</c:v>
                </c:pt>
                <c:pt idx="67">
                  <c:v>1</c:v>
                </c:pt>
                <c:pt idx="68">
                  <c:v>16</c:v>
                </c:pt>
                <c:pt idx="69">
                  <c:v>9</c:v>
                </c:pt>
                <c:pt idx="70">
                  <c:v>19</c:v>
                </c:pt>
                <c:pt idx="71">
                  <c:v>55</c:v>
                </c:pt>
                <c:pt idx="72">
                  <c:v>122</c:v>
                </c:pt>
                <c:pt idx="73">
                  <c:v>11</c:v>
                </c:pt>
                <c:pt idx="74">
                  <c:v>7</c:v>
                </c:pt>
                <c:pt idx="75">
                  <c:v>9</c:v>
                </c:pt>
                <c:pt idx="76">
                  <c:v>1</c:v>
                </c:pt>
                <c:pt idx="77">
                  <c:v>2</c:v>
                </c:pt>
                <c:pt idx="78">
                  <c:v>8</c:v>
                </c:pt>
                <c:pt idx="79">
                  <c:v>41</c:v>
                </c:pt>
                <c:pt idx="80">
                  <c:v>5</c:v>
                </c:pt>
                <c:pt idx="81">
                  <c:v>1</c:v>
                </c:pt>
                <c:pt idx="82">
                  <c:v>24</c:v>
                </c:pt>
                <c:pt idx="83">
                  <c:v>323</c:v>
                </c:pt>
                <c:pt idx="84">
                  <c:v>10</c:v>
                </c:pt>
                <c:pt idx="85">
                  <c:v>1</c:v>
                </c:pt>
                <c:pt idx="86">
                  <c:v>19</c:v>
                </c:pt>
                <c:pt idx="87">
                  <c:v>3</c:v>
                </c:pt>
                <c:pt idx="88">
                  <c:v>155</c:v>
                </c:pt>
                <c:pt idx="89">
                  <c:v>165</c:v>
                </c:pt>
                <c:pt idx="90">
                  <c:v>22</c:v>
                </c:pt>
                <c:pt idx="91">
                  <c:v>39</c:v>
                </c:pt>
                <c:pt idx="92">
                  <c:v>7</c:v>
                </c:pt>
                <c:pt idx="93">
                  <c:v>8</c:v>
                </c:pt>
                <c:pt idx="94">
                  <c:v>2</c:v>
                </c:pt>
                <c:pt idx="95">
                  <c:v>4</c:v>
                </c:pt>
                <c:pt idx="9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7-4698-96A6-B645009E2E6B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Average of  Supplier GPU/ Hr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Pivot!$A$4:$A$114</c:f>
              <c:multiLvlStrCache>
                <c:ptCount val="97"/>
                <c:lvl>
                  <c:pt idx="0">
                    <c:v>3090</c:v>
                  </c:pt>
                  <c:pt idx="1">
                    <c:v>4090</c:v>
                  </c:pt>
                  <c:pt idx="2">
                    <c:v>5090</c:v>
                  </c:pt>
                  <c:pt idx="3">
                    <c:v>A100</c:v>
                  </c:pt>
                  <c:pt idx="4">
                    <c:v>A6000 Ampere</c:v>
                  </c:pt>
                  <c:pt idx="5">
                    <c:v>B200</c:v>
                  </c:pt>
                  <c:pt idx="6">
                    <c:v>CPU</c:v>
                  </c:pt>
                  <c:pt idx="7">
                    <c:v>GH200</c:v>
                  </c:pt>
                  <c:pt idx="8">
                    <c:v>H100</c:v>
                  </c:pt>
                  <c:pt idx="9">
                    <c:v>H200</c:v>
                  </c:pt>
                  <c:pt idx="10">
                    <c:v>L40S</c:v>
                  </c:pt>
                  <c:pt idx="11">
                    <c:v>RTX Pro 6000</c:v>
                  </c:pt>
                  <c:pt idx="12">
                    <c:v>Storage</c:v>
                  </c:pt>
                  <c:pt idx="13">
                    <c:v>(blank)</c:v>
                  </c:pt>
                  <c:pt idx="14">
                    <c:v>4090</c:v>
                  </c:pt>
                  <c:pt idx="15">
                    <c:v>5090</c:v>
                  </c:pt>
                  <c:pt idx="16">
                    <c:v>A100</c:v>
                  </c:pt>
                  <c:pt idx="17">
                    <c:v>A100 40g</c:v>
                  </c:pt>
                  <c:pt idx="18">
                    <c:v>A100 80g</c:v>
                  </c:pt>
                  <c:pt idx="19">
                    <c:v>A6000</c:v>
                  </c:pt>
                  <c:pt idx="20">
                    <c:v>B200</c:v>
                  </c:pt>
                  <c:pt idx="21">
                    <c:v>H100</c:v>
                  </c:pt>
                  <c:pt idx="22">
                    <c:v>H200</c:v>
                  </c:pt>
                  <c:pt idx="23">
                    <c:v>L40S</c:v>
                  </c:pt>
                  <c:pt idx="24">
                    <c:v>H200</c:v>
                  </c:pt>
                  <c:pt idx="25">
                    <c:v>H200</c:v>
                  </c:pt>
                  <c:pt idx="26">
                    <c:v>B200</c:v>
                  </c:pt>
                  <c:pt idx="27">
                    <c:v>H100</c:v>
                  </c:pt>
                  <c:pt idx="28">
                    <c:v>4090</c:v>
                  </c:pt>
                  <c:pt idx="29">
                    <c:v>5090</c:v>
                  </c:pt>
                  <c:pt idx="30">
                    <c:v>A100</c:v>
                  </c:pt>
                  <c:pt idx="31">
                    <c:v>A100 80g PCIE</c:v>
                  </c:pt>
                  <c:pt idx="32">
                    <c:v>B200</c:v>
                  </c:pt>
                  <c:pt idx="33">
                    <c:v>CPU</c:v>
                  </c:pt>
                  <c:pt idx="34">
                    <c:v>H200</c:v>
                  </c:pt>
                  <c:pt idx="35">
                    <c:v>L40S</c:v>
                  </c:pt>
                  <c:pt idx="36">
                    <c:v>(blank)</c:v>
                  </c:pt>
                  <c:pt idx="37">
                    <c:v>5090</c:v>
                  </c:pt>
                  <c:pt idx="38">
                    <c:v>(blank)</c:v>
                  </c:pt>
                  <c:pt idx="39">
                    <c:v>5090</c:v>
                  </c:pt>
                  <c:pt idx="40">
                    <c:v>A100</c:v>
                  </c:pt>
                  <c:pt idx="41">
                    <c:v>A6000</c:v>
                  </c:pt>
                  <c:pt idx="42">
                    <c:v>H100</c:v>
                  </c:pt>
                  <c:pt idx="43">
                    <c:v>H200</c:v>
                  </c:pt>
                  <c:pt idx="44">
                    <c:v>Storage</c:v>
                  </c:pt>
                  <c:pt idx="45">
                    <c:v>V100</c:v>
                  </c:pt>
                  <c:pt idx="46">
                    <c:v>(blank)</c:v>
                  </c:pt>
                  <c:pt idx="47">
                    <c:v>H100</c:v>
                  </c:pt>
                  <c:pt idx="48">
                    <c:v>H100</c:v>
                  </c:pt>
                  <c:pt idx="49">
                    <c:v>4090</c:v>
                  </c:pt>
                  <c:pt idx="50">
                    <c:v>5090</c:v>
                  </c:pt>
                  <c:pt idx="51">
                    <c:v>B200</c:v>
                  </c:pt>
                  <c:pt idx="52">
                    <c:v>H200</c:v>
                  </c:pt>
                  <c:pt idx="53">
                    <c:v>NVIDIA B200</c:v>
                  </c:pt>
                  <c:pt idx="54">
                    <c:v>(blank)</c:v>
                  </c:pt>
                  <c:pt idx="55">
                    <c:v>3090</c:v>
                  </c:pt>
                  <c:pt idx="56">
                    <c:v>4090</c:v>
                  </c:pt>
                  <c:pt idx="57">
                    <c:v>A100</c:v>
                  </c:pt>
                  <c:pt idx="58">
                    <c:v>A6000 Ampere</c:v>
                  </c:pt>
                  <c:pt idx="59">
                    <c:v>B200</c:v>
                  </c:pt>
                  <c:pt idx="60">
                    <c:v>CPU</c:v>
                  </c:pt>
                  <c:pt idx="61">
                    <c:v>GH200</c:v>
                  </c:pt>
                  <c:pt idx="62">
                    <c:v>H100</c:v>
                  </c:pt>
                  <c:pt idx="63">
                    <c:v>H200</c:v>
                  </c:pt>
                  <c:pt idx="64">
                    <c:v>L40S</c:v>
                  </c:pt>
                  <c:pt idx="65">
                    <c:v>NVIDIA GeForce RTX 3090</c:v>
                  </c:pt>
                  <c:pt idx="66">
                    <c:v>NVIDIA GeForce RTX 4090</c:v>
                  </c:pt>
                  <c:pt idx="67">
                    <c:v>NVIDIA H100 80GB HBM3</c:v>
                  </c:pt>
                  <c:pt idx="68">
                    <c:v>Storage</c:v>
                  </c:pt>
                  <c:pt idx="69">
                    <c:v>V100</c:v>
                  </c:pt>
                  <c:pt idx="70">
                    <c:v>(blank)</c:v>
                  </c:pt>
                  <c:pt idx="71">
                    <c:v>3090</c:v>
                  </c:pt>
                  <c:pt idx="72">
                    <c:v>4090</c:v>
                  </c:pt>
                  <c:pt idx="73">
                    <c:v>5090</c:v>
                  </c:pt>
                  <c:pt idx="74">
                    <c:v>A100</c:v>
                  </c:pt>
                  <c:pt idx="75">
                    <c:v>A100 PCIE</c:v>
                  </c:pt>
                  <c:pt idx="76">
                    <c:v>A6000</c:v>
                  </c:pt>
                  <c:pt idx="77">
                    <c:v>A6000 ADA</c:v>
                  </c:pt>
                  <c:pt idx="78">
                    <c:v>A6000 Ampere</c:v>
                  </c:pt>
                  <c:pt idx="79">
                    <c:v>B200</c:v>
                  </c:pt>
                  <c:pt idx="80">
                    <c:v>CPU</c:v>
                  </c:pt>
                  <c:pt idx="81">
                    <c:v>GH200</c:v>
                  </c:pt>
                  <c:pt idx="82">
                    <c:v>H100</c:v>
                  </c:pt>
                  <c:pt idx="83">
                    <c:v>H200</c:v>
                  </c:pt>
                  <c:pt idx="84">
                    <c:v>L40S</c:v>
                  </c:pt>
                  <c:pt idx="85">
                    <c:v>NVIDIA A100-SXM4-80GB</c:v>
                  </c:pt>
                  <c:pt idx="86">
                    <c:v>NVIDIA B200</c:v>
                  </c:pt>
                  <c:pt idx="87">
                    <c:v>NVIDIA B300 SXM6 AC</c:v>
                  </c:pt>
                  <c:pt idx="88">
                    <c:v>NVIDIA GeForce RTX 3090</c:v>
                  </c:pt>
                  <c:pt idx="89">
                    <c:v>NVIDIA GeForce RTX 4090</c:v>
                  </c:pt>
                  <c:pt idx="90">
                    <c:v>NVIDIA GeForce RTX 5090</c:v>
                  </c:pt>
                  <c:pt idx="91">
                    <c:v>NVIDIA H100 80GB HBM3</c:v>
                  </c:pt>
                  <c:pt idx="92">
                    <c:v>NVIDIA H200</c:v>
                  </c:pt>
                  <c:pt idx="93">
                    <c:v>NVIDIA L40S</c:v>
                  </c:pt>
                  <c:pt idx="94">
                    <c:v>NVIDIA RTX PRO 6000 Blackwell Server Edition</c:v>
                  </c:pt>
                  <c:pt idx="95">
                    <c:v>Pro 6000</c:v>
                  </c:pt>
                  <c:pt idx="96">
                    <c:v>(blank)</c:v>
                  </c:pt>
                </c:lvl>
                <c:lvl>
                  <c:pt idx="0">
                    <c:v>1 Month</c:v>
                  </c:pt>
                  <c:pt idx="14">
                    <c:v>12 Month</c:v>
                  </c:pt>
                  <c:pt idx="24">
                    <c:v>2 Month</c:v>
                  </c:pt>
                  <c:pt idx="25">
                    <c:v>20 Month</c:v>
                  </c:pt>
                  <c:pt idx="26">
                    <c:v>24 Month</c:v>
                  </c:pt>
                  <c:pt idx="28">
                    <c:v>3 Month</c:v>
                  </c:pt>
                  <c:pt idx="37">
                    <c:v>4 Month</c:v>
                  </c:pt>
                  <c:pt idx="39">
                    <c:v>6 Month</c:v>
                  </c:pt>
                  <c:pt idx="47">
                    <c:v>7 Month</c:v>
                  </c:pt>
                  <c:pt idx="48">
                    <c:v>9 Month</c:v>
                  </c:pt>
                  <c:pt idx="49">
                    <c:v>Misc</c:v>
                  </c:pt>
                  <c:pt idx="55">
                    <c:v>NA</c:v>
                  </c:pt>
                  <c:pt idx="71">
                    <c:v>Spot</c:v>
                  </c:pt>
                </c:lvl>
              </c:multiLvlStrCache>
            </c:multiLvlStrRef>
          </c:cat>
          <c:val>
            <c:numRef>
              <c:f>Pivot!$C$4:$C$114</c:f>
              <c:numCache>
                <c:formatCode>General</c:formatCode>
                <c:ptCount val="97"/>
                <c:pt idx="0">
                  <c:v>0.23230769230769227</c:v>
                </c:pt>
                <c:pt idx="1">
                  <c:v>0.35499999999999998</c:v>
                </c:pt>
                <c:pt idx="2">
                  <c:v>0.51</c:v>
                </c:pt>
                <c:pt idx="3">
                  <c:v>1.1766666666666667</c:v>
                </c:pt>
                <c:pt idx="4">
                  <c:v>0.52</c:v>
                </c:pt>
                <c:pt idx="5">
                  <c:v>3.0296875000000005</c:v>
                </c:pt>
                <c:pt idx="6">
                  <c:v>144.22275000000002</c:v>
                </c:pt>
                <c:pt idx="7">
                  <c:v>1.8</c:v>
                </c:pt>
                <c:pt idx="8">
                  <c:v>1.7715151515151515</c:v>
                </c:pt>
                <c:pt idx="9">
                  <c:v>1.9509259259259253</c:v>
                </c:pt>
                <c:pt idx="10">
                  <c:v>0.76333333333333331</c:v>
                </c:pt>
                <c:pt idx="11">
                  <c:v>1.2</c:v>
                </c:pt>
                <c:pt idx="12">
                  <c:v>40</c:v>
                </c:pt>
                <c:pt idx="13">
                  <c:v>1.4816666666666667</c:v>
                </c:pt>
                <c:pt idx="14">
                  <c:v>0.27826086956521723</c:v>
                </c:pt>
                <c:pt idx="15">
                  <c:v>0.45</c:v>
                </c:pt>
                <c:pt idx="16">
                  <c:v>1.1625000000000001</c:v>
                </c:pt>
                <c:pt idx="18">
                  <c:v>0.95000000000000007</c:v>
                </c:pt>
                <c:pt idx="19">
                  <c:v>0.38</c:v>
                </c:pt>
                <c:pt idx="20">
                  <c:v>3.3499999999999992</c:v>
                </c:pt>
                <c:pt idx="21">
                  <c:v>1.9788571428571426</c:v>
                </c:pt>
                <c:pt idx="22">
                  <c:v>2.085</c:v>
                </c:pt>
                <c:pt idx="23">
                  <c:v>0.87</c:v>
                </c:pt>
                <c:pt idx="24">
                  <c:v>1.7</c:v>
                </c:pt>
                <c:pt idx="25">
                  <c:v>2.5500000000000003</c:v>
                </c:pt>
                <c:pt idx="26">
                  <c:v>2.6</c:v>
                </c:pt>
                <c:pt idx="27">
                  <c:v>2.435888888888889</c:v>
                </c:pt>
                <c:pt idx="28">
                  <c:v>0.50800000000000001</c:v>
                </c:pt>
                <c:pt idx="29">
                  <c:v>0.44</c:v>
                </c:pt>
                <c:pt idx="30">
                  <c:v>0.93</c:v>
                </c:pt>
                <c:pt idx="31">
                  <c:v>1.19</c:v>
                </c:pt>
                <c:pt idx="32">
                  <c:v>3.316666666666666</c:v>
                </c:pt>
                <c:pt idx="33">
                  <c:v>562.65750000000003</c:v>
                </c:pt>
                <c:pt idx="34">
                  <c:v>1.9871739130434785</c:v>
                </c:pt>
                <c:pt idx="35">
                  <c:v>0.71999999999999986</c:v>
                </c:pt>
                <c:pt idx="36">
                  <c:v>2.2050000000000001</c:v>
                </c:pt>
                <c:pt idx="37">
                  <c:v>0.43</c:v>
                </c:pt>
                <c:pt idx="38">
                  <c:v>0.43</c:v>
                </c:pt>
                <c:pt idx="39">
                  <c:v>0.4</c:v>
                </c:pt>
                <c:pt idx="40">
                  <c:v>1.1399999999999999</c:v>
                </c:pt>
                <c:pt idx="41">
                  <c:v>0.39999999999999997</c:v>
                </c:pt>
                <c:pt idx="42">
                  <c:v>2.16</c:v>
                </c:pt>
                <c:pt idx="43">
                  <c:v>2.388461538461538</c:v>
                </c:pt>
                <c:pt idx="44">
                  <c:v>30</c:v>
                </c:pt>
                <c:pt idx="45">
                  <c:v>0.28999999999999998</c:v>
                </c:pt>
                <c:pt idx="46">
                  <c:v>30</c:v>
                </c:pt>
                <c:pt idx="47">
                  <c:v>2.5099999999999998</c:v>
                </c:pt>
                <c:pt idx="48">
                  <c:v>1.8524999999999998</c:v>
                </c:pt>
                <c:pt idx="49">
                  <c:v>0.54300000000000004</c:v>
                </c:pt>
                <c:pt idx="50">
                  <c:v>0.45</c:v>
                </c:pt>
                <c:pt idx="51">
                  <c:v>2.7357142857142849</c:v>
                </c:pt>
                <c:pt idx="52">
                  <c:v>1.8405691056910565</c:v>
                </c:pt>
                <c:pt idx="53">
                  <c:v>2.4500000000000002</c:v>
                </c:pt>
                <c:pt idx="54">
                  <c:v>1.1000000000000001</c:v>
                </c:pt>
                <c:pt idx="55">
                  <c:v>0.26628571428571429</c:v>
                </c:pt>
                <c:pt idx="56">
                  <c:v>0.42875000000000008</c:v>
                </c:pt>
                <c:pt idx="57">
                  <c:v>1.0407692307692307</c:v>
                </c:pt>
                <c:pt idx="58">
                  <c:v>0.65699999999999992</c:v>
                </c:pt>
                <c:pt idx="59">
                  <c:v>2.8571428571428572</c:v>
                </c:pt>
                <c:pt idx="60">
                  <c:v>900.82199999999989</c:v>
                </c:pt>
                <c:pt idx="61">
                  <c:v>1.7949999999999999</c:v>
                </c:pt>
                <c:pt idx="62">
                  <c:v>2.0902727272727271</c:v>
                </c:pt>
                <c:pt idx="63">
                  <c:v>2.3494117647058825</c:v>
                </c:pt>
                <c:pt idx="64">
                  <c:v>0.87</c:v>
                </c:pt>
                <c:pt idx="65">
                  <c:v>0.28049999999999997</c:v>
                </c:pt>
                <c:pt idx="66">
                  <c:v>0.31224999999999997</c:v>
                </c:pt>
                <c:pt idx="67">
                  <c:v>1.25</c:v>
                </c:pt>
                <c:pt idx="68">
                  <c:v>22.535</c:v>
                </c:pt>
                <c:pt idx="69">
                  <c:v>0.3</c:v>
                </c:pt>
                <c:pt idx="70">
                  <c:v>12.998947368421053</c:v>
                </c:pt>
                <c:pt idx="71">
                  <c:v>0.27427272727272722</c:v>
                </c:pt>
                <c:pt idx="72">
                  <c:v>0.49504918032786904</c:v>
                </c:pt>
                <c:pt idx="73">
                  <c:v>0.69272727272727264</c:v>
                </c:pt>
                <c:pt idx="74">
                  <c:v>1.2542857142857142</c:v>
                </c:pt>
                <c:pt idx="75">
                  <c:v>0.70000000000000007</c:v>
                </c:pt>
                <c:pt idx="76">
                  <c:v>0.59</c:v>
                </c:pt>
                <c:pt idx="77">
                  <c:v>0.97599999999999998</c:v>
                </c:pt>
                <c:pt idx="78">
                  <c:v>0.57625000000000004</c:v>
                </c:pt>
                <c:pt idx="79">
                  <c:v>2.8756097560975595</c:v>
                </c:pt>
                <c:pt idx="80">
                  <c:v>343.74400000000003</c:v>
                </c:pt>
                <c:pt idx="81">
                  <c:v>1.8</c:v>
                </c:pt>
                <c:pt idx="82">
                  <c:v>2.1373333333333338</c:v>
                </c:pt>
                <c:pt idx="83">
                  <c:v>2.5399040247678082</c:v>
                </c:pt>
                <c:pt idx="84">
                  <c:v>0.70080000000000009</c:v>
                </c:pt>
                <c:pt idx="85">
                  <c:v>1.181</c:v>
                </c:pt>
                <c:pt idx="86">
                  <c:v>3.6671578947368424</c:v>
                </c:pt>
                <c:pt idx="87">
                  <c:v>4.7753333333333332</c:v>
                </c:pt>
                <c:pt idx="88">
                  <c:v>0.27021290322580682</c:v>
                </c:pt>
                <c:pt idx="89">
                  <c:v>0.37853939393939418</c:v>
                </c:pt>
                <c:pt idx="90">
                  <c:v>0.47413636363636358</c:v>
                </c:pt>
                <c:pt idx="91">
                  <c:v>1.2160769230769226</c:v>
                </c:pt>
                <c:pt idx="92">
                  <c:v>2.0304285714285717</c:v>
                </c:pt>
                <c:pt idx="93">
                  <c:v>0.43699999999999994</c:v>
                </c:pt>
                <c:pt idx="94">
                  <c:v>1.05</c:v>
                </c:pt>
                <c:pt idx="95">
                  <c:v>1.06</c:v>
                </c:pt>
                <c:pt idx="96">
                  <c:v>0.68240000000000001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2-499C-8090-182912EBE15F}"/>
            </c:ext>
          </c:extLst>
        </c:ser>
        <c:ser>
          <c:idx val="2"/>
          <c:order val="2"/>
          <c:tx>
            <c:strRef>
              <c:f>Pivot!$D$3</c:f>
              <c:strCache>
                <c:ptCount val="1"/>
                <c:pt idx="0">
                  <c:v>Average of GPUs/Quant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Pivot!$A$4:$A$114</c:f>
              <c:multiLvlStrCache>
                <c:ptCount val="97"/>
                <c:lvl>
                  <c:pt idx="0">
                    <c:v>3090</c:v>
                  </c:pt>
                  <c:pt idx="1">
                    <c:v>4090</c:v>
                  </c:pt>
                  <c:pt idx="2">
                    <c:v>5090</c:v>
                  </c:pt>
                  <c:pt idx="3">
                    <c:v>A100</c:v>
                  </c:pt>
                  <c:pt idx="4">
                    <c:v>A6000 Ampere</c:v>
                  </c:pt>
                  <c:pt idx="5">
                    <c:v>B200</c:v>
                  </c:pt>
                  <c:pt idx="6">
                    <c:v>CPU</c:v>
                  </c:pt>
                  <c:pt idx="7">
                    <c:v>GH200</c:v>
                  </c:pt>
                  <c:pt idx="8">
                    <c:v>H100</c:v>
                  </c:pt>
                  <c:pt idx="9">
                    <c:v>H200</c:v>
                  </c:pt>
                  <c:pt idx="10">
                    <c:v>L40S</c:v>
                  </c:pt>
                  <c:pt idx="11">
                    <c:v>RTX Pro 6000</c:v>
                  </c:pt>
                  <c:pt idx="12">
                    <c:v>Storage</c:v>
                  </c:pt>
                  <c:pt idx="13">
                    <c:v>(blank)</c:v>
                  </c:pt>
                  <c:pt idx="14">
                    <c:v>4090</c:v>
                  </c:pt>
                  <c:pt idx="15">
                    <c:v>5090</c:v>
                  </c:pt>
                  <c:pt idx="16">
                    <c:v>A100</c:v>
                  </c:pt>
                  <c:pt idx="17">
                    <c:v>A100 40g</c:v>
                  </c:pt>
                  <c:pt idx="18">
                    <c:v>A100 80g</c:v>
                  </c:pt>
                  <c:pt idx="19">
                    <c:v>A6000</c:v>
                  </c:pt>
                  <c:pt idx="20">
                    <c:v>B200</c:v>
                  </c:pt>
                  <c:pt idx="21">
                    <c:v>H100</c:v>
                  </c:pt>
                  <c:pt idx="22">
                    <c:v>H200</c:v>
                  </c:pt>
                  <c:pt idx="23">
                    <c:v>L40S</c:v>
                  </c:pt>
                  <c:pt idx="24">
                    <c:v>H200</c:v>
                  </c:pt>
                  <c:pt idx="25">
                    <c:v>H200</c:v>
                  </c:pt>
                  <c:pt idx="26">
                    <c:v>B200</c:v>
                  </c:pt>
                  <c:pt idx="27">
                    <c:v>H100</c:v>
                  </c:pt>
                  <c:pt idx="28">
                    <c:v>4090</c:v>
                  </c:pt>
                  <c:pt idx="29">
                    <c:v>5090</c:v>
                  </c:pt>
                  <c:pt idx="30">
                    <c:v>A100</c:v>
                  </c:pt>
                  <c:pt idx="31">
                    <c:v>A100 80g PCIE</c:v>
                  </c:pt>
                  <c:pt idx="32">
                    <c:v>B200</c:v>
                  </c:pt>
                  <c:pt idx="33">
                    <c:v>CPU</c:v>
                  </c:pt>
                  <c:pt idx="34">
                    <c:v>H200</c:v>
                  </c:pt>
                  <c:pt idx="35">
                    <c:v>L40S</c:v>
                  </c:pt>
                  <c:pt idx="36">
                    <c:v>(blank)</c:v>
                  </c:pt>
                  <c:pt idx="37">
                    <c:v>5090</c:v>
                  </c:pt>
                  <c:pt idx="38">
                    <c:v>(blank)</c:v>
                  </c:pt>
                  <c:pt idx="39">
                    <c:v>5090</c:v>
                  </c:pt>
                  <c:pt idx="40">
                    <c:v>A100</c:v>
                  </c:pt>
                  <c:pt idx="41">
                    <c:v>A6000</c:v>
                  </c:pt>
                  <c:pt idx="42">
                    <c:v>H100</c:v>
                  </c:pt>
                  <c:pt idx="43">
                    <c:v>H200</c:v>
                  </c:pt>
                  <c:pt idx="44">
                    <c:v>Storage</c:v>
                  </c:pt>
                  <c:pt idx="45">
                    <c:v>V100</c:v>
                  </c:pt>
                  <c:pt idx="46">
                    <c:v>(blank)</c:v>
                  </c:pt>
                  <c:pt idx="47">
                    <c:v>H100</c:v>
                  </c:pt>
                  <c:pt idx="48">
                    <c:v>H100</c:v>
                  </c:pt>
                  <c:pt idx="49">
                    <c:v>4090</c:v>
                  </c:pt>
                  <c:pt idx="50">
                    <c:v>5090</c:v>
                  </c:pt>
                  <c:pt idx="51">
                    <c:v>B200</c:v>
                  </c:pt>
                  <c:pt idx="52">
                    <c:v>H200</c:v>
                  </c:pt>
                  <c:pt idx="53">
                    <c:v>NVIDIA B200</c:v>
                  </c:pt>
                  <c:pt idx="54">
                    <c:v>(blank)</c:v>
                  </c:pt>
                  <c:pt idx="55">
                    <c:v>3090</c:v>
                  </c:pt>
                  <c:pt idx="56">
                    <c:v>4090</c:v>
                  </c:pt>
                  <c:pt idx="57">
                    <c:v>A100</c:v>
                  </c:pt>
                  <c:pt idx="58">
                    <c:v>A6000 Ampere</c:v>
                  </c:pt>
                  <c:pt idx="59">
                    <c:v>B200</c:v>
                  </c:pt>
                  <c:pt idx="60">
                    <c:v>CPU</c:v>
                  </c:pt>
                  <c:pt idx="61">
                    <c:v>GH200</c:v>
                  </c:pt>
                  <c:pt idx="62">
                    <c:v>H100</c:v>
                  </c:pt>
                  <c:pt idx="63">
                    <c:v>H200</c:v>
                  </c:pt>
                  <c:pt idx="64">
                    <c:v>L40S</c:v>
                  </c:pt>
                  <c:pt idx="65">
                    <c:v>NVIDIA GeForce RTX 3090</c:v>
                  </c:pt>
                  <c:pt idx="66">
                    <c:v>NVIDIA GeForce RTX 4090</c:v>
                  </c:pt>
                  <c:pt idx="67">
                    <c:v>NVIDIA H100 80GB HBM3</c:v>
                  </c:pt>
                  <c:pt idx="68">
                    <c:v>Storage</c:v>
                  </c:pt>
                  <c:pt idx="69">
                    <c:v>V100</c:v>
                  </c:pt>
                  <c:pt idx="70">
                    <c:v>(blank)</c:v>
                  </c:pt>
                  <c:pt idx="71">
                    <c:v>3090</c:v>
                  </c:pt>
                  <c:pt idx="72">
                    <c:v>4090</c:v>
                  </c:pt>
                  <c:pt idx="73">
                    <c:v>5090</c:v>
                  </c:pt>
                  <c:pt idx="74">
                    <c:v>A100</c:v>
                  </c:pt>
                  <c:pt idx="75">
                    <c:v>A100 PCIE</c:v>
                  </c:pt>
                  <c:pt idx="76">
                    <c:v>A6000</c:v>
                  </c:pt>
                  <c:pt idx="77">
                    <c:v>A6000 ADA</c:v>
                  </c:pt>
                  <c:pt idx="78">
                    <c:v>A6000 Ampere</c:v>
                  </c:pt>
                  <c:pt idx="79">
                    <c:v>B200</c:v>
                  </c:pt>
                  <c:pt idx="80">
                    <c:v>CPU</c:v>
                  </c:pt>
                  <c:pt idx="81">
                    <c:v>GH200</c:v>
                  </c:pt>
                  <c:pt idx="82">
                    <c:v>H100</c:v>
                  </c:pt>
                  <c:pt idx="83">
                    <c:v>H200</c:v>
                  </c:pt>
                  <c:pt idx="84">
                    <c:v>L40S</c:v>
                  </c:pt>
                  <c:pt idx="85">
                    <c:v>NVIDIA A100-SXM4-80GB</c:v>
                  </c:pt>
                  <c:pt idx="86">
                    <c:v>NVIDIA B200</c:v>
                  </c:pt>
                  <c:pt idx="87">
                    <c:v>NVIDIA B300 SXM6 AC</c:v>
                  </c:pt>
                  <c:pt idx="88">
                    <c:v>NVIDIA GeForce RTX 3090</c:v>
                  </c:pt>
                  <c:pt idx="89">
                    <c:v>NVIDIA GeForce RTX 4090</c:v>
                  </c:pt>
                  <c:pt idx="90">
                    <c:v>NVIDIA GeForce RTX 5090</c:v>
                  </c:pt>
                  <c:pt idx="91">
                    <c:v>NVIDIA H100 80GB HBM3</c:v>
                  </c:pt>
                  <c:pt idx="92">
                    <c:v>NVIDIA H200</c:v>
                  </c:pt>
                  <c:pt idx="93">
                    <c:v>NVIDIA L40S</c:v>
                  </c:pt>
                  <c:pt idx="94">
                    <c:v>NVIDIA RTX PRO 6000 Blackwell Server Edition</c:v>
                  </c:pt>
                  <c:pt idx="95">
                    <c:v>Pro 6000</c:v>
                  </c:pt>
                  <c:pt idx="96">
                    <c:v>(blank)</c:v>
                  </c:pt>
                </c:lvl>
                <c:lvl>
                  <c:pt idx="0">
                    <c:v>1 Month</c:v>
                  </c:pt>
                  <c:pt idx="14">
                    <c:v>12 Month</c:v>
                  </c:pt>
                  <c:pt idx="24">
                    <c:v>2 Month</c:v>
                  </c:pt>
                  <c:pt idx="25">
                    <c:v>20 Month</c:v>
                  </c:pt>
                  <c:pt idx="26">
                    <c:v>24 Month</c:v>
                  </c:pt>
                  <c:pt idx="28">
                    <c:v>3 Month</c:v>
                  </c:pt>
                  <c:pt idx="37">
                    <c:v>4 Month</c:v>
                  </c:pt>
                  <c:pt idx="39">
                    <c:v>6 Month</c:v>
                  </c:pt>
                  <c:pt idx="47">
                    <c:v>7 Month</c:v>
                  </c:pt>
                  <c:pt idx="48">
                    <c:v>9 Month</c:v>
                  </c:pt>
                  <c:pt idx="49">
                    <c:v>Misc</c:v>
                  </c:pt>
                  <c:pt idx="55">
                    <c:v>NA</c:v>
                  </c:pt>
                  <c:pt idx="71">
                    <c:v>Spot</c:v>
                  </c:pt>
                </c:lvl>
              </c:multiLvlStrCache>
            </c:multiLvlStrRef>
          </c:cat>
          <c:val>
            <c:numRef>
              <c:f>Pivot!$D$4:$D$114</c:f>
              <c:numCache>
                <c:formatCode>General</c:formatCode>
                <c:ptCount val="97"/>
                <c:pt idx="0">
                  <c:v>20.307692307692307</c:v>
                </c:pt>
                <c:pt idx="1">
                  <c:v>16</c:v>
                </c:pt>
                <c:pt idx="2">
                  <c:v>40</c:v>
                </c:pt>
                <c:pt idx="3">
                  <c:v>12</c:v>
                </c:pt>
                <c:pt idx="4">
                  <c:v>8</c:v>
                </c:pt>
                <c:pt idx="5">
                  <c:v>50.625</c:v>
                </c:pt>
                <c:pt idx="6">
                  <c:v>4.125</c:v>
                </c:pt>
                <c:pt idx="7">
                  <c:v>2</c:v>
                </c:pt>
                <c:pt idx="8">
                  <c:v>45</c:v>
                </c:pt>
                <c:pt idx="9">
                  <c:v>55.24074074074074</c:v>
                </c:pt>
                <c:pt idx="10">
                  <c:v>86.222222222222229</c:v>
                </c:pt>
                <c:pt idx="11">
                  <c:v>24</c:v>
                </c:pt>
                <c:pt idx="12">
                  <c:v>25</c:v>
                </c:pt>
                <c:pt idx="13">
                  <c:v>34.666666666666664</c:v>
                </c:pt>
                <c:pt idx="14">
                  <c:v>83.304347826086953</c:v>
                </c:pt>
                <c:pt idx="15">
                  <c:v>8</c:v>
                </c:pt>
                <c:pt idx="16">
                  <c:v>38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30.857142857142858</c:v>
                </c:pt>
                <c:pt idx="21">
                  <c:v>139.42857142857142</c:v>
                </c:pt>
                <c:pt idx="22">
                  <c:v>9.6</c:v>
                </c:pt>
                <c:pt idx="23">
                  <c:v>80</c:v>
                </c:pt>
                <c:pt idx="24">
                  <c:v>8</c:v>
                </c:pt>
                <c:pt idx="25">
                  <c:v>32</c:v>
                </c:pt>
                <c:pt idx="26">
                  <c:v>256</c:v>
                </c:pt>
                <c:pt idx="27">
                  <c:v>1008</c:v>
                </c:pt>
                <c:pt idx="28">
                  <c:v>200</c:v>
                </c:pt>
                <c:pt idx="29">
                  <c:v>112</c:v>
                </c:pt>
                <c:pt idx="30">
                  <c:v>8</c:v>
                </c:pt>
                <c:pt idx="31">
                  <c:v>8</c:v>
                </c:pt>
                <c:pt idx="32">
                  <c:v>50.666666666666664</c:v>
                </c:pt>
                <c:pt idx="33">
                  <c:v>3</c:v>
                </c:pt>
                <c:pt idx="34">
                  <c:v>89.565217391304344</c:v>
                </c:pt>
                <c:pt idx="35">
                  <c:v>8</c:v>
                </c:pt>
                <c:pt idx="36">
                  <c:v>89.6</c:v>
                </c:pt>
                <c:pt idx="37">
                  <c:v>24</c:v>
                </c:pt>
                <c:pt idx="38">
                  <c:v>112</c:v>
                </c:pt>
                <c:pt idx="39">
                  <c:v>80</c:v>
                </c:pt>
                <c:pt idx="40">
                  <c:v>8</c:v>
                </c:pt>
                <c:pt idx="41">
                  <c:v>8</c:v>
                </c:pt>
                <c:pt idx="42">
                  <c:v>460.33333333333331</c:v>
                </c:pt>
                <c:pt idx="43">
                  <c:v>8.615384615384615</c:v>
                </c:pt>
                <c:pt idx="44">
                  <c:v>42</c:v>
                </c:pt>
                <c:pt idx="45">
                  <c:v>8</c:v>
                </c:pt>
                <c:pt idx="46">
                  <c:v>42</c:v>
                </c:pt>
                <c:pt idx="47">
                  <c:v>16</c:v>
                </c:pt>
                <c:pt idx="48">
                  <c:v>58</c:v>
                </c:pt>
                <c:pt idx="49">
                  <c:v>8</c:v>
                </c:pt>
                <c:pt idx="50">
                  <c:v>8</c:v>
                </c:pt>
                <c:pt idx="51">
                  <c:v>20.571428571428573</c:v>
                </c:pt>
                <c:pt idx="52">
                  <c:v>53.918699186991873</c:v>
                </c:pt>
                <c:pt idx="53">
                  <c:v>8</c:v>
                </c:pt>
                <c:pt idx="54">
                  <c:v>128</c:v>
                </c:pt>
                <c:pt idx="55">
                  <c:v>9.3571428571428577</c:v>
                </c:pt>
                <c:pt idx="56">
                  <c:v>23.714285714285715</c:v>
                </c:pt>
                <c:pt idx="57">
                  <c:v>14.153846153846153</c:v>
                </c:pt>
                <c:pt idx="58">
                  <c:v>8</c:v>
                </c:pt>
                <c:pt idx="59">
                  <c:v>14.666666666666666</c:v>
                </c:pt>
                <c:pt idx="60">
                  <c:v>1</c:v>
                </c:pt>
                <c:pt idx="61">
                  <c:v>1</c:v>
                </c:pt>
                <c:pt idx="62">
                  <c:v>187.30434782608697</c:v>
                </c:pt>
                <c:pt idx="63">
                  <c:v>40.736842105263158</c:v>
                </c:pt>
                <c:pt idx="64">
                  <c:v>80</c:v>
                </c:pt>
                <c:pt idx="65">
                  <c:v>1</c:v>
                </c:pt>
                <c:pt idx="66">
                  <c:v>8</c:v>
                </c:pt>
                <c:pt idx="67">
                  <c:v>8</c:v>
                </c:pt>
                <c:pt idx="68">
                  <c:v>29.125</c:v>
                </c:pt>
                <c:pt idx="69">
                  <c:v>8</c:v>
                </c:pt>
                <c:pt idx="70">
                  <c:v>11.615384615384615</c:v>
                </c:pt>
                <c:pt idx="71">
                  <c:v>9.1090909090909093</c:v>
                </c:pt>
                <c:pt idx="72">
                  <c:v>27.081967213114755</c:v>
                </c:pt>
                <c:pt idx="73">
                  <c:v>12.363636363636363</c:v>
                </c:pt>
                <c:pt idx="74">
                  <c:v>15.142857142857142</c:v>
                </c:pt>
                <c:pt idx="75">
                  <c:v>4</c:v>
                </c:pt>
                <c:pt idx="76">
                  <c:v>8</c:v>
                </c:pt>
                <c:pt idx="77">
                  <c:v>8</c:v>
                </c:pt>
                <c:pt idx="78">
                  <c:v>10</c:v>
                </c:pt>
                <c:pt idx="79">
                  <c:v>22.829268292682926</c:v>
                </c:pt>
                <c:pt idx="80">
                  <c:v>1</c:v>
                </c:pt>
                <c:pt idx="81">
                  <c:v>2</c:v>
                </c:pt>
                <c:pt idx="82">
                  <c:v>42.791666666666664</c:v>
                </c:pt>
                <c:pt idx="83">
                  <c:v>24.44891640866873</c:v>
                </c:pt>
                <c:pt idx="84">
                  <c:v>21.6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2.2193548387096773</c:v>
                </c:pt>
                <c:pt idx="89">
                  <c:v>7.9454545454545453</c:v>
                </c:pt>
                <c:pt idx="90">
                  <c:v>8</c:v>
                </c:pt>
                <c:pt idx="91">
                  <c:v>7.8717948717948714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9.6666666666666661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D2-499C-8090-182912EBE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8965343"/>
        <c:axId val="1838978783"/>
      </c:barChart>
      <c:catAx>
        <c:axId val="183896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978783"/>
        <c:crosses val="autoZero"/>
        <c:auto val="1"/>
        <c:lblAlgn val="ctr"/>
        <c:lblOffset val="100"/>
        <c:noMultiLvlLbl val="0"/>
      </c:catAx>
      <c:valAx>
        <c:axId val="183897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96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Buyer Rate ($/GPU/Hr)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'Price Evolution'!$B$3</c:f>
              <c:strCache>
                <c:ptCount val="1"/>
                <c:pt idx="0">
                  <c:v>H100</c:v>
                </c:pt>
              </c:strCache>
            </c:strRef>
          </c:tx>
          <c:spPr>
            <a:ln w="28575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'Price Evolution'!$A$4:$A$18</c:f>
              <c:numCache>
                <c:formatCode>mmm\-yy</c:formatCode>
                <c:ptCount val="15"/>
                <c:pt idx="0">
                  <c:v>45597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</c:numCache>
            </c:numRef>
          </c:cat>
          <c:val>
            <c:numRef>
              <c:f>'Price Evolution'!$B$4:$B$18</c:f>
              <c:numCache>
                <c:formatCode>"$"#,##0.00</c:formatCode>
                <c:ptCount val="15"/>
                <c:pt idx="1">
                  <c:v>2.34</c:v>
                </c:pt>
                <c:pt idx="2">
                  <c:v>2.36</c:v>
                </c:pt>
                <c:pt idx="3">
                  <c:v>2.14</c:v>
                </c:pt>
                <c:pt idx="4">
                  <c:v>2.41</c:v>
                </c:pt>
                <c:pt idx="5">
                  <c:v>2.12</c:v>
                </c:pt>
                <c:pt idx="6">
                  <c:v>2.41</c:v>
                </c:pt>
                <c:pt idx="7">
                  <c:v>2.48</c:v>
                </c:pt>
                <c:pt idx="9">
                  <c:v>1.65</c:v>
                </c:pt>
                <c:pt idx="11">
                  <c:v>1.21</c:v>
                </c:pt>
                <c:pt idx="12">
                  <c:v>1.36</c:v>
                </c:pt>
                <c:pt idx="13">
                  <c:v>1.46</c:v>
                </c:pt>
                <c:pt idx="14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78-4705-B009-AFAD1CFE9924}"/>
            </c:ext>
          </c:extLst>
        </c:ser>
        <c:ser>
          <c:idx val="1"/>
          <c:order val="1"/>
          <c:tx>
            <c:strRef>
              <c:f>'Price Evolution'!$C$3</c:f>
              <c:strCache>
                <c:ptCount val="1"/>
                <c:pt idx="0">
                  <c:v>H200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'Price Evolution'!$A$4:$A$18</c:f>
              <c:numCache>
                <c:formatCode>mmm\-yy</c:formatCode>
                <c:ptCount val="15"/>
                <c:pt idx="0">
                  <c:v>45597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</c:numCache>
            </c:numRef>
          </c:cat>
          <c:val>
            <c:numRef>
              <c:f>'Price Evolution'!$C$4:$C$18</c:f>
              <c:numCache>
                <c:formatCode>"$"#,##0.00</c:formatCode>
                <c:ptCount val="15"/>
                <c:pt idx="0">
                  <c:v>2.6</c:v>
                </c:pt>
                <c:pt idx="1">
                  <c:v>3.09</c:v>
                </c:pt>
                <c:pt idx="2">
                  <c:v>2.98</c:v>
                </c:pt>
                <c:pt idx="3">
                  <c:v>3.04</c:v>
                </c:pt>
                <c:pt idx="4">
                  <c:v>3</c:v>
                </c:pt>
                <c:pt idx="5">
                  <c:v>2.78</c:v>
                </c:pt>
                <c:pt idx="6">
                  <c:v>2.46</c:v>
                </c:pt>
                <c:pt idx="7">
                  <c:v>2.58</c:v>
                </c:pt>
                <c:pt idx="8">
                  <c:v>1.83</c:v>
                </c:pt>
                <c:pt idx="9">
                  <c:v>1.86</c:v>
                </c:pt>
                <c:pt idx="10">
                  <c:v>1.74</c:v>
                </c:pt>
                <c:pt idx="11">
                  <c:v>1.6</c:v>
                </c:pt>
                <c:pt idx="12">
                  <c:v>2.04</c:v>
                </c:pt>
                <c:pt idx="13">
                  <c:v>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78-4705-B009-AFAD1CFE9924}"/>
            </c:ext>
          </c:extLst>
        </c:ser>
        <c:ser>
          <c:idx val="2"/>
          <c:order val="2"/>
          <c:tx>
            <c:strRef>
              <c:f>'Price Evolution'!$D$3</c:f>
              <c:strCache>
                <c:ptCount val="1"/>
                <c:pt idx="0">
                  <c:v>B200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'Price Evolution'!$A$4:$A$18</c:f>
              <c:numCache>
                <c:formatCode>mmm\-yy</c:formatCode>
                <c:ptCount val="15"/>
                <c:pt idx="0">
                  <c:v>45597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</c:numCache>
            </c:numRef>
          </c:cat>
          <c:val>
            <c:numRef>
              <c:f>'Price Evolution'!$D$4:$D$18</c:f>
              <c:numCache>
                <c:formatCode>"$"#,##0.00</c:formatCode>
                <c:ptCount val="15"/>
                <c:pt idx="7">
                  <c:v>3.59</c:v>
                </c:pt>
                <c:pt idx="8">
                  <c:v>3.5</c:v>
                </c:pt>
                <c:pt idx="9">
                  <c:v>3.65</c:v>
                </c:pt>
                <c:pt idx="10">
                  <c:v>3.5</c:v>
                </c:pt>
                <c:pt idx="11">
                  <c:v>3</c:v>
                </c:pt>
                <c:pt idx="12">
                  <c:v>3.02</c:v>
                </c:pt>
                <c:pt idx="13">
                  <c:v>3.01</c:v>
                </c:pt>
                <c:pt idx="14">
                  <c:v>3.98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78-4705-B009-AFAD1CFE9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2829824"/>
        <c:axId val="1892850464"/>
      </c:lineChart>
      <c:dateAx>
        <c:axId val="18928298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850464"/>
        <c:crosses val="autoZero"/>
        <c:auto val="1"/>
        <c:lblOffset val="100"/>
        <c:baseTimeUnit val="months"/>
      </c:dateAx>
      <c:valAx>
        <c:axId val="18928504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$/GPU/Hr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82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Buyer Rate ($/GPU/Hr)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'Price Evolution'!$B$3</c:f>
              <c:strCache>
                <c:ptCount val="1"/>
                <c:pt idx="0">
                  <c:v>H100</c:v>
                </c:pt>
              </c:strCache>
            </c:strRef>
          </c:tx>
          <c:spPr>
            <a:ln w="28575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'Price Evolution'!$A$4:$A$18</c:f>
              <c:numCache>
                <c:formatCode>mmm\-yy</c:formatCode>
                <c:ptCount val="15"/>
                <c:pt idx="0">
                  <c:v>45597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</c:numCache>
            </c:numRef>
          </c:cat>
          <c:val>
            <c:numRef>
              <c:f>'Price Evolution'!$B$4:$B$18</c:f>
              <c:numCache>
                <c:formatCode>"$"#,##0.00</c:formatCode>
                <c:ptCount val="15"/>
                <c:pt idx="1">
                  <c:v>2.34</c:v>
                </c:pt>
                <c:pt idx="2">
                  <c:v>2.36</c:v>
                </c:pt>
                <c:pt idx="3">
                  <c:v>2.14</c:v>
                </c:pt>
                <c:pt idx="4">
                  <c:v>2.41</c:v>
                </c:pt>
                <c:pt idx="5">
                  <c:v>2.12</c:v>
                </c:pt>
                <c:pt idx="6">
                  <c:v>2.41</c:v>
                </c:pt>
                <c:pt idx="7">
                  <c:v>2.48</c:v>
                </c:pt>
                <c:pt idx="9">
                  <c:v>1.65</c:v>
                </c:pt>
                <c:pt idx="11">
                  <c:v>1.21</c:v>
                </c:pt>
                <c:pt idx="12">
                  <c:v>1.36</c:v>
                </c:pt>
                <c:pt idx="13">
                  <c:v>1.46</c:v>
                </c:pt>
                <c:pt idx="14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29-45E2-BC9F-051A4D8DD4CA}"/>
            </c:ext>
          </c:extLst>
        </c:ser>
        <c:ser>
          <c:idx val="1"/>
          <c:order val="1"/>
          <c:tx>
            <c:strRef>
              <c:f>'Price Evolution'!$C$3</c:f>
              <c:strCache>
                <c:ptCount val="1"/>
                <c:pt idx="0">
                  <c:v>H200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'Price Evolution'!$A$4:$A$18</c:f>
              <c:numCache>
                <c:formatCode>mmm\-yy</c:formatCode>
                <c:ptCount val="15"/>
                <c:pt idx="0">
                  <c:v>45597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</c:numCache>
            </c:numRef>
          </c:cat>
          <c:val>
            <c:numRef>
              <c:f>'Price Evolution'!$C$4:$C$18</c:f>
              <c:numCache>
                <c:formatCode>"$"#,##0.00</c:formatCode>
                <c:ptCount val="15"/>
                <c:pt idx="0">
                  <c:v>2.6</c:v>
                </c:pt>
                <c:pt idx="1">
                  <c:v>3.09</c:v>
                </c:pt>
                <c:pt idx="2">
                  <c:v>2.98</c:v>
                </c:pt>
                <c:pt idx="3">
                  <c:v>3.04</c:v>
                </c:pt>
                <c:pt idx="4">
                  <c:v>3</c:v>
                </c:pt>
                <c:pt idx="5">
                  <c:v>2.78</c:v>
                </c:pt>
                <c:pt idx="6">
                  <c:v>2.46</c:v>
                </c:pt>
                <c:pt idx="7">
                  <c:v>2.58</c:v>
                </c:pt>
                <c:pt idx="8">
                  <c:v>1.83</c:v>
                </c:pt>
                <c:pt idx="9">
                  <c:v>1.86</c:v>
                </c:pt>
                <c:pt idx="10">
                  <c:v>1.74</c:v>
                </c:pt>
                <c:pt idx="11">
                  <c:v>1.6</c:v>
                </c:pt>
                <c:pt idx="12">
                  <c:v>2.04</c:v>
                </c:pt>
                <c:pt idx="13">
                  <c:v>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29-45E2-BC9F-051A4D8DD4CA}"/>
            </c:ext>
          </c:extLst>
        </c:ser>
        <c:ser>
          <c:idx val="2"/>
          <c:order val="2"/>
          <c:tx>
            <c:strRef>
              <c:f>'Price Evolution'!$D$3</c:f>
              <c:strCache>
                <c:ptCount val="1"/>
                <c:pt idx="0">
                  <c:v>B200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'Price Evolution'!$A$4:$A$18</c:f>
              <c:numCache>
                <c:formatCode>mmm\-yy</c:formatCode>
                <c:ptCount val="15"/>
                <c:pt idx="0">
                  <c:v>45597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</c:numCache>
            </c:numRef>
          </c:cat>
          <c:val>
            <c:numRef>
              <c:f>'Price Evolution'!$D$4:$D$18</c:f>
              <c:numCache>
                <c:formatCode>"$"#,##0.00</c:formatCode>
                <c:ptCount val="15"/>
                <c:pt idx="7">
                  <c:v>3.59</c:v>
                </c:pt>
                <c:pt idx="8">
                  <c:v>3.5</c:v>
                </c:pt>
                <c:pt idx="9">
                  <c:v>3.65</c:v>
                </c:pt>
                <c:pt idx="10">
                  <c:v>3.5</c:v>
                </c:pt>
                <c:pt idx="11">
                  <c:v>3</c:v>
                </c:pt>
                <c:pt idx="12">
                  <c:v>3.02</c:v>
                </c:pt>
                <c:pt idx="13">
                  <c:v>3.01</c:v>
                </c:pt>
                <c:pt idx="14">
                  <c:v>3.98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29-45E2-BC9F-051A4D8DD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2827904"/>
        <c:axId val="1892837504"/>
      </c:lineChart>
      <c:dateAx>
        <c:axId val="18928279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837504"/>
        <c:crosses val="autoZero"/>
        <c:auto val="1"/>
        <c:lblOffset val="100"/>
        <c:baseTimeUnit val="months"/>
      </c:dateAx>
      <c:valAx>
        <c:axId val="1892837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$/GPU/Hr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82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Supplier Rate ($/GPU/Hr)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'Price Evolution'!$G$3</c:f>
              <c:strCache>
                <c:ptCount val="1"/>
                <c:pt idx="0">
                  <c:v>H100</c:v>
                </c:pt>
              </c:strCache>
            </c:strRef>
          </c:tx>
          <c:spPr>
            <a:ln w="28575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'Price Evolution'!$F$4:$F$18</c:f>
              <c:numCache>
                <c:formatCode>mmm\-yy</c:formatCode>
                <c:ptCount val="15"/>
                <c:pt idx="0">
                  <c:v>45597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</c:numCache>
            </c:numRef>
          </c:cat>
          <c:val>
            <c:numRef>
              <c:f>'Price Evolution'!$G$4:$G$18</c:f>
              <c:numCache>
                <c:formatCode>"$"#,##0.00</c:formatCode>
                <c:ptCount val="15"/>
                <c:pt idx="1">
                  <c:v>2.16</c:v>
                </c:pt>
                <c:pt idx="2">
                  <c:v>2.17</c:v>
                </c:pt>
                <c:pt idx="3">
                  <c:v>1.99</c:v>
                </c:pt>
                <c:pt idx="4">
                  <c:v>2.23</c:v>
                </c:pt>
                <c:pt idx="5">
                  <c:v>2.0299999999999998</c:v>
                </c:pt>
                <c:pt idx="6">
                  <c:v>2.2799999999999998</c:v>
                </c:pt>
                <c:pt idx="7">
                  <c:v>2.3199999999999998</c:v>
                </c:pt>
                <c:pt idx="9">
                  <c:v>1.41</c:v>
                </c:pt>
                <c:pt idx="11">
                  <c:v>1.08</c:v>
                </c:pt>
                <c:pt idx="12">
                  <c:v>1.25</c:v>
                </c:pt>
                <c:pt idx="13">
                  <c:v>1.28</c:v>
                </c:pt>
                <c:pt idx="14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A-4706-9B98-97D92BE93247}"/>
            </c:ext>
          </c:extLst>
        </c:ser>
        <c:ser>
          <c:idx val="1"/>
          <c:order val="1"/>
          <c:tx>
            <c:strRef>
              <c:f>'Price Evolution'!$H$3</c:f>
              <c:strCache>
                <c:ptCount val="1"/>
                <c:pt idx="0">
                  <c:v>H200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'Price Evolution'!$F$4:$F$18</c:f>
              <c:numCache>
                <c:formatCode>mmm\-yy</c:formatCode>
                <c:ptCount val="15"/>
                <c:pt idx="0">
                  <c:v>45597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</c:numCache>
            </c:numRef>
          </c:cat>
          <c:val>
            <c:numRef>
              <c:f>'Price Evolution'!$H$4:$H$18</c:f>
              <c:numCache>
                <c:formatCode>"$"#,##0.00</c:formatCode>
                <c:ptCount val="15"/>
                <c:pt idx="0">
                  <c:v>2.4</c:v>
                </c:pt>
                <c:pt idx="1">
                  <c:v>2.7</c:v>
                </c:pt>
                <c:pt idx="2">
                  <c:v>2.59</c:v>
                </c:pt>
                <c:pt idx="3">
                  <c:v>2.66</c:v>
                </c:pt>
                <c:pt idx="4">
                  <c:v>2.61</c:v>
                </c:pt>
                <c:pt idx="5">
                  <c:v>2.27</c:v>
                </c:pt>
                <c:pt idx="6">
                  <c:v>2.2000000000000002</c:v>
                </c:pt>
                <c:pt idx="7">
                  <c:v>2.41</c:v>
                </c:pt>
                <c:pt idx="8">
                  <c:v>1.73</c:v>
                </c:pt>
                <c:pt idx="9">
                  <c:v>1.65</c:v>
                </c:pt>
                <c:pt idx="10">
                  <c:v>1.55</c:v>
                </c:pt>
                <c:pt idx="11">
                  <c:v>1.42</c:v>
                </c:pt>
                <c:pt idx="12">
                  <c:v>1.86</c:v>
                </c:pt>
                <c:pt idx="13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0A-4706-9B98-97D92BE93247}"/>
            </c:ext>
          </c:extLst>
        </c:ser>
        <c:ser>
          <c:idx val="2"/>
          <c:order val="2"/>
          <c:tx>
            <c:strRef>
              <c:f>'Price Evolution'!$I$3</c:f>
              <c:strCache>
                <c:ptCount val="1"/>
                <c:pt idx="0">
                  <c:v>B200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'Price Evolution'!$F$4:$F$18</c:f>
              <c:numCache>
                <c:formatCode>mmm\-yy</c:formatCode>
                <c:ptCount val="15"/>
                <c:pt idx="0">
                  <c:v>45597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</c:numCache>
            </c:numRef>
          </c:cat>
          <c:val>
            <c:numRef>
              <c:f>'Price Evolution'!$I$4:$I$18</c:f>
              <c:numCache>
                <c:formatCode>"$"#,##0.00</c:formatCode>
                <c:ptCount val="15"/>
                <c:pt idx="7">
                  <c:v>3.4</c:v>
                </c:pt>
                <c:pt idx="8">
                  <c:v>3.14</c:v>
                </c:pt>
                <c:pt idx="9">
                  <c:v>3.3</c:v>
                </c:pt>
                <c:pt idx="10">
                  <c:v>3.34</c:v>
                </c:pt>
                <c:pt idx="11">
                  <c:v>2.81</c:v>
                </c:pt>
                <c:pt idx="12">
                  <c:v>2.87</c:v>
                </c:pt>
                <c:pt idx="13">
                  <c:v>2.83</c:v>
                </c:pt>
                <c:pt idx="14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0A-4706-9B98-97D92BE93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2830784"/>
        <c:axId val="1892831744"/>
      </c:lineChart>
      <c:dateAx>
        <c:axId val="18928307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831744"/>
        <c:crosses val="autoZero"/>
        <c:auto val="1"/>
        <c:lblOffset val="100"/>
        <c:baseTimeUnit val="months"/>
      </c:dateAx>
      <c:valAx>
        <c:axId val="18928317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$/GPU/Hr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83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Deal Count by GPU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'Price Evolution'!$B$22</c:f>
              <c:strCache>
                <c:ptCount val="1"/>
                <c:pt idx="0">
                  <c:v>H100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'Price Evolution'!$A$23:$A$37</c:f>
              <c:numCache>
                <c:formatCode>mmm\-yy</c:formatCode>
                <c:ptCount val="15"/>
                <c:pt idx="0">
                  <c:v>45597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</c:numCache>
            </c:numRef>
          </c:cat>
          <c:val>
            <c:numRef>
              <c:f>'Price Evolution'!$B$23:$B$37</c:f>
              <c:numCache>
                <c:formatCode>#,##0</c:formatCode>
                <c:ptCount val="15"/>
                <c:pt idx="0">
                  <c:v>0</c:v>
                </c:pt>
                <c:pt idx="1">
                  <c:v>27</c:v>
                </c:pt>
                <c:pt idx="2">
                  <c:v>16</c:v>
                </c:pt>
                <c:pt idx="3">
                  <c:v>4</c:v>
                </c:pt>
                <c:pt idx="4">
                  <c:v>11</c:v>
                </c:pt>
                <c:pt idx="5">
                  <c:v>46</c:v>
                </c:pt>
                <c:pt idx="6">
                  <c:v>4</c:v>
                </c:pt>
                <c:pt idx="7">
                  <c:v>21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7</c:v>
                </c:pt>
                <c:pt idx="12">
                  <c:v>40</c:v>
                </c:pt>
                <c:pt idx="13">
                  <c:v>7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F-4AD0-8AEF-1583E59E12BA}"/>
            </c:ext>
          </c:extLst>
        </c:ser>
        <c:ser>
          <c:idx val="1"/>
          <c:order val="1"/>
          <c:tx>
            <c:strRef>
              <c:f>'Price Evolution'!$C$22</c:f>
              <c:strCache>
                <c:ptCount val="1"/>
                <c:pt idx="0">
                  <c:v>H200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'Price Evolution'!$A$23:$A$37</c:f>
              <c:numCache>
                <c:formatCode>mmm\-yy</c:formatCode>
                <c:ptCount val="15"/>
                <c:pt idx="0">
                  <c:v>45597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</c:numCache>
            </c:numRef>
          </c:cat>
          <c:val>
            <c:numRef>
              <c:f>'Price Evolution'!$C$23:$C$37</c:f>
              <c:numCache>
                <c:formatCode>#,##0</c:formatCode>
                <c:ptCount val="15"/>
                <c:pt idx="0">
                  <c:v>1</c:v>
                </c:pt>
                <c:pt idx="1">
                  <c:v>18</c:v>
                </c:pt>
                <c:pt idx="2">
                  <c:v>56</c:v>
                </c:pt>
                <c:pt idx="3">
                  <c:v>40</c:v>
                </c:pt>
                <c:pt idx="4">
                  <c:v>172</c:v>
                </c:pt>
                <c:pt idx="5">
                  <c:v>92</c:v>
                </c:pt>
                <c:pt idx="6">
                  <c:v>43</c:v>
                </c:pt>
                <c:pt idx="7">
                  <c:v>23</c:v>
                </c:pt>
                <c:pt idx="8">
                  <c:v>62</c:v>
                </c:pt>
                <c:pt idx="9">
                  <c:v>29</c:v>
                </c:pt>
                <c:pt idx="10">
                  <c:v>18</c:v>
                </c:pt>
                <c:pt idx="11">
                  <c:v>27</c:v>
                </c:pt>
                <c:pt idx="12">
                  <c:v>14</c:v>
                </c:pt>
                <c:pt idx="13">
                  <c:v>8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EF-4AD0-8AEF-1583E59E12BA}"/>
            </c:ext>
          </c:extLst>
        </c:ser>
        <c:ser>
          <c:idx val="2"/>
          <c:order val="2"/>
          <c:tx>
            <c:strRef>
              <c:f>'Price Evolution'!$D$22</c:f>
              <c:strCache>
                <c:ptCount val="1"/>
                <c:pt idx="0">
                  <c:v>B200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'Price Evolution'!$A$23:$A$37</c:f>
              <c:numCache>
                <c:formatCode>mmm\-yy</c:formatCode>
                <c:ptCount val="15"/>
                <c:pt idx="0">
                  <c:v>45597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</c:numCache>
            </c:numRef>
          </c:cat>
          <c:val>
            <c:numRef>
              <c:f>'Price Evolution'!$D$23:$D$37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</c:v>
                </c:pt>
                <c:pt idx="8">
                  <c:v>8</c:v>
                </c:pt>
                <c:pt idx="9">
                  <c:v>20</c:v>
                </c:pt>
                <c:pt idx="10">
                  <c:v>2</c:v>
                </c:pt>
                <c:pt idx="11">
                  <c:v>53</c:v>
                </c:pt>
                <c:pt idx="12">
                  <c:v>15</c:v>
                </c:pt>
                <c:pt idx="13">
                  <c:v>11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EF-4AD0-8AEF-1583E59E1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2861984"/>
        <c:axId val="1892874944"/>
      </c:barChart>
      <c:dateAx>
        <c:axId val="18928619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874944"/>
        <c:crosses val="autoZero"/>
        <c:auto val="1"/>
        <c:lblOffset val="100"/>
        <c:baseTimeUnit val="months"/>
      </c:dateAx>
      <c:valAx>
        <c:axId val="189287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Deals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86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114299</xdr:colOff>
      <xdr:row>11</xdr:row>
      <xdr:rowOff>90486</xdr:rowOff>
    </xdr:from>
    <xdr:to>
      <xdr:col>20</xdr:col>
      <xdr:colOff>504824</xdr:colOff>
      <xdr:row>36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C98EB0-C8A1-661C-8A65-C2A31C15F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</xdr:row>
      <xdr:rowOff>0</xdr:rowOff>
    </xdr:from>
    <xdr:to>
      <xdr:col>9</xdr:col>
      <xdr:colOff>0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E17E9A-4401-DA56-ABB2-5F3463689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9</xdr:col>
      <xdr:colOff>0</xdr:colOff>
      <xdr:row>58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D680EE-02EF-0049-F63B-25177F1406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59</xdr:row>
      <xdr:rowOff>0</xdr:rowOff>
    </xdr:from>
    <xdr:to>
      <xdr:col>9</xdr:col>
      <xdr:colOff>0</xdr:colOff>
      <xdr:row>78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222688-FBC0-9E01-7180-4B0099D8D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79</xdr:row>
      <xdr:rowOff>0</xdr:rowOff>
    </xdr:from>
    <xdr:to>
      <xdr:col>9</xdr:col>
      <xdr:colOff>0</xdr:colOff>
      <xdr:row>98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73E28E-4292-E0EF-03A9-0E632AD25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miranda" refreshedDate="46083.444109374999" createdVersion="8" refreshedVersion="8" minRefreshableVersion="3" recordCount="1817" xr:uid="{9C9A66BF-EE47-440B-BBBB-2FECF644A301}">
  <cacheSource type="worksheet">
    <worksheetSource ref="A1:H1818" sheet="Invoice Reconciliation (Raw)"/>
  </cacheSource>
  <cacheFields count="11">
    <cacheField name="Contract Start Date" numFmtId="165">
      <sharedItems containsSemiMixedTypes="0" containsNonDate="0" containsDate="1" containsString="0" minDate="2024-11-23T00:00:00" maxDate="2026-02-21T00:00:00" count="262">
        <d v="2026-02-20T00:00:00"/>
        <d v="2026-02-17T00:00:00"/>
        <d v="2026-02-15T00:00:00"/>
        <d v="2026-02-13T00:00:00"/>
        <d v="2026-02-12T00:00:00"/>
        <d v="2026-02-11T00:00:00"/>
        <d v="2026-02-10T00:00:00"/>
        <d v="2026-02-09T00:00:00"/>
        <d v="2026-02-06T00:00:00"/>
        <d v="2026-02-05T00:00:00"/>
        <d v="2026-02-04T00:00:00"/>
        <d v="2026-02-03T00:00:00"/>
        <d v="2026-01-30T00:00:00"/>
        <d v="2026-01-29T00:00:00"/>
        <d v="2026-01-28T00:00:00"/>
        <d v="2026-01-27T00:00:00"/>
        <d v="2026-01-26T00:00:00"/>
        <d v="2026-01-22T00:00:00"/>
        <d v="2026-01-21T00:00:00"/>
        <d v="2026-01-19T00:00:00"/>
        <d v="2026-01-15T00:00:00"/>
        <d v="2026-01-13T00:00:00"/>
        <d v="2026-01-12T00:00:00"/>
        <d v="2026-01-08T00:00:00"/>
        <d v="2026-01-05T00:00:00"/>
        <d v="2026-01-02T00:00:00"/>
        <d v="2026-01-01T00:00:00"/>
        <d v="2025-12-29T00:00:00"/>
        <d v="2025-12-26T00:00:00"/>
        <d v="2025-12-25T00:00:00"/>
        <d v="2025-12-24T00:00:00"/>
        <d v="2025-12-22T00:00:00"/>
        <d v="2025-12-19T00:00:00"/>
        <d v="2025-12-17T00:00:00"/>
        <d v="2025-12-16T00:00:00"/>
        <d v="2025-12-14T00:00:00"/>
        <d v="2025-12-13T00:00:00"/>
        <d v="2025-12-12T00:00:00"/>
        <d v="2025-12-09T00:00:00"/>
        <d v="2025-12-08T00:00:00"/>
        <d v="2025-12-05T00:00:00"/>
        <d v="2025-12-04T00:00:00"/>
        <d v="2025-12-01T00:00:00"/>
        <d v="2025-11-30T00:00:00"/>
        <d v="2025-11-29T00:00:00"/>
        <d v="2025-11-27T00:00:00"/>
        <d v="2025-11-26T00:00:00"/>
        <d v="2025-11-25T00:00:00"/>
        <d v="2025-11-24T00:00:00"/>
        <d v="2025-11-22T00:00:00"/>
        <d v="2025-11-21T00:00:00"/>
        <d v="2025-11-20T00:00:00"/>
        <d v="2025-11-19T00:00:00"/>
        <d v="2025-11-18T00:00:00"/>
        <d v="2025-11-17T00:00:00"/>
        <d v="2025-11-16T00:00:00"/>
        <d v="2025-11-14T00:00:00"/>
        <d v="2025-11-13T00:00:00"/>
        <d v="2025-11-12T00:00:00"/>
        <d v="2025-11-11T00:00:00"/>
        <d v="2025-11-10T00:00:00"/>
        <d v="2025-11-08T00:00:00"/>
        <d v="2025-11-07T00:00:00"/>
        <d v="2025-11-06T00:00:00"/>
        <d v="2025-11-04T00:00:00"/>
        <d v="2025-11-03T00:00:00"/>
        <d v="2025-11-01T00:00:00"/>
        <d v="2025-10-31T00:00:00"/>
        <d v="2025-10-28T00:00:00"/>
        <d v="2025-10-27T00:00:00"/>
        <d v="2025-10-24T00:00:00"/>
        <d v="2025-10-17T00:00:00"/>
        <d v="2025-10-09T00:00:00"/>
        <d v="2025-10-01T00:00:00"/>
        <d v="2025-09-30T00:00:00"/>
        <d v="2025-09-23T00:00:00"/>
        <d v="2025-09-22T00:00:00"/>
        <d v="2025-09-21T00:00:00"/>
        <d v="2025-09-19T00:00:00"/>
        <d v="2025-09-18T00:00:00"/>
        <d v="2025-09-17T00:00:00"/>
        <d v="2025-09-16T00:00:00"/>
        <d v="2025-09-14T00:00:00"/>
        <d v="2025-09-10T00:00:00"/>
        <d v="2025-09-08T00:00:00"/>
        <d v="2025-09-07T00:00:00"/>
        <d v="2025-09-06T00:00:00"/>
        <d v="2025-09-05T00:00:00"/>
        <d v="2025-09-04T00:00:00"/>
        <d v="2025-09-03T00:00:00"/>
        <d v="2025-09-02T00:00:00"/>
        <d v="2025-09-01T00:00:00"/>
        <d v="2025-08-29T00:00:00"/>
        <d v="2025-08-28T00:00:00"/>
        <d v="2025-08-27T00:00:00"/>
        <d v="2025-08-26T00:00:00"/>
        <d v="2025-08-25T00:00:00"/>
        <d v="2025-08-22T00:00:00"/>
        <d v="2025-08-21T00:00:00"/>
        <d v="2025-08-20T00:00:00"/>
        <d v="2025-08-18T00:00:00"/>
        <d v="2025-08-16T00:00:00"/>
        <d v="2025-08-15T00:00:00"/>
        <d v="2025-08-14T00:00:00"/>
        <d v="2025-08-13T00:00:00"/>
        <d v="2025-08-12T00:00:00"/>
        <d v="2025-08-11T00:00:00"/>
        <d v="2025-08-10T00:00:00"/>
        <d v="2025-08-08T00:00:00"/>
        <d v="2025-08-07T00:00:00"/>
        <d v="2025-08-06T00:00:00"/>
        <d v="2025-08-05T00:00:00"/>
        <d v="2025-08-04T00:00:00"/>
        <d v="2025-08-01T00:00:00"/>
        <d v="2025-07-31T00:00:00"/>
        <d v="2025-07-30T00:00:00"/>
        <d v="2025-07-29T00:00:00"/>
        <d v="2025-07-28T00:00:00"/>
        <d v="2025-07-27T00:00:00"/>
        <d v="2025-07-26T00:00:00"/>
        <d v="2025-07-25T00:00:00"/>
        <d v="2025-07-24T00:00:00"/>
        <d v="2025-07-23T00:00:00"/>
        <d v="2025-07-21T00:00:00"/>
        <d v="2025-07-14T00:00:00"/>
        <d v="2025-07-11T00:00:00"/>
        <d v="2025-07-10T00:00:00"/>
        <d v="2025-07-09T00:00:00"/>
        <d v="2025-07-08T00:00:00"/>
        <d v="2025-07-06T00:00:00"/>
        <d v="2025-07-05T00:00:00"/>
        <d v="2025-07-03T00:00:00"/>
        <d v="2025-07-01T00:00:00"/>
        <d v="2025-06-27T00:00:00"/>
        <d v="2025-06-26T00:00:00"/>
        <d v="2025-06-25T00:00:00"/>
        <d v="2025-06-24T00:00:00"/>
        <d v="2025-06-23T00:00:00"/>
        <d v="2025-06-20T00:00:00"/>
        <d v="2025-06-19T00:00:00"/>
        <d v="2025-06-18T00:00:00"/>
        <d v="2025-06-16T00:00:00"/>
        <d v="2025-06-15T00:00:00"/>
        <d v="2025-06-14T00:00:00"/>
        <d v="2025-06-13T00:00:00"/>
        <d v="2025-06-12T00:00:00"/>
        <d v="2025-06-11T00:00:00"/>
        <d v="2025-06-10T00:00:00"/>
        <d v="2025-06-09T00:00:00"/>
        <d v="2025-06-07T00:00:00"/>
        <d v="2025-06-06T00:00:00"/>
        <d v="2025-06-05T00:00:00"/>
        <d v="2025-06-04T00:00:00"/>
        <d v="2025-06-02T00:00:00"/>
        <d v="2025-06-01T00:00:00"/>
        <d v="2025-05-31T00:00:00"/>
        <d v="2025-05-30T00:00:00"/>
        <d v="2025-05-29T00:00:00"/>
        <d v="2025-05-28T00:00:00"/>
        <d v="2025-05-27T00:00:00"/>
        <d v="2025-05-26T00:00:00"/>
        <d v="2025-05-25T00:00:00"/>
        <d v="2025-05-23T00:00:00"/>
        <d v="2025-05-22T00:00:00"/>
        <d v="2025-05-21T00:00:00"/>
        <d v="2025-05-19T00:00:00"/>
        <d v="2025-05-18T00:00:00"/>
        <d v="2025-05-16T00:00:00"/>
        <d v="2025-05-15T00:00:00"/>
        <d v="2025-05-14T00:00:00"/>
        <d v="2025-05-12T00:00:00"/>
        <d v="2025-05-09T00:00:00"/>
        <d v="2025-05-08T00:00:00"/>
        <d v="2025-05-07T00:00:00"/>
        <d v="2025-05-06T00:00:00"/>
        <d v="2025-05-04T00:00:00"/>
        <d v="2025-05-02T00:00:00"/>
        <d v="2025-05-01T00:00:00"/>
        <d v="2025-04-30T00:00:00"/>
        <d v="2025-04-29T00:00:00"/>
        <d v="2025-04-28T00:00:00"/>
        <d v="2025-04-27T00:00:00"/>
        <d v="2025-04-26T00:00:00"/>
        <d v="2025-04-25T00:00:00"/>
        <d v="2025-04-24T00:00:00"/>
        <d v="2025-04-23T00:00:00"/>
        <d v="2025-04-22T00:00:00"/>
        <d v="2025-04-21T00:00:00"/>
        <d v="2025-04-20T00:00:00"/>
        <d v="2025-04-19T00:00:00"/>
        <d v="2025-04-18T00:00:00"/>
        <d v="2025-04-17T00:00:00"/>
        <d v="2025-04-16T00:00:00"/>
        <d v="2025-04-15T00:00:00"/>
        <d v="2025-04-14T00:00:00"/>
        <d v="2025-04-13T00:00:00"/>
        <d v="2025-04-12T00:00:00"/>
        <d v="2025-04-11T00:00:00"/>
        <d v="2025-04-10T00:00:00"/>
        <d v="2025-04-08T00:00:00"/>
        <d v="2025-04-06T00:00:00"/>
        <d v="2025-04-05T00:00:00"/>
        <d v="2025-04-04T00:00:00"/>
        <d v="2025-04-03T00:00:00"/>
        <d v="2025-04-02T00:00:00"/>
        <d v="2025-04-01T00:00:00"/>
        <d v="2025-03-31T00:00:00"/>
        <d v="2025-03-30T00:00:00"/>
        <d v="2025-03-28T00:00:00"/>
        <d v="2025-03-27T00:00:00"/>
        <d v="2025-03-26T00:00:00"/>
        <d v="2025-03-25T00:00:00"/>
        <d v="2025-03-23T00:00:00"/>
        <d v="2025-03-22T00:00:00"/>
        <d v="2025-03-21T00:00:00"/>
        <d v="2025-03-19T00:00:00"/>
        <d v="2025-03-18T00:00:00"/>
        <d v="2025-03-17T00:00:00"/>
        <d v="2025-03-16T00:00:00"/>
        <d v="2025-03-15T00:00:00"/>
        <d v="2025-03-11T00:00:00"/>
        <d v="2025-03-10T00:00:00"/>
        <d v="2025-03-08T00:00:00"/>
        <d v="2025-03-07T00:00:00"/>
        <d v="2025-03-04T00:00:00"/>
        <d v="2025-03-03T00:00:00"/>
        <d v="2025-03-01T00:00:00"/>
        <d v="2025-02-28T00:00:00"/>
        <d v="2025-02-27T00:00:00"/>
        <d v="2025-02-26T00:00:00"/>
        <d v="2025-02-25T00:00:00"/>
        <d v="2025-02-23T00:00:00"/>
        <d v="2025-02-21T00:00:00"/>
        <d v="2025-02-19T00:00:00"/>
        <d v="2025-02-18T00:00:00"/>
        <d v="2025-02-17T00:00:00"/>
        <d v="2025-02-15T00:00:00"/>
        <d v="2025-02-14T00:00:00"/>
        <d v="2025-02-12T00:00:00"/>
        <d v="2025-02-04T00:00:00"/>
        <d v="2025-02-01T00:00:00"/>
        <d v="2025-01-31T00:00:00"/>
        <d v="2025-01-30T00:00:00"/>
        <d v="2025-01-28T00:00:00"/>
        <d v="2025-01-27T00:00:00"/>
        <d v="2025-01-26T00:00:00"/>
        <d v="2025-01-25T00:00:00"/>
        <d v="2025-01-23T00:00:00"/>
        <d v="2025-01-22T00:00:00"/>
        <d v="2025-01-21T00:00:00"/>
        <d v="2025-01-17T00:00:00"/>
        <d v="2025-01-16T00:00:00"/>
        <d v="2025-01-15T00:00:00"/>
        <d v="2025-01-14T00:00:00"/>
        <d v="2025-01-13T00:00:00"/>
        <d v="2025-01-12T00:00:00"/>
        <d v="2025-01-10T00:00:00"/>
        <d v="2025-01-08T00:00:00"/>
        <d v="2025-01-02T00:00:00"/>
        <d v="2025-01-01T00:00:00"/>
        <d v="2024-12-27T00:00:00"/>
        <d v="2024-11-23T00:00:00"/>
      </sharedItems>
      <fieldGroup par="10"/>
    </cacheField>
    <cacheField name="Term" numFmtId="0">
      <sharedItems containsBlank="1" containsMixedTypes="1" containsNumber="1" containsInteger="1" minValue="43739719591" maxValue="43739719591" count="32">
        <m/>
        <s v="MONTHLY"/>
        <s v="1mo"/>
        <s v="WEEKLY"/>
        <s v="6mo"/>
        <s v="4mo"/>
        <s v="3mo"/>
        <s v="12mo"/>
        <s v="0mo"/>
        <s v="wk"/>
        <n v="43739719591"/>
        <s v="24mo"/>
        <s v="m2m"/>
        <s v="ir1"/>
        <s v="1d"/>
        <s v="ir"/>
        <s v="5 days"/>
        <s v="2mo"/>
        <s v="ir3"/>
        <s v="poc"/>
        <s v="mo"/>
        <s v="20mo"/>
        <s v="2w test"/>
        <s v="7mo"/>
        <s v="test"/>
        <s v="ir2"/>
        <s v="12 mo"/>
        <s v="9mo"/>
        <s v="w2w"/>
        <s v="6mo_x000a_"/>
        <s v="24hr"/>
        <s v="ir5"/>
      </sharedItems>
    </cacheField>
    <cacheField name="Term_Fixed" numFmtId="0">
      <sharedItems count="13">
        <s v="NA"/>
        <s v="Spot"/>
        <s v="1 Month"/>
        <s v="6 Month"/>
        <s v="4 Month"/>
        <s v="3 Month"/>
        <s v="12 Month"/>
        <s v="Misc"/>
        <s v="24 Month"/>
        <s v="2 Month"/>
        <s v="20 Month"/>
        <s v="7 Month"/>
        <s v="9 Month"/>
      </sharedItems>
    </cacheField>
    <cacheField name="GPU Type" numFmtId="0">
      <sharedItems containsBlank="1" containsMixedTypes="1" containsNumber="1" containsInteger="1" minValue="3090" maxValue="5090" count="32">
        <s v="NVIDIA H100 80GB HBM3"/>
        <s v="NVIDIA GeForce RTX 4090"/>
        <m/>
        <s v="NVIDIA B200"/>
        <s v="H100"/>
        <n v="5090"/>
        <s v="NVIDIA B300 SXM6 AC"/>
        <s v="NVIDIA RTX PRO 6000 Blackwell Server Edition"/>
        <s v="B200"/>
        <s v="NVIDIA GeForce RTX 5090"/>
        <s v="H200"/>
        <s v="NVIDIA GeForce RTX 3090"/>
        <s v="RTX Pro 6000"/>
        <s v="CPU"/>
        <s v="A100"/>
        <n v="4090"/>
        <s v="NVIDIA L40S"/>
        <s v="GH200"/>
        <n v="3090"/>
        <s v="Pro 6000"/>
        <s v="L40S"/>
        <s v="A6000"/>
        <s v="NVIDIA H200"/>
        <s v="Storage"/>
        <s v="NVIDIA A100-SXM4-80GB"/>
        <s v="A6000 Ampere"/>
        <s v="A100 80g"/>
        <s v="A100 PCIE"/>
        <s v="V100"/>
        <s v="A100 40g"/>
        <s v="A6000 ADA"/>
        <s v="A100 80g PCIE"/>
      </sharedItems>
    </cacheField>
    <cacheField name="GPUs/Quant" numFmtId="0">
      <sharedItems containsString="0" containsBlank="1" containsNumber="1" containsInteger="1" minValue="1" maxValue="1024"/>
    </cacheField>
    <cacheField name=" Buyer GPU/ Hr " numFmtId="164">
      <sharedItems containsSemiMixedTypes="0" containsString="0" containsNumber="1" minValue="0.04" maxValue="1700"/>
    </cacheField>
    <cacheField name=" Supplier GPU/ Hr " numFmtId="0">
      <sharedItems containsString="0" containsBlank="1" containsNumber="1" minValue="3.5000000000000003E-2" maxValue="1500"/>
    </cacheField>
    <cacheField name="Spread" numFmtId="166">
      <sharedItems containsSemiMixedTypes="0" containsString="0" containsNumber="1" minValue="0" maxValue="1"/>
    </cacheField>
    <cacheField name="Months (Contract Start Date)" numFmtId="0" databaseField="0">
      <fieldGroup base="0">
        <rangePr groupBy="months" startDate="2024-11-23T00:00:00" endDate="2026-02-21T00:00:00"/>
        <groupItems count="14">
          <s v="&lt;23/11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1/02/2026"/>
        </groupItems>
      </fieldGroup>
    </cacheField>
    <cacheField name="Quarters (Contract Start Date)" numFmtId="0" databaseField="0">
      <fieldGroup base="0">
        <rangePr groupBy="quarters" startDate="2024-11-23T00:00:00" endDate="2026-02-21T00:00:00"/>
        <groupItems count="6">
          <s v="&lt;23/11/2024"/>
          <s v="Qtr1"/>
          <s v="Qtr2"/>
          <s v="Qtr3"/>
          <s v="Qtr4"/>
          <s v="&gt;21/02/2026"/>
        </groupItems>
      </fieldGroup>
    </cacheField>
    <cacheField name="Years (Contract Start Date)" numFmtId="0" databaseField="0">
      <fieldGroup base="0">
        <rangePr groupBy="years" startDate="2024-11-23T00:00:00" endDate="2026-02-21T00:00:00"/>
        <groupItems count="5">
          <s v="&lt;23/11/2024"/>
          <s v="2024"/>
          <s v="2025"/>
          <s v="2026"/>
          <s v="&gt;21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7">
  <r>
    <x v="0"/>
    <x v="0"/>
    <x v="0"/>
    <x v="0"/>
    <n v="8"/>
    <n v="1.32"/>
    <n v="1.25"/>
    <n v="5.3030303030303094E-2"/>
  </r>
  <r>
    <x v="1"/>
    <x v="1"/>
    <x v="1"/>
    <x v="1"/>
    <n v="8"/>
    <n v="0.5"/>
    <n v="0.43"/>
    <n v="0.14000000000000001"/>
  </r>
  <r>
    <x v="2"/>
    <x v="2"/>
    <x v="2"/>
    <x v="2"/>
    <n v="40"/>
    <n v="2.1"/>
    <n v="1.85"/>
    <n v="0.11904761904761907"/>
  </r>
  <r>
    <x v="2"/>
    <x v="2"/>
    <x v="2"/>
    <x v="2"/>
    <n v="8"/>
    <n v="2.1"/>
    <n v="1.85"/>
    <n v="0.11904761904761907"/>
  </r>
  <r>
    <x v="2"/>
    <x v="2"/>
    <x v="2"/>
    <x v="2"/>
    <n v="32"/>
    <n v="2.1"/>
    <n v="1.85"/>
    <n v="0.11904761904761907"/>
  </r>
  <r>
    <x v="2"/>
    <x v="3"/>
    <x v="1"/>
    <x v="3"/>
    <n v="8"/>
    <n v="4.25"/>
    <n v="3.7189999999999999"/>
    <n v="0.12494117647058822"/>
  </r>
  <r>
    <x v="3"/>
    <x v="3"/>
    <x v="1"/>
    <x v="3"/>
    <n v="8"/>
    <n v="4.25"/>
    <n v="3.82"/>
    <n v="0.10117647058823531"/>
  </r>
  <r>
    <x v="3"/>
    <x v="3"/>
    <x v="1"/>
    <x v="3"/>
    <n v="8"/>
    <n v="4.25"/>
    <n v="3.7189999999999999"/>
    <n v="0.12494117647058822"/>
  </r>
  <r>
    <x v="3"/>
    <x v="4"/>
    <x v="3"/>
    <x v="4"/>
    <n v="352"/>
    <n v="1.42"/>
    <n v="1.25"/>
    <n v="0.11971830985915488"/>
  </r>
  <r>
    <x v="3"/>
    <x v="5"/>
    <x v="4"/>
    <x v="2"/>
    <n v="80"/>
    <n v="0.5"/>
    <n v="0.43"/>
    <n v="0.14000000000000001"/>
  </r>
  <r>
    <x v="3"/>
    <x v="5"/>
    <x v="4"/>
    <x v="5"/>
    <n v="24"/>
    <n v="0.5"/>
    <n v="0.43"/>
    <n v="0.14000000000000001"/>
  </r>
  <r>
    <x v="3"/>
    <x v="5"/>
    <x v="4"/>
    <x v="2"/>
    <n v="144"/>
    <n v="0.5"/>
    <n v="0.43"/>
    <n v="0.14000000000000001"/>
  </r>
  <r>
    <x v="3"/>
    <x v="3"/>
    <x v="1"/>
    <x v="6"/>
    <n v="8"/>
    <n v="5.5"/>
    <n v="4.7"/>
    <n v="0.14545454545454539"/>
  </r>
  <r>
    <x v="4"/>
    <x v="3"/>
    <x v="1"/>
    <x v="3"/>
    <n v="8"/>
    <n v="4.25"/>
    <n v="3.82"/>
    <n v="0.10117647058823531"/>
  </r>
  <r>
    <x v="4"/>
    <x v="3"/>
    <x v="1"/>
    <x v="3"/>
    <n v="8"/>
    <n v="4.25"/>
    <n v="3.82"/>
    <n v="0.10117647058823531"/>
  </r>
  <r>
    <x v="4"/>
    <x v="3"/>
    <x v="1"/>
    <x v="3"/>
    <n v="8"/>
    <n v="4.25"/>
    <n v="3.82"/>
    <n v="0.10117647058823531"/>
  </r>
  <r>
    <x v="4"/>
    <x v="3"/>
    <x v="1"/>
    <x v="3"/>
    <n v="8"/>
    <n v="4.25"/>
    <n v="3.82"/>
    <n v="0.10117647058823531"/>
  </r>
  <r>
    <x v="4"/>
    <x v="3"/>
    <x v="1"/>
    <x v="6"/>
    <n v="8"/>
    <n v="5.5"/>
    <n v="4.8129999999999997"/>
    <n v="0.12490909090909097"/>
  </r>
  <r>
    <x v="5"/>
    <x v="2"/>
    <x v="2"/>
    <x v="4"/>
    <n v="56"/>
    <n v="1.52"/>
    <n v="1.25"/>
    <n v="0.17763157894736847"/>
  </r>
  <r>
    <x v="6"/>
    <x v="6"/>
    <x v="5"/>
    <x v="2"/>
    <n v="48"/>
    <n v="1.87"/>
    <n v="1.77"/>
    <n v="5.3475935828876997E-2"/>
  </r>
  <r>
    <x v="6"/>
    <x v="3"/>
    <x v="1"/>
    <x v="3"/>
    <n v="8"/>
    <n v="4.25"/>
    <n v="3.7189999999999999"/>
    <n v="0.12494117647058822"/>
  </r>
  <r>
    <x v="6"/>
    <x v="3"/>
    <x v="1"/>
    <x v="3"/>
    <n v="8"/>
    <n v="3.15"/>
    <n v="2.7559999999999998"/>
    <n v="0.12507936507936512"/>
  </r>
  <r>
    <x v="7"/>
    <x v="3"/>
    <x v="1"/>
    <x v="6"/>
    <n v="8"/>
    <n v="5.5"/>
    <n v="4.8129999999999997"/>
    <n v="0.12490909090909097"/>
  </r>
  <r>
    <x v="7"/>
    <x v="3"/>
    <x v="1"/>
    <x v="7"/>
    <n v="8"/>
    <n v="1.2"/>
    <n v="1.05"/>
    <n v="0.12499999999999989"/>
  </r>
  <r>
    <x v="7"/>
    <x v="3"/>
    <x v="1"/>
    <x v="7"/>
    <n v="8"/>
    <n v="1.2"/>
    <n v="1.05"/>
    <n v="0.12499999999999989"/>
  </r>
  <r>
    <x v="8"/>
    <x v="2"/>
    <x v="2"/>
    <x v="2"/>
    <n v="40"/>
    <n v="1.55"/>
    <n v="1.25"/>
    <n v="0.19354838709677424"/>
  </r>
  <r>
    <x v="9"/>
    <x v="3"/>
    <x v="1"/>
    <x v="3"/>
    <n v="8"/>
    <n v="4.25"/>
    <n v="3.7189999999999999"/>
    <n v="0.12494117647058822"/>
  </r>
  <r>
    <x v="9"/>
    <x v="3"/>
    <x v="1"/>
    <x v="3"/>
    <n v="8"/>
    <n v="4.25"/>
    <n v="3.7189999999999999"/>
    <n v="0.12494117647058822"/>
  </r>
  <r>
    <x v="9"/>
    <x v="3"/>
    <x v="1"/>
    <x v="3"/>
    <n v="8"/>
    <n v="3"/>
    <n v="2.625"/>
    <n v="0.125"/>
  </r>
  <r>
    <x v="9"/>
    <x v="6"/>
    <x v="5"/>
    <x v="2"/>
    <n v="48"/>
    <n v="1.87"/>
    <n v="1.7"/>
    <n v="9.0909090909090939E-2"/>
  </r>
  <r>
    <x v="9"/>
    <x v="6"/>
    <x v="5"/>
    <x v="2"/>
    <n v="48"/>
    <n v="1.87"/>
    <n v="1.7"/>
    <n v="9.0909090909090939E-2"/>
  </r>
  <r>
    <x v="10"/>
    <x v="6"/>
    <x v="5"/>
    <x v="2"/>
    <n v="48"/>
    <n v="4"/>
    <n v="3.65"/>
    <n v="8.7500000000000022E-2"/>
  </r>
  <r>
    <x v="10"/>
    <x v="7"/>
    <x v="6"/>
    <x v="8"/>
    <n v="168"/>
    <n v="3.15"/>
    <n v="3.05"/>
    <n v="3.1746031746031744E-2"/>
  </r>
  <r>
    <x v="11"/>
    <x v="3"/>
    <x v="1"/>
    <x v="9"/>
    <n v="8"/>
    <n v="0.6"/>
    <n v="0.52500000000000002"/>
    <n v="0.12499999999999989"/>
  </r>
  <r>
    <x v="11"/>
    <x v="3"/>
    <x v="1"/>
    <x v="9"/>
    <n v="8"/>
    <n v="0.6"/>
    <n v="0.52500000000000002"/>
    <n v="0.12499999999999989"/>
  </r>
  <r>
    <x v="12"/>
    <x v="2"/>
    <x v="2"/>
    <x v="10"/>
    <n v="48"/>
    <n v="2"/>
    <n v="1.85"/>
    <n v="7.4999999999999956E-2"/>
  </r>
  <r>
    <x v="12"/>
    <x v="2"/>
    <x v="2"/>
    <x v="10"/>
    <n v="48"/>
    <n v="2"/>
    <n v="1.85"/>
    <n v="7.4999999999999956E-2"/>
  </r>
  <r>
    <x v="12"/>
    <x v="2"/>
    <x v="2"/>
    <x v="10"/>
    <n v="40"/>
    <n v="2"/>
    <n v="1.75"/>
    <n v="0.125"/>
  </r>
  <r>
    <x v="13"/>
    <x v="2"/>
    <x v="2"/>
    <x v="5"/>
    <n v="8"/>
    <n v="0.7"/>
    <n v="0.55000000000000004"/>
    <n v="0.21428571428571419"/>
  </r>
  <r>
    <x v="13"/>
    <x v="2"/>
    <x v="2"/>
    <x v="4"/>
    <n v="8"/>
    <n v="1.5"/>
    <n v="1.25"/>
    <n v="0.16666666666666663"/>
  </r>
  <r>
    <x v="13"/>
    <x v="7"/>
    <x v="6"/>
    <x v="4"/>
    <n v="24"/>
    <n v="1.45"/>
    <n v="1.35"/>
    <n v="6.8965517241379226E-2"/>
  </r>
  <r>
    <x v="13"/>
    <x v="7"/>
    <x v="6"/>
    <x v="4"/>
    <n v="24"/>
    <n v="1.45"/>
    <n v="1.35"/>
    <n v="6.8965517241379226E-2"/>
  </r>
  <r>
    <x v="13"/>
    <x v="7"/>
    <x v="6"/>
    <x v="4"/>
    <n v="24"/>
    <n v="1.45"/>
    <n v="1.35"/>
    <n v="6.8965517241379226E-2"/>
  </r>
  <r>
    <x v="14"/>
    <x v="8"/>
    <x v="1"/>
    <x v="8"/>
    <n v="8"/>
    <n v="2.95"/>
    <n v="2.75"/>
    <n v="6.7796610169491567E-2"/>
  </r>
  <r>
    <x v="14"/>
    <x v="9"/>
    <x v="1"/>
    <x v="8"/>
    <n v="8"/>
    <n v="2.95"/>
    <n v="2.75"/>
    <n v="6.7796610169491567E-2"/>
  </r>
  <r>
    <x v="14"/>
    <x v="2"/>
    <x v="2"/>
    <x v="4"/>
    <n v="32"/>
    <n v="1.5"/>
    <n v="1.25"/>
    <n v="0.16666666666666663"/>
  </r>
  <r>
    <x v="14"/>
    <x v="9"/>
    <x v="1"/>
    <x v="8"/>
    <n v="8"/>
    <n v="2.95"/>
    <n v="2.75"/>
    <n v="6.7796610169491567E-2"/>
  </r>
  <r>
    <x v="15"/>
    <x v="3"/>
    <x v="1"/>
    <x v="11"/>
    <n v="1"/>
    <n v="0.3"/>
    <n v="0.26300000000000001"/>
    <n v="0.12333333333333329"/>
  </r>
  <r>
    <x v="15"/>
    <x v="3"/>
    <x v="1"/>
    <x v="9"/>
    <n v="8"/>
    <n v="0.5"/>
    <n v="0.42499999999999999"/>
    <n v="0.15000000000000002"/>
  </r>
  <r>
    <x v="15"/>
    <x v="3"/>
    <x v="1"/>
    <x v="11"/>
    <n v="1"/>
    <n v="0.3"/>
    <n v="0.26300000000000001"/>
    <n v="0.12333333333333329"/>
  </r>
  <r>
    <x v="15"/>
    <x v="3"/>
    <x v="1"/>
    <x v="9"/>
    <n v="8"/>
    <n v="0.5"/>
    <n v="0.42499999999999999"/>
    <n v="0.15000000000000002"/>
  </r>
  <r>
    <x v="15"/>
    <x v="3"/>
    <x v="1"/>
    <x v="11"/>
    <n v="1"/>
    <n v="0.3"/>
    <n v="0.26300000000000001"/>
    <n v="0.12333333333333329"/>
  </r>
  <r>
    <x v="15"/>
    <x v="3"/>
    <x v="1"/>
    <x v="9"/>
    <n v="8"/>
    <n v="0.5"/>
    <n v="0.42499999999999999"/>
    <n v="0.15000000000000002"/>
  </r>
  <r>
    <x v="15"/>
    <x v="3"/>
    <x v="1"/>
    <x v="11"/>
    <n v="1"/>
    <n v="0.3"/>
    <n v="0.26300000000000001"/>
    <n v="0.12333333333333329"/>
  </r>
  <r>
    <x v="15"/>
    <x v="3"/>
    <x v="1"/>
    <x v="9"/>
    <n v="8"/>
    <n v="0.5"/>
    <n v="0.42499999999999999"/>
    <n v="0.15000000000000002"/>
  </r>
  <r>
    <x v="16"/>
    <x v="3"/>
    <x v="1"/>
    <x v="9"/>
    <n v="8"/>
    <n v="0.5"/>
    <n v="0.42499999999999999"/>
    <n v="0.15000000000000002"/>
  </r>
  <r>
    <x v="17"/>
    <x v="2"/>
    <x v="2"/>
    <x v="12"/>
    <n v="24"/>
    <n v="1.4"/>
    <n v="1.2"/>
    <n v="0.14285714285714279"/>
  </r>
  <r>
    <x v="17"/>
    <x v="2"/>
    <x v="2"/>
    <x v="8"/>
    <n v="336"/>
    <n v="1.63"/>
    <n v="1.3149999999999999"/>
    <n v="0.19325153374233128"/>
  </r>
  <r>
    <x v="18"/>
    <x v="3"/>
    <x v="1"/>
    <x v="9"/>
    <n v="8"/>
    <n v="0.45"/>
    <n v="0.38300000000000001"/>
    <n v="0.14888888888888885"/>
  </r>
  <r>
    <x v="18"/>
    <x v="3"/>
    <x v="1"/>
    <x v="9"/>
    <n v="8"/>
    <n v="0.45"/>
    <n v="0.38300000000000001"/>
    <n v="0.14888888888888885"/>
  </r>
  <r>
    <x v="18"/>
    <x v="3"/>
    <x v="1"/>
    <x v="9"/>
    <n v="8"/>
    <n v="0.45"/>
    <n v="0.38300000000000001"/>
    <n v="0.14888888888888885"/>
  </r>
  <r>
    <x v="18"/>
    <x v="3"/>
    <x v="1"/>
    <x v="9"/>
    <n v="8"/>
    <n v="0.45"/>
    <n v="0.38300000000000001"/>
    <n v="0.14888888888888885"/>
  </r>
  <r>
    <x v="18"/>
    <x v="3"/>
    <x v="1"/>
    <x v="9"/>
    <n v="8"/>
    <n v="0.6"/>
    <n v="0.51"/>
    <n v="0.14999999999999991"/>
  </r>
  <r>
    <x v="19"/>
    <x v="2"/>
    <x v="2"/>
    <x v="10"/>
    <n v="8"/>
    <n v="2.25"/>
    <n v="1.9"/>
    <n v="0.15555555555555556"/>
  </r>
  <r>
    <x v="19"/>
    <x v="2"/>
    <x v="2"/>
    <x v="10"/>
    <n v="8"/>
    <n v="2.25"/>
    <n v="1.9"/>
    <n v="0.15555555555555556"/>
  </r>
  <r>
    <x v="20"/>
    <x v="2"/>
    <x v="2"/>
    <x v="8"/>
    <n v="8"/>
    <n v="3.9"/>
    <n v="3.75"/>
    <n v="3.8461538461538436E-2"/>
  </r>
  <r>
    <x v="20"/>
    <x v="2"/>
    <x v="2"/>
    <x v="8"/>
    <n v="8"/>
    <n v="3.9"/>
    <n v="3.75"/>
    <n v="3.8461538461538436E-2"/>
  </r>
  <r>
    <x v="20"/>
    <x v="2"/>
    <x v="2"/>
    <x v="13"/>
    <n v="3"/>
    <n v="275"/>
    <n v="250"/>
    <n v="9.0909090909090939E-2"/>
  </r>
  <r>
    <x v="21"/>
    <x v="7"/>
    <x v="6"/>
    <x v="5"/>
    <n v="8"/>
    <n v="0.5"/>
    <n v="0.45"/>
    <n v="9.9999999999999978E-2"/>
  </r>
  <r>
    <x v="21"/>
    <x v="7"/>
    <x v="6"/>
    <x v="5"/>
    <n v="8"/>
    <n v="0.5"/>
    <n v="0.45"/>
    <n v="9.9999999999999978E-2"/>
  </r>
  <r>
    <x v="22"/>
    <x v="10"/>
    <x v="7"/>
    <x v="8"/>
    <n v="256"/>
    <n v="2.8"/>
    <n v="2.6"/>
    <n v="7.1428571428571286E-2"/>
  </r>
  <r>
    <x v="22"/>
    <x v="2"/>
    <x v="2"/>
    <x v="4"/>
    <n v="8"/>
    <n v="1.5"/>
    <n v="1.25"/>
    <n v="0.16666666666666663"/>
  </r>
  <r>
    <x v="22"/>
    <x v="7"/>
    <x v="6"/>
    <x v="14"/>
    <n v="32"/>
    <n v="0.76"/>
    <n v="0.69"/>
    <n v="9.2105263157894801E-2"/>
  </r>
  <r>
    <x v="22"/>
    <x v="7"/>
    <x v="6"/>
    <x v="14"/>
    <n v="32"/>
    <n v="0.76"/>
    <n v="0.69"/>
    <n v="9.2105263157894801E-2"/>
  </r>
  <r>
    <x v="22"/>
    <x v="11"/>
    <x v="8"/>
    <x v="8"/>
    <n v="256"/>
    <n v="2.8"/>
    <n v="2.6"/>
    <n v="7.1428571428571286E-2"/>
  </r>
  <r>
    <x v="23"/>
    <x v="9"/>
    <x v="1"/>
    <x v="8"/>
    <n v="8"/>
    <n v="2.85"/>
    <n v="2.75"/>
    <n v="3.5087719298245612E-2"/>
  </r>
  <r>
    <x v="23"/>
    <x v="9"/>
    <x v="1"/>
    <x v="8"/>
    <n v="8"/>
    <n v="2.85"/>
    <n v="2.75"/>
    <n v="3.5087719298245612E-2"/>
  </r>
  <r>
    <x v="23"/>
    <x v="2"/>
    <x v="2"/>
    <x v="5"/>
    <n v="16"/>
    <n v="0.5"/>
    <n v="0.46"/>
    <n v="7.999999999999996E-2"/>
  </r>
  <r>
    <x v="23"/>
    <x v="6"/>
    <x v="5"/>
    <x v="10"/>
    <n v="8"/>
    <n v="2.25"/>
    <n v="2.0499999999999998"/>
    <n v="8.8888888888889017E-2"/>
  </r>
  <r>
    <x v="24"/>
    <x v="2"/>
    <x v="2"/>
    <x v="4"/>
    <n v="80"/>
    <n v="1.35"/>
    <n v="1.1499999999999999"/>
    <n v="0.14814814814814825"/>
  </r>
  <r>
    <x v="24"/>
    <x v="2"/>
    <x v="2"/>
    <x v="15"/>
    <n v="24"/>
    <n v="0.45"/>
    <n v="0.39"/>
    <n v="0.1333333333333333"/>
  </r>
  <r>
    <x v="25"/>
    <x v="2"/>
    <x v="2"/>
    <x v="13"/>
    <n v="12"/>
    <n v="0.69"/>
    <n v="0.69"/>
    <n v="0"/>
  </r>
  <r>
    <x v="25"/>
    <x v="2"/>
    <x v="2"/>
    <x v="8"/>
    <n v="200"/>
    <n v="3.5"/>
    <n v="3.4"/>
    <n v="2.8571428571428581E-2"/>
  </r>
  <r>
    <x v="26"/>
    <x v="12"/>
    <x v="1"/>
    <x v="10"/>
    <n v="8"/>
    <n v="2.0499999999999998"/>
    <n v="1.95"/>
    <n v="4.8780487804877981E-2"/>
  </r>
  <r>
    <x v="26"/>
    <x v="12"/>
    <x v="1"/>
    <x v="10"/>
    <n v="8"/>
    <n v="2.0499999999999998"/>
    <n v="1.95"/>
    <n v="4.8780487804877981E-2"/>
  </r>
  <r>
    <x v="27"/>
    <x v="3"/>
    <x v="1"/>
    <x v="16"/>
    <n v="8"/>
    <n v="0.59"/>
    <n v="0.52"/>
    <n v="0.11864406779661008"/>
  </r>
  <r>
    <x v="27"/>
    <x v="9"/>
    <x v="1"/>
    <x v="5"/>
    <n v="8"/>
    <n v="0.8"/>
    <n v="0.7"/>
    <n v="0.12500000000000011"/>
  </r>
  <r>
    <x v="28"/>
    <x v="0"/>
    <x v="0"/>
    <x v="1"/>
    <n v="8"/>
    <n v="0.45"/>
    <n v="0.39400000000000002"/>
    <n v="0.12444444444444447"/>
  </r>
  <r>
    <x v="29"/>
    <x v="0"/>
    <x v="0"/>
    <x v="15"/>
    <n v="6"/>
    <n v="0.52"/>
    <n v="0.442"/>
    <n v="0.15000000000000002"/>
  </r>
  <r>
    <x v="30"/>
    <x v="3"/>
    <x v="1"/>
    <x v="0"/>
    <n v="8"/>
    <n v="1.32"/>
    <n v="1.25"/>
    <n v="5.3030303030303094E-2"/>
  </r>
  <r>
    <x v="30"/>
    <x v="3"/>
    <x v="1"/>
    <x v="0"/>
    <n v="8"/>
    <n v="1.32"/>
    <n v="1.25"/>
    <n v="5.3030303030303094E-2"/>
  </r>
  <r>
    <x v="30"/>
    <x v="3"/>
    <x v="1"/>
    <x v="0"/>
    <n v="8"/>
    <n v="1.32"/>
    <n v="1.25"/>
    <n v="5.3030303030303094E-2"/>
  </r>
  <r>
    <x v="30"/>
    <x v="3"/>
    <x v="1"/>
    <x v="0"/>
    <n v="8"/>
    <n v="1.32"/>
    <n v="1.25"/>
    <n v="5.3030303030303094E-2"/>
  </r>
  <r>
    <x v="30"/>
    <x v="3"/>
    <x v="1"/>
    <x v="0"/>
    <n v="8"/>
    <n v="1.32"/>
    <n v="1.25"/>
    <n v="5.3030303030303094E-2"/>
  </r>
  <r>
    <x v="30"/>
    <x v="3"/>
    <x v="1"/>
    <x v="0"/>
    <n v="8"/>
    <n v="1.32"/>
    <n v="1.25"/>
    <n v="5.3030303030303094E-2"/>
  </r>
  <r>
    <x v="30"/>
    <x v="3"/>
    <x v="1"/>
    <x v="0"/>
    <n v="8"/>
    <n v="1.32"/>
    <n v="1.25"/>
    <n v="5.3030303030303094E-2"/>
  </r>
  <r>
    <x v="30"/>
    <x v="3"/>
    <x v="1"/>
    <x v="0"/>
    <n v="8"/>
    <n v="1.32"/>
    <n v="1.25"/>
    <n v="5.3030303030303094E-2"/>
  </r>
  <r>
    <x v="30"/>
    <x v="3"/>
    <x v="1"/>
    <x v="0"/>
    <n v="8"/>
    <n v="1.32"/>
    <n v="1.25"/>
    <n v="5.3030303030303094E-2"/>
  </r>
  <r>
    <x v="31"/>
    <x v="2"/>
    <x v="2"/>
    <x v="10"/>
    <n v="8"/>
    <n v="2.0499999999999998"/>
    <n v="1.95"/>
    <n v="4.8780487804877981E-2"/>
  </r>
  <r>
    <x v="31"/>
    <x v="2"/>
    <x v="2"/>
    <x v="10"/>
    <n v="8"/>
    <n v="2.0499999999999998"/>
    <n v="1.95"/>
    <n v="4.8780487804877981E-2"/>
  </r>
  <r>
    <x v="31"/>
    <x v="2"/>
    <x v="2"/>
    <x v="4"/>
    <n v="8"/>
    <n v="1.5"/>
    <n v="1.25"/>
    <n v="0.16666666666666663"/>
  </r>
  <r>
    <x v="31"/>
    <x v="2"/>
    <x v="2"/>
    <x v="4"/>
    <n v="8"/>
    <n v="1.5"/>
    <n v="1.25"/>
    <n v="0.16666666666666663"/>
  </r>
  <r>
    <x v="31"/>
    <x v="2"/>
    <x v="2"/>
    <x v="10"/>
    <n v="8"/>
    <n v="2.0499999999999998"/>
    <n v="1.95"/>
    <n v="4.8780487804877981E-2"/>
  </r>
  <r>
    <x v="31"/>
    <x v="2"/>
    <x v="2"/>
    <x v="4"/>
    <n v="16"/>
    <n v="1.5"/>
    <n v="1.25"/>
    <n v="0.16666666666666663"/>
  </r>
  <r>
    <x v="31"/>
    <x v="2"/>
    <x v="2"/>
    <x v="10"/>
    <n v="8"/>
    <n v="2.0499999999999998"/>
    <n v="1.95"/>
    <n v="4.8780487804877981E-2"/>
  </r>
  <r>
    <x v="31"/>
    <x v="2"/>
    <x v="2"/>
    <x v="10"/>
    <n v="8"/>
    <n v="2.0499999999999998"/>
    <n v="1.95"/>
    <n v="4.8780487804877981E-2"/>
  </r>
  <r>
    <x v="31"/>
    <x v="2"/>
    <x v="2"/>
    <x v="4"/>
    <n v="16"/>
    <n v="1.5"/>
    <n v="1.25"/>
    <n v="0.16666666666666663"/>
  </r>
  <r>
    <x v="32"/>
    <x v="3"/>
    <x v="1"/>
    <x v="0"/>
    <n v="8"/>
    <n v="1.3"/>
    <n v="1.25"/>
    <n v="3.8461538461538547E-2"/>
  </r>
  <r>
    <x v="32"/>
    <x v="3"/>
    <x v="1"/>
    <x v="0"/>
    <n v="8"/>
    <n v="1.3"/>
    <n v="1.25"/>
    <n v="3.8461538461538547E-2"/>
  </r>
  <r>
    <x v="32"/>
    <x v="3"/>
    <x v="1"/>
    <x v="0"/>
    <n v="8"/>
    <n v="1.3"/>
    <n v="1.1379999999999999"/>
    <n v="0.12461538461538468"/>
  </r>
  <r>
    <x v="32"/>
    <x v="3"/>
    <x v="1"/>
    <x v="0"/>
    <n v="8"/>
    <n v="1.3"/>
    <n v="1.1379999999999999"/>
    <n v="0.12461538461538468"/>
  </r>
  <r>
    <x v="32"/>
    <x v="3"/>
    <x v="1"/>
    <x v="0"/>
    <n v="8"/>
    <n v="1.3"/>
    <n v="1.25"/>
    <n v="3.8461538461538547E-2"/>
  </r>
  <r>
    <x v="32"/>
    <x v="3"/>
    <x v="1"/>
    <x v="0"/>
    <n v="8"/>
    <n v="1.3"/>
    <n v="1.25"/>
    <n v="3.8461538461538547E-2"/>
  </r>
  <r>
    <x v="32"/>
    <x v="3"/>
    <x v="1"/>
    <x v="0"/>
    <n v="8"/>
    <n v="1.3"/>
    <n v="1.25"/>
    <n v="3.8461538461538547E-2"/>
  </r>
  <r>
    <x v="32"/>
    <x v="3"/>
    <x v="1"/>
    <x v="0"/>
    <n v="8"/>
    <n v="1.3"/>
    <n v="1.25"/>
    <n v="3.8461538461538547E-2"/>
  </r>
  <r>
    <x v="32"/>
    <x v="3"/>
    <x v="1"/>
    <x v="0"/>
    <n v="8"/>
    <n v="1.3"/>
    <n v="1.25"/>
    <n v="3.8461538461538547E-2"/>
  </r>
  <r>
    <x v="32"/>
    <x v="3"/>
    <x v="1"/>
    <x v="0"/>
    <n v="8"/>
    <n v="1.3"/>
    <n v="1.25"/>
    <n v="3.8461538461538547E-2"/>
  </r>
  <r>
    <x v="32"/>
    <x v="3"/>
    <x v="1"/>
    <x v="0"/>
    <n v="8"/>
    <n v="1.3"/>
    <n v="1.25"/>
    <n v="3.8461538461538547E-2"/>
  </r>
  <r>
    <x v="32"/>
    <x v="3"/>
    <x v="1"/>
    <x v="0"/>
    <n v="8"/>
    <n v="1.3"/>
    <n v="1.25"/>
    <n v="3.8461538461538547E-2"/>
  </r>
  <r>
    <x v="32"/>
    <x v="3"/>
    <x v="1"/>
    <x v="0"/>
    <n v="8"/>
    <n v="1.3"/>
    <n v="1.25"/>
    <n v="3.8461538461538547E-2"/>
  </r>
  <r>
    <x v="32"/>
    <x v="3"/>
    <x v="1"/>
    <x v="0"/>
    <n v="8"/>
    <n v="1.3"/>
    <n v="1.25"/>
    <n v="3.8461538461538547E-2"/>
  </r>
  <r>
    <x v="32"/>
    <x v="3"/>
    <x v="1"/>
    <x v="0"/>
    <n v="8"/>
    <n v="1.3"/>
    <n v="1.25"/>
    <n v="3.8461538461538547E-2"/>
  </r>
  <r>
    <x v="32"/>
    <x v="3"/>
    <x v="1"/>
    <x v="0"/>
    <n v="8"/>
    <n v="1.3"/>
    <n v="1.25"/>
    <n v="3.8461538461538547E-2"/>
  </r>
  <r>
    <x v="32"/>
    <x v="3"/>
    <x v="1"/>
    <x v="0"/>
    <n v="8"/>
    <n v="1.3"/>
    <n v="1.1379999999999999"/>
    <n v="0.12461538461538468"/>
  </r>
  <r>
    <x v="32"/>
    <x v="3"/>
    <x v="1"/>
    <x v="0"/>
    <n v="8"/>
    <n v="1.3"/>
    <n v="1.1379999999999999"/>
    <n v="0.12461538461538468"/>
  </r>
  <r>
    <x v="32"/>
    <x v="13"/>
    <x v="7"/>
    <x v="10"/>
    <n v="80"/>
    <n v="1.3"/>
    <n v="1.2"/>
    <n v="7.6923076923076983E-2"/>
  </r>
  <r>
    <x v="32"/>
    <x v="3"/>
    <x v="1"/>
    <x v="1"/>
    <n v="8"/>
    <n v="0.45"/>
    <n v="0.39400000000000002"/>
    <n v="0.12444444444444447"/>
  </r>
  <r>
    <x v="32"/>
    <x v="3"/>
    <x v="1"/>
    <x v="0"/>
    <n v="8"/>
    <n v="1.3"/>
    <n v="1.25"/>
    <n v="3.8461538461538547E-2"/>
  </r>
  <r>
    <x v="32"/>
    <x v="3"/>
    <x v="1"/>
    <x v="0"/>
    <n v="8"/>
    <n v="1.3"/>
    <n v="1.25"/>
    <n v="3.8461538461538547E-2"/>
  </r>
  <r>
    <x v="32"/>
    <x v="3"/>
    <x v="1"/>
    <x v="0"/>
    <n v="8"/>
    <n v="1.3"/>
    <n v="1.25"/>
    <n v="3.8461538461538547E-2"/>
  </r>
  <r>
    <x v="32"/>
    <x v="3"/>
    <x v="1"/>
    <x v="0"/>
    <n v="8"/>
    <n v="1.3"/>
    <n v="1.25"/>
    <n v="3.8461538461538547E-2"/>
  </r>
  <r>
    <x v="33"/>
    <x v="2"/>
    <x v="2"/>
    <x v="10"/>
    <n v="160"/>
    <n v="2.1"/>
    <n v="1.8"/>
    <n v="0.1428571428571429"/>
  </r>
  <r>
    <x v="33"/>
    <x v="2"/>
    <x v="2"/>
    <x v="4"/>
    <n v="11"/>
    <n v="1.65"/>
    <n v="1.4"/>
    <n v="0.15151515151515149"/>
  </r>
  <r>
    <x v="33"/>
    <x v="2"/>
    <x v="2"/>
    <x v="10"/>
    <n v="160"/>
    <n v="2.1"/>
    <n v="1.8"/>
    <n v="0.1428571428571429"/>
  </r>
  <r>
    <x v="33"/>
    <x v="2"/>
    <x v="2"/>
    <x v="4"/>
    <n v="11"/>
    <n v="1.65"/>
    <n v="1.4"/>
    <n v="0.15151515151515149"/>
  </r>
  <r>
    <x v="33"/>
    <x v="9"/>
    <x v="1"/>
    <x v="4"/>
    <n v="11"/>
    <n v="1.65"/>
    <n v="1.4"/>
    <n v="0.15151515151515149"/>
  </r>
  <r>
    <x v="33"/>
    <x v="2"/>
    <x v="2"/>
    <x v="10"/>
    <n v="160"/>
    <n v="2.1"/>
    <n v="1.8"/>
    <n v="0.1428571428571429"/>
  </r>
  <r>
    <x v="33"/>
    <x v="14"/>
    <x v="1"/>
    <x v="10"/>
    <n v="81"/>
    <n v="2.1"/>
    <n v="1.8"/>
    <n v="0.1428571428571429"/>
  </r>
  <r>
    <x v="33"/>
    <x v="3"/>
    <x v="1"/>
    <x v="0"/>
    <n v="8"/>
    <n v="1.3"/>
    <n v="1.25"/>
    <n v="3.8461538461538547E-2"/>
  </r>
  <r>
    <x v="33"/>
    <x v="2"/>
    <x v="2"/>
    <x v="10"/>
    <n v="79"/>
    <n v="2.1"/>
    <n v="1.8"/>
    <n v="0.1428571428571429"/>
  </r>
  <r>
    <x v="33"/>
    <x v="2"/>
    <x v="2"/>
    <x v="4"/>
    <n v="11"/>
    <n v="1.65"/>
    <n v="1.4"/>
    <n v="0.15151515151515149"/>
  </r>
  <r>
    <x v="33"/>
    <x v="0"/>
    <x v="0"/>
    <x v="14"/>
    <n v="16"/>
    <n v="1.18"/>
    <n v="1.02"/>
    <n v="0.13559322033898302"/>
  </r>
  <r>
    <x v="34"/>
    <x v="0"/>
    <x v="0"/>
    <x v="8"/>
    <m/>
    <n v="2.8"/>
    <n v="2.6"/>
    <n v="7.1428571428571286E-2"/>
  </r>
  <r>
    <x v="34"/>
    <x v="0"/>
    <x v="0"/>
    <x v="10"/>
    <n v="104"/>
    <n v="1.8"/>
    <n v="1.6"/>
    <n v="0.11111111111111105"/>
  </r>
  <r>
    <x v="35"/>
    <x v="4"/>
    <x v="3"/>
    <x v="10"/>
    <n v="8"/>
    <n v="2.46"/>
    <n v="2.4"/>
    <n v="2.4390243902439046E-2"/>
  </r>
  <r>
    <x v="36"/>
    <x v="2"/>
    <x v="2"/>
    <x v="8"/>
    <n v="8"/>
    <n v="3.5"/>
    <n v="3.4"/>
    <n v="2.8571428571428581E-2"/>
  </r>
  <r>
    <x v="36"/>
    <x v="0"/>
    <x v="0"/>
    <x v="8"/>
    <n v="16"/>
    <n v="2.65"/>
    <n v="2.5"/>
    <n v="5.6603773584905648E-2"/>
  </r>
  <r>
    <x v="36"/>
    <x v="0"/>
    <x v="0"/>
    <x v="8"/>
    <n v="8"/>
    <n v="2.8"/>
    <n v="2.65"/>
    <n v="5.3571428571428492E-2"/>
  </r>
  <r>
    <x v="36"/>
    <x v="15"/>
    <x v="7"/>
    <x v="8"/>
    <n v="40"/>
    <n v="2.75"/>
    <n v="2.6"/>
    <n v="5.4545454545454564E-2"/>
  </r>
  <r>
    <x v="37"/>
    <x v="3"/>
    <x v="1"/>
    <x v="8"/>
    <n v="8"/>
    <n v="2.95"/>
    <n v="2.75"/>
    <n v="6.7796610169491567E-2"/>
  </r>
  <r>
    <x v="38"/>
    <x v="3"/>
    <x v="1"/>
    <x v="3"/>
    <n v="8"/>
    <n v="2.8"/>
    <n v="2.4500000000000002"/>
    <n v="0.12499999999999989"/>
  </r>
  <r>
    <x v="39"/>
    <x v="6"/>
    <x v="5"/>
    <x v="10"/>
    <n v="8"/>
    <n v="2.25"/>
    <n v="2.0499999999999998"/>
    <n v="8.8888888888889017E-2"/>
  </r>
  <r>
    <x v="40"/>
    <x v="3"/>
    <x v="1"/>
    <x v="11"/>
    <n v="8"/>
    <n v="0.12"/>
    <n v="0.105"/>
    <n v="0.125"/>
  </r>
  <r>
    <x v="41"/>
    <x v="13"/>
    <x v="7"/>
    <x v="5"/>
    <n v="8"/>
    <n v="0.48"/>
    <n v="0.45"/>
    <n v="6.2499999999999889E-2"/>
  </r>
  <r>
    <x v="41"/>
    <x v="3"/>
    <x v="1"/>
    <x v="1"/>
    <n v="8"/>
    <n v="0.55000000000000004"/>
    <n v="0.48"/>
    <n v="0.12727272727272743"/>
  </r>
  <r>
    <x v="42"/>
    <x v="2"/>
    <x v="2"/>
    <x v="8"/>
    <n v="10"/>
    <n v="3.2"/>
    <n v="3.1"/>
    <n v="3.125E-2"/>
  </r>
  <r>
    <x v="42"/>
    <x v="3"/>
    <x v="1"/>
    <x v="8"/>
    <n v="152"/>
    <n v="3.2"/>
    <n v="3.1"/>
    <n v="3.125E-2"/>
  </r>
  <r>
    <x v="42"/>
    <x v="3"/>
    <x v="1"/>
    <x v="8"/>
    <n v="152"/>
    <n v="3.2"/>
    <n v="3.1"/>
    <n v="3.125E-2"/>
  </r>
  <r>
    <x v="42"/>
    <x v="3"/>
    <x v="1"/>
    <x v="8"/>
    <n v="80"/>
    <n v="3.2"/>
    <n v="3.1"/>
    <n v="3.125E-2"/>
  </r>
  <r>
    <x v="42"/>
    <x v="0"/>
    <x v="0"/>
    <x v="8"/>
    <n v="24"/>
    <n v="2.8"/>
    <n v="2.6"/>
    <n v="7.1428571428571286E-2"/>
  </r>
  <r>
    <x v="42"/>
    <x v="6"/>
    <x v="5"/>
    <x v="8"/>
    <n v="24"/>
    <n v="3.5"/>
    <n v="3.4"/>
    <n v="2.8571428571428581E-2"/>
  </r>
  <r>
    <x v="42"/>
    <x v="0"/>
    <x v="0"/>
    <x v="8"/>
    <n v="24"/>
    <n v="2.8"/>
    <n v="2.6"/>
    <n v="7.1428571428571286E-2"/>
  </r>
  <r>
    <x v="42"/>
    <x v="3"/>
    <x v="1"/>
    <x v="8"/>
    <n v="80"/>
    <n v="3.2"/>
    <n v="3.1"/>
    <n v="3.125E-2"/>
  </r>
  <r>
    <x v="42"/>
    <x v="6"/>
    <x v="5"/>
    <x v="13"/>
    <n v="3"/>
    <n v="500"/>
    <n v="450"/>
    <n v="9.9999999999999978E-2"/>
  </r>
  <r>
    <x v="42"/>
    <x v="16"/>
    <x v="1"/>
    <x v="17"/>
    <n v="2"/>
    <n v="2"/>
    <n v="1.8"/>
    <n v="9.9999999999999978E-2"/>
  </r>
  <r>
    <x v="43"/>
    <x v="0"/>
    <x v="0"/>
    <x v="4"/>
    <n v="512"/>
    <n v="1.3"/>
    <n v="1.25"/>
    <n v="3.8461538461538547E-2"/>
  </r>
  <r>
    <x v="44"/>
    <x v="6"/>
    <x v="5"/>
    <x v="10"/>
    <n v="8"/>
    <n v="2.25"/>
    <n v="2.0499999999999998"/>
    <n v="8.8888888888889017E-2"/>
  </r>
  <r>
    <x v="45"/>
    <x v="13"/>
    <x v="7"/>
    <x v="10"/>
    <n v="8"/>
    <n v="1.58"/>
    <n v="1.4"/>
    <n v="0.11392405063291144"/>
  </r>
  <r>
    <x v="45"/>
    <x v="17"/>
    <x v="9"/>
    <x v="10"/>
    <n v="8"/>
    <n v="1.95"/>
    <n v="1.7"/>
    <n v="0.12820512820512819"/>
  </r>
  <r>
    <x v="45"/>
    <x v="17"/>
    <x v="9"/>
    <x v="10"/>
    <n v="8"/>
    <n v="1.95"/>
    <n v="1.7"/>
    <n v="0.12820512820512819"/>
  </r>
  <r>
    <x v="45"/>
    <x v="13"/>
    <x v="7"/>
    <x v="10"/>
    <n v="8"/>
    <n v="1.58"/>
    <n v="1.4"/>
    <n v="0.11392405063291144"/>
  </r>
  <r>
    <x v="45"/>
    <x v="17"/>
    <x v="9"/>
    <x v="10"/>
    <n v="8"/>
    <n v="1.95"/>
    <n v="1.7"/>
    <n v="0.12820512820512819"/>
  </r>
  <r>
    <x v="46"/>
    <x v="2"/>
    <x v="2"/>
    <x v="10"/>
    <n v="16"/>
    <n v="1.8"/>
    <n v="1.6"/>
    <n v="0.11111111111111105"/>
  </r>
  <r>
    <x v="46"/>
    <x v="2"/>
    <x v="2"/>
    <x v="10"/>
    <n v="16"/>
    <n v="1.8"/>
    <n v="1.6"/>
    <n v="0.11111111111111105"/>
  </r>
  <r>
    <x v="47"/>
    <x v="3"/>
    <x v="1"/>
    <x v="0"/>
    <n v="8"/>
    <n v="1.2"/>
    <n v="1.05"/>
    <n v="0.12499999999999989"/>
  </r>
  <r>
    <x v="47"/>
    <x v="3"/>
    <x v="1"/>
    <x v="1"/>
    <n v="8"/>
    <n v="0.57999999999999996"/>
    <n v="0.50800000000000001"/>
    <n v="0.12413793103448267"/>
  </r>
  <r>
    <x v="47"/>
    <x v="13"/>
    <x v="7"/>
    <x v="8"/>
    <n v="16"/>
    <n v="2.8"/>
    <n v="2.6"/>
    <n v="7.1428571428571286E-2"/>
  </r>
  <r>
    <x v="48"/>
    <x v="13"/>
    <x v="7"/>
    <x v="8"/>
    <n v="24"/>
    <n v="2.8"/>
    <n v="2.6"/>
    <n v="7.1428571428571286E-2"/>
  </r>
  <r>
    <x v="49"/>
    <x v="13"/>
    <x v="7"/>
    <x v="3"/>
    <n v="8"/>
    <n v="2.8"/>
    <n v="2.4500000000000002"/>
    <n v="0.12499999999999989"/>
  </r>
  <r>
    <x v="49"/>
    <x v="13"/>
    <x v="7"/>
    <x v="8"/>
    <n v="8"/>
    <n v="2.65"/>
    <n v="2.5"/>
    <n v="5.6603773584905648E-2"/>
  </r>
  <r>
    <x v="50"/>
    <x v="8"/>
    <x v="1"/>
    <x v="8"/>
    <n v="8"/>
    <n v="2.95"/>
    <n v="2.75"/>
    <n v="6.7796610169491567E-2"/>
  </r>
  <r>
    <x v="50"/>
    <x v="3"/>
    <x v="1"/>
    <x v="8"/>
    <n v="8"/>
    <n v="2.95"/>
    <n v="2.75"/>
    <n v="6.7796610169491567E-2"/>
  </r>
  <r>
    <x v="50"/>
    <x v="3"/>
    <x v="1"/>
    <x v="8"/>
    <n v="8"/>
    <n v="2.95"/>
    <n v="2.75"/>
    <n v="6.7796610169491567E-2"/>
  </r>
  <r>
    <x v="50"/>
    <x v="3"/>
    <x v="1"/>
    <x v="8"/>
    <n v="8"/>
    <n v="2.95"/>
    <n v="2.75"/>
    <n v="6.7796610169491567E-2"/>
  </r>
  <r>
    <x v="50"/>
    <x v="8"/>
    <x v="1"/>
    <x v="8"/>
    <n v="8"/>
    <n v="2.95"/>
    <n v="2.75"/>
    <n v="6.7796610169491567E-2"/>
  </r>
  <r>
    <x v="50"/>
    <x v="3"/>
    <x v="1"/>
    <x v="8"/>
    <n v="8"/>
    <n v="2.95"/>
    <n v="2.75"/>
    <n v="6.7796610169491567E-2"/>
  </r>
  <r>
    <x v="50"/>
    <x v="3"/>
    <x v="1"/>
    <x v="8"/>
    <n v="8"/>
    <n v="2.95"/>
    <n v="2.75"/>
    <n v="6.7796610169491567E-2"/>
  </r>
  <r>
    <x v="50"/>
    <x v="18"/>
    <x v="7"/>
    <x v="8"/>
    <n v="8"/>
    <n v="2.65"/>
    <n v="2.5"/>
    <n v="5.6603773584905648E-2"/>
  </r>
  <r>
    <x v="50"/>
    <x v="18"/>
    <x v="7"/>
    <x v="8"/>
    <n v="8"/>
    <n v="2.65"/>
    <n v="2.5"/>
    <n v="5.6603773584905648E-2"/>
  </r>
  <r>
    <x v="50"/>
    <x v="3"/>
    <x v="1"/>
    <x v="0"/>
    <n v="8"/>
    <n v="1.2"/>
    <n v="1.05"/>
    <n v="0.12499999999999989"/>
  </r>
  <r>
    <x v="50"/>
    <x v="3"/>
    <x v="1"/>
    <x v="8"/>
    <n v="8"/>
    <n v="2.95"/>
    <n v="2.75"/>
    <n v="6.7796610169491567E-2"/>
  </r>
  <r>
    <x v="50"/>
    <x v="3"/>
    <x v="1"/>
    <x v="0"/>
    <n v="8"/>
    <n v="1.2"/>
    <n v="1.05"/>
    <n v="0.12499999999999989"/>
  </r>
  <r>
    <x v="50"/>
    <x v="13"/>
    <x v="7"/>
    <x v="8"/>
    <n v="24"/>
    <n v="2.65"/>
    <n v="2.4500000000000002"/>
    <n v="7.5471698113207419E-2"/>
  </r>
  <r>
    <x v="50"/>
    <x v="18"/>
    <x v="7"/>
    <x v="8"/>
    <n v="24"/>
    <n v="2.65"/>
    <n v="2.5"/>
    <n v="5.6603773584905648E-2"/>
  </r>
  <r>
    <x v="50"/>
    <x v="3"/>
    <x v="1"/>
    <x v="8"/>
    <n v="8"/>
    <n v="2.95"/>
    <n v="2.75"/>
    <n v="6.7796610169491567E-2"/>
  </r>
  <r>
    <x v="51"/>
    <x v="18"/>
    <x v="7"/>
    <x v="8"/>
    <n v="8"/>
    <n v="2.8"/>
    <n v="2.4500000000000002"/>
    <n v="0.12499999999999989"/>
  </r>
  <r>
    <x v="51"/>
    <x v="3"/>
    <x v="1"/>
    <x v="8"/>
    <n v="8"/>
    <n v="2.8"/>
    <n v="2.4500000000000002"/>
    <n v="0.12499999999999989"/>
  </r>
  <r>
    <x v="51"/>
    <x v="3"/>
    <x v="1"/>
    <x v="0"/>
    <n v="8"/>
    <n v="1.2"/>
    <n v="1.05"/>
    <n v="0.12499999999999989"/>
  </r>
  <r>
    <x v="51"/>
    <x v="3"/>
    <x v="1"/>
    <x v="8"/>
    <n v="8"/>
    <n v="2.8"/>
    <n v="2.4500000000000002"/>
    <n v="0.12499999999999989"/>
  </r>
  <r>
    <x v="51"/>
    <x v="18"/>
    <x v="7"/>
    <x v="8"/>
    <n v="8"/>
    <n v="2.8"/>
    <n v="2.4500000000000002"/>
    <n v="0.12499999999999989"/>
  </r>
  <r>
    <x v="51"/>
    <x v="3"/>
    <x v="1"/>
    <x v="0"/>
    <n v="8"/>
    <n v="1.2"/>
    <n v="1.05"/>
    <n v="0.12499999999999989"/>
  </r>
  <r>
    <x v="51"/>
    <x v="18"/>
    <x v="7"/>
    <x v="8"/>
    <n v="8"/>
    <n v="2.8"/>
    <n v="2.4500000000000002"/>
    <n v="0.12499999999999989"/>
  </r>
  <r>
    <x v="51"/>
    <x v="18"/>
    <x v="7"/>
    <x v="8"/>
    <n v="8"/>
    <n v="2.8"/>
    <n v="2.4500000000000002"/>
    <n v="0.12499999999999989"/>
  </r>
  <r>
    <x v="52"/>
    <x v="3"/>
    <x v="1"/>
    <x v="16"/>
    <n v="8"/>
    <n v="0.43"/>
    <n v="0.372"/>
    <n v="0.1348837209302326"/>
  </r>
  <r>
    <x v="52"/>
    <x v="2"/>
    <x v="2"/>
    <x v="15"/>
    <n v="8"/>
    <n v="0.36"/>
    <n v="0.32"/>
    <n v="0.11111111111111105"/>
  </r>
  <r>
    <x v="52"/>
    <x v="3"/>
    <x v="1"/>
    <x v="16"/>
    <n v="8"/>
    <n v="0.43"/>
    <n v="0.372"/>
    <n v="0.1348837209302326"/>
  </r>
  <r>
    <x v="53"/>
    <x v="6"/>
    <x v="5"/>
    <x v="5"/>
    <n v="128"/>
    <n v="0.5"/>
    <n v="0.43"/>
    <n v="0.14000000000000001"/>
  </r>
  <r>
    <x v="53"/>
    <x v="6"/>
    <x v="5"/>
    <x v="13"/>
    <n v="3"/>
    <n v="0.69"/>
    <n v="0.63"/>
    <n v="8.6956521739130377E-2"/>
  </r>
  <r>
    <x v="53"/>
    <x v="18"/>
    <x v="7"/>
    <x v="10"/>
    <n v="64"/>
    <n v="1.46"/>
    <n v="1.25"/>
    <n v="0.14383561643835618"/>
  </r>
  <r>
    <x v="53"/>
    <x v="18"/>
    <x v="7"/>
    <x v="10"/>
    <n v="64"/>
    <n v="1.46"/>
    <n v="1.25"/>
    <n v="0.14383561643835618"/>
  </r>
  <r>
    <x v="53"/>
    <x v="6"/>
    <x v="5"/>
    <x v="8"/>
    <n v="120"/>
    <n v="3.5"/>
    <n v="3.4"/>
    <n v="2.8571428571428581E-2"/>
  </r>
  <r>
    <x v="53"/>
    <x v="6"/>
    <x v="5"/>
    <x v="5"/>
    <n v="128"/>
    <n v="0.5"/>
    <n v="0.43"/>
    <n v="0.14000000000000001"/>
  </r>
  <r>
    <x v="53"/>
    <x v="18"/>
    <x v="7"/>
    <x v="10"/>
    <n v="64"/>
    <n v="1.46"/>
    <n v="1.25"/>
    <n v="0.14383561643835618"/>
  </r>
  <r>
    <x v="53"/>
    <x v="18"/>
    <x v="7"/>
    <x v="10"/>
    <n v="64"/>
    <n v="1.46"/>
    <n v="1.25"/>
    <n v="0.14383561643835618"/>
  </r>
  <r>
    <x v="53"/>
    <x v="18"/>
    <x v="7"/>
    <x v="10"/>
    <n v="64"/>
    <n v="1.46"/>
    <n v="1.25"/>
    <n v="0.14383561643835618"/>
  </r>
  <r>
    <x v="53"/>
    <x v="3"/>
    <x v="1"/>
    <x v="16"/>
    <n v="8"/>
    <n v="0.43"/>
    <n v="0.372"/>
    <n v="0.1348837209302326"/>
  </r>
  <r>
    <x v="53"/>
    <x v="18"/>
    <x v="7"/>
    <x v="10"/>
    <n v="64"/>
    <n v="1.46"/>
    <n v="1.25"/>
    <n v="0.14383561643835618"/>
  </r>
  <r>
    <x v="53"/>
    <x v="0"/>
    <x v="0"/>
    <x v="10"/>
    <n v="8"/>
    <n v="3.15"/>
    <n v="2.7"/>
    <n v="0.14285714285714279"/>
  </r>
  <r>
    <x v="53"/>
    <x v="2"/>
    <x v="2"/>
    <x v="5"/>
    <n v="128"/>
    <n v="0.5"/>
    <n v="0.43"/>
    <n v="0.14000000000000001"/>
  </r>
  <r>
    <x v="53"/>
    <x v="3"/>
    <x v="1"/>
    <x v="16"/>
    <n v="8"/>
    <n v="0.43"/>
    <n v="0.372"/>
    <n v="0.1348837209302326"/>
  </r>
  <r>
    <x v="53"/>
    <x v="3"/>
    <x v="1"/>
    <x v="2"/>
    <m/>
    <n v="0.41"/>
    <n v="0.36"/>
    <n v="0.12195121951219512"/>
  </r>
  <r>
    <x v="53"/>
    <x v="6"/>
    <x v="5"/>
    <x v="8"/>
    <n v="40"/>
    <n v="3.5"/>
    <n v="3.4"/>
    <n v="2.8571428571428581E-2"/>
  </r>
  <r>
    <x v="53"/>
    <x v="6"/>
    <x v="5"/>
    <x v="13"/>
    <n v="3"/>
    <n v="500"/>
    <n v="450"/>
    <n v="9.9999999999999978E-2"/>
  </r>
  <r>
    <x v="54"/>
    <x v="6"/>
    <x v="5"/>
    <x v="8"/>
    <n v="120"/>
    <n v="3.5"/>
    <n v="3.4"/>
    <n v="2.8571428571428581E-2"/>
  </r>
  <r>
    <x v="54"/>
    <x v="2"/>
    <x v="2"/>
    <x v="8"/>
    <n v="40"/>
    <n v="2.75"/>
    <n v="2.6"/>
    <n v="5.4545454545454564E-2"/>
  </r>
  <r>
    <x v="54"/>
    <x v="2"/>
    <x v="2"/>
    <x v="8"/>
    <n v="40"/>
    <n v="2.75"/>
    <n v="2.6"/>
    <n v="5.4545454545454564E-2"/>
  </r>
  <r>
    <x v="54"/>
    <x v="2"/>
    <x v="2"/>
    <x v="8"/>
    <n v="40"/>
    <n v="2.75"/>
    <n v="2.6"/>
    <n v="5.4545454545454564E-2"/>
  </r>
  <r>
    <x v="54"/>
    <x v="6"/>
    <x v="5"/>
    <x v="8"/>
    <n v="120"/>
    <n v="3.5"/>
    <n v="3.4"/>
    <n v="2.8571428571428581E-2"/>
  </r>
  <r>
    <x v="54"/>
    <x v="2"/>
    <x v="2"/>
    <x v="8"/>
    <n v="40"/>
    <n v="2.75"/>
    <n v="2.6"/>
    <n v="5.4545454545454564E-2"/>
  </r>
  <r>
    <x v="54"/>
    <x v="2"/>
    <x v="2"/>
    <x v="8"/>
    <n v="40"/>
    <n v="2.75"/>
    <n v="2.6"/>
    <n v="5.4545454545454564E-2"/>
  </r>
  <r>
    <x v="55"/>
    <x v="3"/>
    <x v="1"/>
    <x v="16"/>
    <n v="8"/>
    <n v="0.43"/>
    <n v="0.372"/>
    <n v="0.1348837209302326"/>
  </r>
  <r>
    <x v="55"/>
    <x v="3"/>
    <x v="1"/>
    <x v="16"/>
    <n v="8"/>
    <n v="0.43"/>
    <n v="0.372"/>
    <n v="0.1348837209302326"/>
  </r>
  <r>
    <x v="55"/>
    <x v="3"/>
    <x v="1"/>
    <x v="0"/>
    <n v="8"/>
    <n v="1.2"/>
    <n v="1.05"/>
    <n v="0.12499999999999989"/>
  </r>
  <r>
    <x v="55"/>
    <x v="7"/>
    <x v="6"/>
    <x v="10"/>
    <n v="8"/>
    <n v="2"/>
    <n v="1.85"/>
    <n v="7.4999999999999956E-2"/>
  </r>
  <r>
    <x v="56"/>
    <x v="6"/>
    <x v="5"/>
    <x v="8"/>
    <n v="8"/>
    <n v="3.3"/>
    <n v="3.15"/>
    <n v="4.5454545454545414E-2"/>
  </r>
  <r>
    <x v="56"/>
    <x v="2"/>
    <x v="2"/>
    <x v="18"/>
    <n v="8"/>
    <n v="0.25"/>
    <n v="0.22"/>
    <n v="0.12"/>
  </r>
  <r>
    <x v="56"/>
    <x v="6"/>
    <x v="5"/>
    <x v="8"/>
    <n v="8"/>
    <n v="3.3"/>
    <n v="3.15"/>
    <n v="4.5454545454545414E-2"/>
  </r>
  <r>
    <x v="56"/>
    <x v="13"/>
    <x v="7"/>
    <x v="8"/>
    <n v="8"/>
    <n v="2.8"/>
    <n v="2.65"/>
    <n v="5.3571428571428492E-2"/>
  </r>
  <r>
    <x v="56"/>
    <x v="2"/>
    <x v="2"/>
    <x v="18"/>
    <n v="8"/>
    <n v="0.25"/>
    <n v="0.22"/>
    <n v="0.12"/>
  </r>
  <r>
    <x v="56"/>
    <x v="13"/>
    <x v="7"/>
    <x v="8"/>
    <n v="8"/>
    <n v="2.8"/>
    <n v="2.65"/>
    <n v="5.3571428571428492E-2"/>
  </r>
  <r>
    <x v="56"/>
    <x v="13"/>
    <x v="7"/>
    <x v="8"/>
    <n v="8"/>
    <n v="2.8"/>
    <n v="2.65"/>
    <n v="5.3571428571428492E-2"/>
  </r>
  <r>
    <x v="56"/>
    <x v="2"/>
    <x v="2"/>
    <x v="18"/>
    <n v="8"/>
    <n v="0.25"/>
    <n v="0.22"/>
    <n v="0.12"/>
  </r>
  <r>
    <x v="56"/>
    <x v="13"/>
    <x v="7"/>
    <x v="8"/>
    <n v="8"/>
    <n v="2.8"/>
    <n v="2.65"/>
    <n v="5.3571428571428492E-2"/>
  </r>
  <r>
    <x v="56"/>
    <x v="6"/>
    <x v="5"/>
    <x v="8"/>
    <n v="8"/>
    <n v="3.3"/>
    <n v="3.15"/>
    <n v="4.5454545454545414E-2"/>
  </r>
  <r>
    <x v="57"/>
    <x v="2"/>
    <x v="2"/>
    <x v="8"/>
    <n v="8"/>
    <n v="3.5"/>
    <n v="3.4"/>
    <n v="2.8571428571428581E-2"/>
  </r>
  <r>
    <x v="57"/>
    <x v="9"/>
    <x v="1"/>
    <x v="19"/>
    <n v="8"/>
    <n v="1.3"/>
    <n v="1.06"/>
    <n v="0.18461538461538463"/>
  </r>
  <r>
    <x v="57"/>
    <x v="9"/>
    <x v="1"/>
    <x v="19"/>
    <n v="8"/>
    <n v="1.3"/>
    <n v="1.06"/>
    <n v="0.18461538461538463"/>
  </r>
  <r>
    <x v="57"/>
    <x v="9"/>
    <x v="1"/>
    <x v="19"/>
    <n v="8"/>
    <n v="1.3"/>
    <n v="1.06"/>
    <n v="0.18461538461538463"/>
  </r>
  <r>
    <x v="57"/>
    <x v="2"/>
    <x v="2"/>
    <x v="8"/>
    <n v="8"/>
    <n v="3.5"/>
    <n v="3.4"/>
    <n v="2.8571428571428581E-2"/>
  </r>
  <r>
    <x v="57"/>
    <x v="9"/>
    <x v="1"/>
    <x v="19"/>
    <n v="8"/>
    <n v="1.3"/>
    <n v="1.06"/>
    <n v="0.18461538461538463"/>
  </r>
  <r>
    <x v="57"/>
    <x v="2"/>
    <x v="2"/>
    <x v="8"/>
    <n v="8"/>
    <n v="3.5"/>
    <n v="3.4"/>
    <n v="2.8571428571428581E-2"/>
  </r>
  <r>
    <x v="58"/>
    <x v="13"/>
    <x v="7"/>
    <x v="8"/>
    <n v="8"/>
    <n v="2.8"/>
    <n v="2.65"/>
    <n v="5.3571428571428492E-2"/>
  </r>
  <r>
    <x v="59"/>
    <x v="3"/>
    <x v="1"/>
    <x v="11"/>
    <n v="8"/>
    <n v="0.34"/>
    <n v="0.29799999999999999"/>
    <n v="0.123529411764706"/>
  </r>
  <r>
    <x v="59"/>
    <x v="3"/>
    <x v="1"/>
    <x v="11"/>
    <n v="8"/>
    <n v="0.34"/>
    <n v="0.29799999999999999"/>
    <n v="0.123529411764706"/>
  </r>
  <r>
    <x v="59"/>
    <x v="13"/>
    <x v="7"/>
    <x v="10"/>
    <n v="80"/>
    <n v="1.35"/>
    <n v="1.2"/>
    <n v="0.11111111111111116"/>
  </r>
  <r>
    <x v="60"/>
    <x v="12"/>
    <x v="1"/>
    <x v="5"/>
    <n v="32"/>
    <n v="0.8"/>
    <n v="0.68"/>
    <n v="0.15000000000000002"/>
  </r>
  <r>
    <x v="60"/>
    <x v="12"/>
    <x v="1"/>
    <x v="5"/>
    <n v="32"/>
    <n v="0.8"/>
    <n v="0.68"/>
    <n v="0.15000000000000002"/>
  </r>
  <r>
    <x v="61"/>
    <x v="0"/>
    <x v="0"/>
    <x v="1"/>
    <n v="8"/>
    <n v="0.3"/>
    <n v="0.28499999999999998"/>
    <n v="5.0000000000000044E-2"/>
  </r>
  <r>
    <x v="62"/>
    <x v="12"/>
    <x v="1"/>
    <x v="5"/>
    <n v="8"/>
    <n v="0.73"/>
    <n v="0.62"/>
    <n v="0.15068493150684925"/>
  </r>
  <r>
    <x v="62"/>
    <x v="12"/>
    <x v="1"/>
    <x v="5"/>
    <n v="8"/>
    <n v="0.73"/>
    <n v="0.62"/>
    <n v="0.15068493150684925"/>
  </r>
  <r>
    <x v="62"/>
    <x v="13"/>
    <x v="7"/>
    <x v="8"/>
    <n v="8"/>
    <n v="3.15"/>
    <n v="3.05"/>
    <n v="3.1746031746031744E-2"/>
  </r>
  <r>
    <x v="62"/>
    <x v="13"/>
    <x v="7"/>
    <x v="8"/>
    <n v="8"/>
    <n v="3.15"/>
    <n v="3.05"/>
    <n v="3.1746031746031744E-2"/>
  </r>
  <r>
    <x v="62"/>
    <x v="12"/>
    <x v="1"/>
    <x v="5"/>
    <n v="8"/>
    <n v="0.73"/>
    <n v="0.62"/>
    <n v="0.15068493150684925"/>
  </r>
  <r>
    <x v="62"/>
    <x v="13"/>
    <x v="7"/>
    <x v="8"/>
    <n v="8"/>
    <n v="3.15"/>
    <n v="3.05"/>
    <n v="3.1746031746031744E-2"/>
  </r>
  <r>
    <x v="62"/>
    <x v="13"/>
    <x v="7"/>
    <x v="8"/>
    <n v="8"/>
    <n v="3.15"/>
    <n v="2.85"/>
    <n v="9.5238095238095233E-2"/>
  </r>
  <r>
    <x v="62"/>
    <x v="13"/>
    <x v="7"/>
    <x v="8"/>
    <n v="8"/>
    <n v="3.15"/>
    <n v="2.85"/>
    <n v="9.5238095238095233E-2"/>
  </r>
  <r>
    <x v="62"/>
    <x v="13"/>
    <x v="7"/>
    <x v="8"/>
    <n v="8"/>
    <n v="3.15"/>
    <n v="2.85"/>
    <n v="9.5238095238095233E-2"/>
  </r>
  <r>
    <x v="62"/>
    <x v="0"/>
    <x v="0"/>
    <x v="1"/>
    <n v="8"/>
    <n v="0.3"/>
    <n v="0.28499999999999998"/>
    <n v="5.0000000000000044E-2"/>
  </r>
  <r>
    <x v="62"/>
    <x v="13"/>
    <x v="7"/>
    <x v="8"/>
    <n v="8"/>
    <n v="3.15"/>
    <n v="2.85"/>
    <n v="9.5238095238095233E-2"/>
  </r>
  <r>
    <x v="62"/>
    <x v="2"/>
    <x v="2"/>
    <x v="8"/>
    <n v="8"/>
    <n v="3.5"/>
    <n v="3.28"/>
    <n v="6.2857142857142945E-2"/>
  </r>
  <r>
    <x v="62"/>
    <x v="12"/>
    <x v="1"/>
    <x v="5"/>
    <n v="8"/>
    <n v="0.73"/>
    <n v="0.62"/>
    <n v="0.15068493150684925"/>
  </r>
  <r>
    <x v="63"/>
    <x v="3"/>
    <x v="1"/>
    <x v="1"/>
    <n v="8"/>
    <n v="0.25"/>
    <n v="0.219"/>
    <n v="0.124"/>
  </r>
  <r>
    <x v="63"/>
    <x v="3"/>
    <x v="1"/>
    <x v="1"/>
    <n v="8"/>
    <n v="0.25"/>
    <n v="0.219"/>
    <n v="0.124"/>
  </r>
  <r>
    <x v="63"/>
    <x v="3"/>
    <x v="1"/>
    <x v="1"/>
    <n v="8"/>
    <n v="0.25"/>
    <n v="0.219"/>
    <n v="0.124"/>
  </r>
  <r>
    <x v="63"/>
    <x v="3"/>
    <x v="1"/>
    <x v="1"/>
    <n v="8"/>
    <n v="0.25"/>
    <n v="0.219"/>
    <n v="0.124"/>
  </r>
  <r>
    <x v="64"/>
    <x v="13"/>
    <x v="7"/>
    <x v="10"/>
    <n v="32"/>
    <n v="1.3"/>
    <n v="1.2"/>
    <n v="7.6923076923076983E-2"/>
  </r>
  <r>
    <x v="64"/>
    <x v="13"/>
    <x v="7"/>
    <x v="10"/>
    <n v="32"/>
    <n v="1.3"/>
    <n v="1.2"/>
    <n v="7.6923076923076983E-2"/>
  </r>
  <r>
    <x v="64"/>
    <x v="13"/>
    <x v="7"/>
    <x v="10"/>
    <n v="32"/>
    <n v="1.3"/>
    <n v="1.2"/>
    <n v="7.6923076923076983E-2"/>
  </r>
  <r>
    <x v="64"/>
    <x v="13"/>
    <x v="7"/>
    <x v="10"/>
    <n v="80"/>
    <n v="1.3"/>
    <n v="1.2"/>
    <n v="7.6923076923076983E-2"/>
  </r>
  <r>
    <x v="64"/>
    <x v="13"/>
    <x v="7"/>
    <x v="10"/>
    <n v="80"/>
    <n v="1.3"/>
    <n v="1.2"/>
    <n v="7.6923076923076983E-2"/>
  </r>
  <r>
    <x v="64"/>
    <x v="13"/>
    <x v="7"/>
    <x v="10"/>
    <n v="80"/>
    <n v="1.3"/>
    <n v="1.2"/>
    <n v="7.6923076923076983E-2"/>
  </r>
  <r>
    <x v="64"/>
    <x v="13"/>
    <x v="7"/>
    <x v="10"/>
    <n v="80"/>
    <n v="1.3"/>
    <n v="1.2"/>
    <n v="7.6923076923076983E-2"/>
  </r>
  <r>
    <x v="64"/>
    <x v="13"/>
    <x v="7"/>
    <x v="10"/>
    <n v="80"/>
    <n v="1.3"/>
    <n v="1.2"/>
    <n v="7.6923076923076983E-2"/>
  </r>
  <r>
    <x v="64"/>
    <x v="13"/>
    <x v="7"/>
    <x v="8"/>
    <n v="16"/>
    <n v="3.1"/>
    <n v="2.85"/>
    <n v="8.064516129032262E-2"/>
  </r>
  <r>
    <x v="64"/>
    <x v="13"/>
    <x v="7"/>
    <x v="10"/>
    <n v="80"/>
    <n v="1.35"/>
    <n v="1.2"/>
    <n v="0.11111111111111116"/>
  </r>
  <r>
    <x v="64"/>
    <x v="0"/>
    <x v="0"/>
    <x v="8"/>
    <n v="8"/>
    <n v="3.4"/>
    <n v="3.3"/>
    <n v="2.9411764705882359E-2"/>
  </r>
  <r>
    <x v="65"/>
    <x v="13"/>
    <x v="7"/>
    <x v="10"/>
    <n v="80"/>
    <n v="1.35"/>
    <n v="1.2"/>
    <n v="0.11111111111111116"/>
  </r>
  <r>
    <x v="66"/>
    <x v="12"/>
    <x v="1"/>
    <x v="20"/>
    <n v="144"/>
    <n v="0.85"/>
    <n v="0.75"/>
    <n v="0.11764705882352944"/>
  </r>
  <r>
    <x v="67"/>
    <x v="3"/>
    <x v="1"/>
    <x v="11"/>
    <n v="8"/>
    <n v="0.12"/>
    <n v="0.105"/>
    <n v="0.125"/>
  </r>
  <r>
    <x v="67"/>
    <x v="3"/>
    <x v="1"/>
    <x v="11"/>
    <n v="8"/>
    <n v="0.12"/>
    <n v="0.105"/>
    <n v="0.125"/>
  </r>
  <r>
    <x v="67"/>
    <x v="3"/>
    <x v="1"/>
    <x v="11"/>
    <n v="8"/>
    <n v="0.12"/>
    <n v="0.105"/>
    <n v="0.125"/>
  </r>
  <r>
    <x v="67"/>
    <x v="6"/>
    <x v="5"/>
    <x v="13"/>
    <n v="3"/>
    <n v="1500"/>
    <n v="1350"/>
    <n v="9.9999999999999978E-2"/>
  </r>
  <r>
    <x v="68"/>
    <x v="2"/>
    <x v="2"/>
    <x v="14"/>
    <n v="8"/>
    <n v="1.1299999999999999"/>
    <n v="1.03"/>
    <n v="8.8495575221238854E-2"/>
  </r>
  <r>
    <x v="69"/>
    <x v="18"/>
    <x v="7"/>
    <x v="10"/>
    <n v="112"/>
    <n v="1.8"/>
    <n v="1.6"/>
    <n v="0.11111111111111105"/>
  </r>
  <r>
    <x v="69"/>
    <x v="18"/>
    <x v="7"/>
    <x v="10"/>
    <n v="112"/>
    <n v="1.8"/>
    <n v="1.6"/>
    <n v="0.11111111111111105"/>
  </r>
  <r>
    <x v="69"/>
    <x v="18"/>
    <x v="7"/>
    <x v="10"/>
    <n v="112"/>
    <n v="1.8"/>
    <n v="1.6"/>
    <n v="0.11111111111111105"/>
  </r>
  <r>
    <x v="69"/>
    <x v="18"/>
    <x v="7"/>
    <x v="10"/>
    <n v="112"/>
    <n v="1.8"/>
    <n v="1.6"/>
    <n v="0.11111111111111105"/>
  </r>
  <r>
    <x v="69"/>
    <x v="18"/>
    <x v="7"/>
    <x v="10"/>
    <n v="112"/>
    <n v="1.8"/>
    <n v="1.6"/>
    <n v="0.11111111111111105"/>
  </r>
  <r>
    <x v="69"/>
    <x v="18"/>
    <x v="7"/>
    <x v="10"/>
    <n v="112"/>
    <n v="1.8"/>
    <n v="1.6"/>
    <n v="0.11111111111111105"/>
  </r>
  <r>
    <x v="69"/>
    <x v="18"/>
    <x v="7"/>
    <x v="10"/>
    <n v="104"/>
    <n v="1.8"/>
    <n v="1.6"/>
    <n v="0.11111111111111105"/>
  </r>
  <r>
    <x v="69"/>
    <x v="18"/>
    <x v="7"/>
    <x v="10"/>
    <n v="104"/>
    <n v="1.8"/>
    <n v="1.6"/>
    <n v="0.11111111111111105"/>
  </r>
  <r>
    <x v="69"/>
    <x v="18"/>
    <x v="7"/>
    <x v="10"/>
    <n v="104"/>
    <n v="1.8"/>
    <n v="1.6"/>
    <n v="0.11111111111111105"/>
  </r>
  <r>
    <x v="69"/>
    <x v="18"/>
    <x v="7"/>
    <x v="10"/>
    <n v="104"/>
    <n v="1.8"/>
    <n v="1.6"/>
    <n v="0.11111111111111105"/>
  </r>
  <r>
    <x v="69"/>
    <x v="18"/>
    <x v="7"/>
    <x v="10"/>
    <n v="104"/>
    <n v="1.8"/>
    <n v="1.6"/>
    <n v="0.11111111111111105"/>
  </r>
  <r>
    <x v="69"/>
    <x v="18"/>
    <x v="7"/>
    <x v="10"/>
    <n v="104"/>
    <n v="1.8"/>
    <n v="1.6"/>
    <n v="0.11111111111111105"/>
  </r>
  <r>
    <x v="69"/>
    <x v="18"/>
    <x v="7"/>
    <x v="10"/>
    <n v="104"/>
    <n v="1.6"/>
    <n v="1.45"/>
    <n v="9.3750000000000111E-2"/>
  </r>
  <r>
    <x v="69"/>
    <x v="18"/>
    <x v="7"/>
    <x v="10"/>
    <n v="160"/>
    <n v="1.45"/>
    <n v="1.3"/>
    <n v="0.10344827586206895"/>
  </r>
  <r>
    <x v="69"/>
    <x v="18"/>
    <x v="7"/>
    <x v="10"/>
    <n v="160"/>
    <n v="1.45"/>
    <n v="1.3"/>
    <n v="0.10344827586206895"/>
  </r>
  <r>
    <x v="69"/>
    <x v="12"/>
    <x v="1"/>
    <x v="8"/>
    <n v="120"/>
    <n v="3.5"/>
    <n v="3.4"/>
    <n v="2.8571428571428581E-2"/>
  </r>
  <r>
    <x v="69"/>
    <x v="3"/>
    <x v="1"/>
    <x v="1"/>
    <n v="5"/>
    <n v="0.65"/>
    <n v="0.56899999999999995"/>
    <n v="0.12461538461538468"/>
  </r>
  <r>
    <x v="69"/>
    <x v="18"/>
    <x v="7"/>
    <x v="10"/>
    <n v="160"/>
    <n v="1.45"/>
    <n v="1.3"/>
    <n v="0.10344827586206895"/>
  </r>
  <r>
    <x v="70"/>
    <x v="2"/>
    <x v="2"/>
    <x v="17"/>
    <n v="2"/>
    <n v="2"/>
    <n v="1.8"/>
    <n v="9.9999999999999978E-2"/>
  </r>
  <r>
    <x v="71"/>
    <x v="3"/>
    <x v="1"/>
    <x v="1"/>
    <n v="8"/>
    <n v="0.45"/>
    <n v="0.39400000000000002"/>
    <n v="0.12444444444444447"/>
  </r>
  <r>
    <x v="71"/>
    <x v="3"/>
    <x v="1"/>
    <x v="1"/>
    <n v="8"/>
    <n v="0.45"/>
    <n v="0.39400000000000002"/>
    <n v="0.12444444444444447"/>
  </r>
  <r>
    <x v="71"/>
    <x v="3"/>
    <x v="1"/>
    <x v="1"/>
    <n v="8"/>
    <n v="0.45"/>
    <n v="0.39400000000000002"/>
    <n v="0.12444444444444447"/>
  </r>
  <r>
    <x v="71"/>
    <x v="3"/>
    <x v="1"/>
    <x v="1"/>
    <n v="8"/>
    <n v="0.4"/>
    <n v="0.35"/>
    <n v="0.12500000000000011"/>
  </r>
  <r>
    <x v="71"/>
    <x v="3"/>
    <x v="1"/>
    <x v="1"/>
    <n v="8"/>
    <n v="0.45"/>
    <n v="0.39400000000000002"/>
    <n v="0.12444444444444447"/>
  </r>
  <r>
    <x v="71"/>
    <x v="3"/>
    <x v="1"/>
    <x v="1"/>
    <n v="8"/>
    <n v="0.45"/>
    <n v="0.39400000000000002"/>
    <n v="0.12444444444444447"/>
  </r>
  <r>
    <x v="71"/>
    <x v="3"/>
    <x v="1"/>
    <x v="1"/>
    <n v="8"/>
    <n v="0.4"/>
    <n v="0.35"/>
    <n v="0.12500000000000011"/>
  </r>
  <r>
    <x v="71"/>
    <x v="3"/>
    <x v="1"/>
    <x v="1"/>
    <n v="8"/>
    <n v="0.45"/>
    <n v="0.39400000000000002"/>
    <n v="0.12444444444444447"/>
  </r>
  <r>
    <x v="71"/>
    <x v="3"/>
    <x v="1"/>
    <x v="1"/>
    <n v="8"/>
    <n v="0.4"/>
    <n v="0.35"/>
    <n v="0.12500000000000011"/>
  </r>
  <r>
    <x v="71"/>
    <x v="3"/>
    <x v="1"/>
    <x v="1"/>
    <n v="8"/>
    <n v="0.45"/>
    <n v="0.39400000000000002"/>
    <n v="0.12444444444444447"/>
  </r>
  <r>
    <x v="71"/>
    <x v="3"/>
    <x v="1"/>
    <x v="1"/>
    <n v="8"/>
    <n v="0.4"/>
    <n v="0.35"/>
    <n v="0.12500000000000011"/>
  </r>
  <r>
    <x v="71"/>
    <x v="3"/>
    <x v="1"/>
    <x v="1"/>
    <n v="8"/>
    <n v="0.45"/>
    <n v="0.39400000000000002"/>
    <n v="0.12444444444444447"/>
  </r>
  <r>
    <x v="71"/>
    <x v="3"/>
    <x v="1"/>
    <x v="1"/>
    <n v="8"/>
    <n v="0.4"/>
    <n v="0.35"/>
    <n v="0.12500000000000011"/>
  </r>
  <r>
    <x v="71"/>
    <x v="3"/>
    <x v="1"/>
    <x v="1"/>
    <n v="8"/>
    <n v="0.45"/>
    <n v="0.39400000000000002"/>
    <n v="0.12444444444444447"/>
  </r>
  <r>
    <x v="71"/>
    <x v="3"/>
    <x v="1"/>
    <x v="1"/>
    <n v="8"/>
    <n v="0.4"/>
    <n v="0.35"/>
    <n v="0.12500000000000011"/>
  </r>
  <r>
    <x v="71"/>
    <x v="0"/>
    <x v="0"/>
    <x v="2"/>
    <n v="16"/>
    <n v="3.05"/>
    <n v="2.85"/>
    <n v="6.557377049180324E-2"/>
  </r>
  <r>
    <x v="71"/>
    <x v="9"/>
    <x v="1"/>
    <x v="10"/>
    <n v="56"/>
    <n v="1.85"/>
    <n v="1.7"/>
    <n v="8.1081081081081141E-2"/>
  </r>
  <r>
    <x v="71"/>
    <x v="2"/>
    <x v="2"/>
    <x v="10"/>
    <n v="56"/>
    <n v="1.85"/>
    <n v="1.7"/>
    <n v="8.1081081081081141E-2"/>
  </r>
  <r>
    <x v="71"/>
    <x v="3"/>
    <x v="1"/>
    <x v="1"/>
    <n v="8"/>
    <n v="0.45"/>
    <n v="0.39400000000000002"/>
    <n v="0.12444444444444447"/>
  </r>
  <r>
    <x v="71"/>
    <x v="3"/>
    <x v="1"/>
    <x v="1"/>
    <n v="8"/>
    <n v="0.4"/>
    <n v="0.35"/>
    <n v="0.12500000000000011"/>
  </r>
  <r>
    <x v="72"/>
    <x v="2"/>
    <x v="2"/>
    <x v="18"/>
    <n v="8"/>
    <n v="0.25"/>
    <n v="0.22"/>
    <n v="0.12"/>
  </r>
  <r>
    <x v="72"/>
    <x v="2"/>
    <x v="2"/>
    <x v="8"/>
    <n v="8"/>
    <n v="3.5"/>
    <n v="3.28"/>
    <n v="6.2857142857142945E-2"/>
  </r>
  <r>
    <x v="72"/>
    <x v="1"/>
    <x v="1"/>
    <x v="18"/>
    <n v="8"/>
    <n v="0.25"/>
    <n v="0.22"/>
    <n v="0.12"/>
  </r>
  <r>
    <x v="72"/>
    <x v="6"/>
    <x v="5"/>
    <x v="5"/>
    <n v="80"/>
    <n v="0.51"/>
    <n v="0.46"/>
    <n v="9.8039215686274495E-2"/>
  </r>
  <r>
    <x v="73"/>
    <x v="6"/>
    <x v="5"/>
    <x v="14"/>
    <n v="8"/>
    <n v="1.06"/>
    <n v="0.93"/>
    <n v="0.12264150943396224"/>
  </r>
  <r>
    <x v="73"/>
    <x v="6"/>
    <x v="5"/>
    <x v="14"/>
    <n v="8"/>
    <n v="1.06"/>
    <n v="0.93"/>
    <n v="0.12264150943396224"/>
  </r>
  <r>
    <x v="73"/>
    <x v="6"/>
    <x v="5"/>
    <x v="14"/>
    <n v="8"/>
    <n v="1.06"/>
    <n v="0.93"/>
    <n v="0.12264150943396224"/>
  </r>
  <r>
    <x v="73"/>
    <x v="6"/>
    <x v="5"/>
    <x v="14"/>
    <n v="8"/>
    <n v="1.06"/>
    <n v="0.93"/>
    <n v="0.12264150943396224"/>
  </r>
  <r>
    <x v="73"/>
    <x v="6"/>
    <x v="5"/>
    <x v="14"/>
    <n v="8"/>
    <n v="1.06"/>
    <n v="0.93"/>
    <n v="0.12264150943396224"/>
  </r>
  <r>
    <x v="74"/>
    <x v="3"/>
    <x v="1"/>
    <x v="3"/>
    <n v="8"/>
    <n v="5"/>
    <n v="4.375"/>
    <n v="0.125"/>
  </r>
  <r>
    <x v="74"/>
    <x v="3"/>
    <x v="1"/>
    <x v="3"/>
    <n v="8"/>
    <n v="5"/>
    <n v="4.375"/>
    <n v="0.125"/>
  </r>
  <r>
    <x v="75"/>
    <x v="4"/>
    <x v="3"/>
    <x v="5"/>
    <n v="80"/>
    <n v="0.5"/>
    <n v="0.4"/>
    <n v="0.19999999999999996"/>
  </r>
  <r>
    <x v="75"/>
    <x v="19"/>
    <x v="7"/>
    <x v="10"/>
    <n v="128"/>
    <n v="1.9"/>
    <n v="1.75"/>
    <n v="7.8947368421052544E-2"/>
  </r>
  <r>
    <x v="76"/>
    <x v="2"/>
    <x v="2"/>
    <x v="10"/>
    <n v="8"/>
    <n v="1.75"/>
    <n v="1.5"/>
    <n v="0.1428571428571429"/>
  </r>
  <r>
    <x v="76"/>
    <x v="2"/>
    <x v="2"/>
    <x v="10"/>
    <n v="8"/>
    <n v="1.75"/>
    <n v="1.5"/>
    <n v="0.1428571428571429"/>
  </r>
  <r>
    <x v="76"/>
    <x v="2"/>
    <x v="2"/>
    <x v="10"/>
    <n v="8"/>
    <n v="1.75"/>
    <n v="1.5"/>
    <n v="0.1428571428571429"/>
  </r>
  <r>
    <x v="76"/>
    <x v="2"/>
    <x v="2"/>
    <x v="10"/>
    <n v="8"/>
    <n v="1.75"/>
    <n v="1.5"/>
    <n v="0.1428571428571429"/>
  </r>
  <r>
    <x v="76"/>
    <x v="2"/>
    <x v="2"/>
    <x v="10"/>
    <n v="8"/>
    <n v="1.75"/>
    <n v="1.5"/>
    <n v="0.1428571428571429"/>
  </r>
  <r>
    <x v="77"/>
    <x v="13"/>
    <x v="7"/>
    <x v="10"/>
    <n v="160"/>
    <n v="1.2"/>
    <n v="1.1000000000000001"/>
    <n v="8.3333333333333259E-2"/>
  </r>
  <r>
    <x v="77"/>
    <x v="13"/>
    <x v="7"/>
    <x v="10"/>
    <n v="136"/>
    <n v="1.2"/>
    <n v="1.1000000000000001"/>
    <n v="8.3333333333333259E-2"/>
  </r>
  <r>
    <x v="77"/>
    <x v="13"/>
    <x v="7"/>
    <x v="10"/>
    <n v="128"/>
    <n v="1.2"/>
    <n v="1.1000000000000001"/>
    <n v="8.3333333333333259E-2"/>
  </r>
  <r>
    <x v="77"/>
    <x v="13"/>
    <x v="7"/>
    <x v="10"/>
    <n v="128"/>
    <n v="1.2"/>
    <n v="1.1000000000000001"/>
    <n v="8.3333333333333259E-2"/>
  </r>
  <r>
    <x v="77"/>
    <x v="13"/>
    <x v="7"/>
    <x v="10"/>
    <n v="128"/>
    <n v="1.2"/>
    <n v="1.1000000000000001"/>
    <n v="8.3333333333333259E-2"/>
  </r>
  <r>
    <x v="78"/>
    <x v="6"/>
    <x v="5"/>
    <x v="10"/>
    <n v="32"/>
    <n v="1.72"/>
    <n v="1.62"/>
    <n v="5.8139534883720811E-2"/>
  </r>
  <r>
    <x v="78"/>
    <x v="6"/>
    <x v="5"/>
    <x v="10"/>
    <n v="32"/>
    <n v="1.72"/>
    <n v="1.62"/>
    <n v="5.8139534883720811E-2"/>
  </r>
  <r>
    <x v="78"/>
    <x v="0"/>
    <x v="0"/>
    <x v="14"/>
    <n v="8"/>
    <n v="1.06"/>
    <n v="0.93"/>
    <n v="0.12264150943396224"/>
  </r>
  <r>
    <x v="78"/>
    <x v="0"/>
    <x v="0"/>
    <x v="8"/>
    <n v="8"/>
    <n v="4.1500000000000004"/>
    <n v="3.75"/>
    <n v="9.6385542168674787E-2"/>
  </r>
  <r>
    <x v="78"/>
    <x v="0"/>
    <x v="0"/>
    <x v="10"/>
    <n v="104"/>
    <n v="1.25"/>
    <n v="1.2"/>
    <n v="4.0000000000000036E-2"/>
  </r>
  <r>
    <x v="78"/>
    <x v="0"/>
    <x v="0"/>
    <x v="14"/>
    <n v="8"/>
    <n v="1.08"/>
    <n v="0.93"/>
    <n v="0.13888888888888895"/>
  </r>
  <r>
    <x v="78"/>
    <x v="7"/>
    <x v="6"/>
    <x v="21"/>
    <n v="8"/>
    <n v="0.38"/>
    <n v="0.38"/>
    <n v="0"/>
  </r>
  <r>
    <x v="78"/>
    <x v="6"/>
    <x v="5"/>
    <x v="10"/>
    <n v="32"/>
    <n v="1.72"/>
    <n v="1.62"/>
    <n v="5.8139534883720811E-2"/>
  </r>
  <r>
    <x v="78"/>
    <x v="2"/>
    <x v="2"/>
    <x v="5"/>
    <n v="8"/>
    <n v="0.7"/>
    <n v="0.6"/>
    <n v="0.14285714285714279"/>
  </r>
  <r>
    <x v="79"/>
    <x v="3"/>
    <x v="1"/>
    <x v="1"/>
    <n v="8"/>
    <n v="0.45"/>
    <n v="0.39400000000000002"/>
    <n v="0.12444444444444447"/>
  </r>
  <r>
    <x v="79"/>
    <x v="3"/>
    <x v="1"/>
    <x v="1"/>
    <n v="8"/>
    <n v="0.5"/>
    <n v="0.438"/>
    <n v="0.124"/>
  </r>
  <r>
    <x v="80"/>
    <x v="7"/>
    <x v="6"/>
    <x v="10"/>
    <n v="16"/>
    <n v="1.65"/>
    <n v="1.45"/>
    <n v="0.12121212121212122"/>
  </r>
  <r>
    <x v="80"/>
    <x v="3"/>
    <x v="1"/>
    <x v="9"/>
    <n v="8"/>
    <n v="0.55000000000000004"/>
    <n v="0.48099999999999998"/>
    <n v="0.1254545454545456"/>
  </r>
  <r>
    <x v="80"/>
    <x v="3"/>
    <x v="1"/>
    <x v="9"/>
    <n v="8"/>
    <n v="0.55000000000000004"/>
    <n v="0.48099999999999998"/>
    <n v="0.1254545454545456"/>
  </r>
  <r>
    <x v="80"/>
    <x v="3"/>
    <x v="1"/>
    <x v="9"/>
    <n v="8"/>
    <n v="0.55000000000000004"/>
    <n v="0.48099999999999998"/>
    <n v="0.1254545454545456"/>
  </r>
  <r>
    <x v="80"/>
    <x v="3"/>
    <x v="1"/>
    <x v="9"/>
    <n v="8"/>
    <n v="0.55000000000000004"/>
    <n v="0.48099999999999998"/>
    <n v="0.1254545454545456"/>
  </r>
  <r>
    <x v="80"/>
    <x v="3"/>
    <x v="1"/>
    <x v="9"/>
    <n v="8"/>
    <n v="0.55000000000000004"/>
    <n v="0.48099999999999998"/>
    <n v="0.1254545454545456"/>
  </r>
  <r>
    <x v="80"/>
    <x v="3"/>
    <x v="1"/>
    <x v="9"/>
    <n v="8"/>
    <n v="0.55000000000000004"/>
    <n v="0.48099999999999998"/>
    <n v="0.1254545454545456"/>
  </r>
  <r>
    <x v="80"/>
    <x v="3"/>
    <x v="1"/>
    <x v="9"/>
    <n v="8"/>
    <n v="0.55000000000000004"/>
    <n v="0.48099999999999998"/>
    <n v="0.1254545454545456"/>
  </r>
  <r>
    <x v="80"/>
    <x v="20"/>
    <x v="1"/>
    <x v="8"/>
    <n v="16"/>
    <n v="1"/>
    <n v="0.95"/>
    <n v="5.0000000000000044E-2"/>
  </r>
  <r>
    <x v="80"/>
    <x v="7"/>
    <x v="6"/>
    <x v="10"/>
    <n v="16"/>
    <n v="1.65"/>
    <n v="1.45"/>
    <n v="0.12121212121212122"/>
  </r>
  <r>
    <x v="80"/>
    <x v="3"/>
    <x v="1"/>
    <x v="1"/>
    <n v="8"/>
    <n v="0.55000000000000004"/>
    <n v="0.48099999999999998"/>
    <n v="0.1254545454545456"/>
  </r>
  <r>
    <x v="80"/>
    <x v="3"/>
    <x v="1"/>
    <x v="1"/>
    <n v="8"/>
    <n v="0.45"/>
    <n v="0.39400000000000002"/>
    <n v="0.12444444444444447"/>
  </r>
  <r>
    <x v="80"/>
    <x v="3"/>
    <x v="1"/>
    <x v="1"/>
    <n v="8"/>
    <n v="0.5"/>
    <n v="0.438"/>
    <n v="0.124"/>
  </r>
  <r>
    <x v="80"/>
    <x v="3"/>
    <x v="1"/>
    <x v="9"/>
    <n v="8"/>
    <n v="0.55000000000000004"/>
    <n v="0.48099999999999998"/>
    <n v="0.1254545454545456"/>
  </r>
  <r>
    <x v="81"/>
    <x v="3"/>
    <x v="1"/>
    <x v="10"/>
    <n v="16"/>
    <n v="1.25"/>
    <n v="1.2"/>
    <n v="4.0000000000000036E-2"/>
  </r>
  <r>
    <x v="82"/>
    <x v="13"/>
    <x v="7"/>
    <x v="2"/>
    <n v="128"/>
    <n v="1.2"/>
    <n v="1.1000000000000001"/>
    <n v="8.3333333333333259E-2"/>
  </r>
  <r>
    <x v="83"/>
    <x v="3"/>
    <x v="1"/>
    <x v="1"/>
    <n v="8"/>
    <n v="0.55000000000000004"/>
    <n v="0.48"/>
    <n v="0.12727272727272743"/>
  </r>
  <r>
    <x v="83"/>
    <x v="3"/>
    <x v="1"/>
    <x v="1"/>
    <n v="8"/>
    <n v="0.55000000000000004"/>
    <n v="0.48"/>
    <n v="0.12727272727272743"/>
  </r>
  <r>
    <x v="83"/>
    <x v="3"/>
    <x v="1"/>
    <x v="1"/>
    <n v="8"/>
    <n v="0.55000000000000004"/>
    <n v="0.48"/>
    <n v="0.12727272727272743"/>
  </r>
  <r>
    <x v="83"/>
    <x v="3"/>
    <x v="1"/>
    <x v="1"/>
    <n v="8"/>
    <n v="0.55000000000000004"/>
    <n v="0.48"/>
    <n v="0.12727272727272743"/>
  </r>
  <r>
    <x v="83"/>
    <x v="3"/>
    <x v="1"/>
    <x v="1"/>
    <n v="8"/>
    <n v="0.5"/>
    <n v="0.438"/>
    <n v="0.124"/>
  </r>
  <r>
    <x v="83"/>
    <x v="3"/>
    <x v="1"/>
    <x v="1"/>
    <n v="8"/>
    <n v="0.5"/>
    <n v="0.438"/>
    <n v="0.124"/>
  </r>
  <r>
    <x v="83"/>
    <x v="3"/>
    <x v="1"/>
    <x v="1"/>
    <n v="8"/>
    <n v="0.55000000000000004"/>
    <n v="0.48"/>
    <n v="0.12727272727272743"/>
  </r>
  <r>
    <x v="83"/>
    <x v="3"/>
    <x v="1"/>
    <x v="1"/>
    <n v="8"/>
    <n v="0.5"/>
    <n v="0.438"/>
    <n v="0.124"/>
  </r>
  <r>
    <x v="83"/>
    <x v="3"/>
    <x v="1"/>
    <x v="1"/>
    <n v="8"/>
    <n v="0.55000000000000004"/>
    <n v="0.48"/>
    <n v="0.12727272727272743"/>
  </r>
  <r>
    <x v="84"/>
    <x v="3"/>
    <x v="1"/>
    <x v="9"/>
    <n v="8"/>
    <n v="0.78"/>
    <n v="0.68300000000000005"/>
    <n v="0.12435897435897436"/>
  </r>
  <r>
    <x v="84"/>
    <x v="3"/>
    <x v="1"/>
    <x v="9"/>
    <n v="8"/>
    <n v="0.78"/>
    <n v="0.68300000000000005"/>
    <n v="0.12435897435897436"/>
  </r>
  <r>
    <x v="85"/>
    <x v="0"/>
    <x v="0"/>
    <x v="10"/>
    <n v="8"/>
    <n v="2.15"/>
    <n v="1.9"/>
    <n v="0.11627906976744184"/>
  </r>
  <r>
    <x v="86"/>
    <x v="9"/>
    <x v="1"/>
    <x v="8"/>
    <n v="24"/>
    <n v="2.85"/>
    <n v="2.65"/>
    <n v="7.0175438596491335E-2"/>
  </r>
  <r>
    <x v="86"/>
    <x v="9"/>
    <x v="1"/>
    <x v="8"/>
    <n v="8"/>
    <n v="3.05"/>
    <n v="2.85"/>
    <n v="6.557377049180324E-2"/>
  </r>
  <r>
    <x v="86"/>
    <x v="9"/>
    <x v="1"/>
    <x v="8"/>
    <n v="8"/>
    <n v="3.05"/>
    <n v="2.85"/>
    <n v="6.557377049180324E-2"/>
  </r>
  <r>
    <x v="86"/>
    <x v="9"/>
    <x v="1"/>
    <x v="8"/>
    <n v="8"/>
    <n v="3.05"/>
    <n v="2.85"/>
    <n v="6.557377049180324E-2"/>
  </r>
  <r>
    <x v="86"/>
    <x v="9"/>
    <x v="1"/>
    <x v="8"/>
    <n v="8"/>
    <n v="3.05"/>
    <n v="2.85"/>
    <n v="6.557377049180324E-2"/>
  </r>
  <r>
    <x v="86"/>
    <x v="9"/>
    <x v="1"/>
    <x v="8"/>
    <n v="8"/>
    <n v="3.05"/>
    <n v="2.85"/>
    <n v="6.557377049180324E-2"/>
  </r>
  <r>
    <x v="86"/>
    <x v="9"/>
    <x v="1"/>
    <x v="8"/>
    <n v="16"/>
    <n v="3.05"/>
    <n v="2.85"/>
    <n v="6.557377049180324E-2"/>
  </r>
  <r>
    <x v="86"/>
    <x v="9"/>
    <x v="1"/>
    <x v="8"/>
    <n v="16"/>
    <n v="3.05"/>
    <n v="2.85"/>
    <n v="6.557377049180324E-2"/>
  </r>
  <r>
    <x v="86"/>
    <x v="9"/>
    <x v="1"/>
    <x v="8"/>
    <n v="16"/>
    <n v="4.1500000000000004"/>
    <n v="3.75"/>
    <n v="9.6385542168674787E-2"/>
  </r>
  <r>
    <x v="86"/>
    <x v="9"/>
    <x v="1"/>
    <x v="8"/>
    <n v="8"/>
    <n v="4.1500000000000004"/>
    <n v="3.75"/>
    <n v="9.6385542168674787E-2"/>
  </r>
  <r>
    <x v="86"/>
    <x v="3"/>
    <x v="1"/>
    <x v="1"/>
    <n v="8"/>
    <n v="0.3"/>
    <n v="0.26300000000000001"/>
    <n v="0.12333333333333329"/>
  </r>
  <r>
    <x v="86"/>
    <x v="9"/>
    <x v="1"/>
    <x v="8"/>
    <n v="8"/>
    <n v="4.1500000000000004"/>
    <n v="3.75"/>
    <n v="9.6385542168674787E-2"/>
  </r>
  <r>
    <x v="87"/>
    <x v="3"/>
    <x v="1"/>
    <x v="11"/>
    <n v="1"/>
    <n v="0.24"/>
    <n v="0.21"/>
    <n v="0.125"/>
  </r>
  <r>
    <x v="87"/>
    <x v="9"/>
    <x v="1"/>
    <x v="10"/>
    <n v="224"/>
    <n v="1.75"/>
    <n v="1.6"/>
    <n v="8.5714285714285632E-2"/>
  </r>
  <r>
    <x v="88"/>
    <x v="3"/>
    <x v="1"/>
    <x v="1"/>
    <n v="8"/>
    <n v="0.4"/>
    <n v="0.35"/>
    <n v="0.12500000000000011"/>
  </r>
  <r>
    <x v="88"/>
    <x v="9"/>
    <x v="1"/>
    <x v="3"/>
    <n v="8"/>
    <n v="4.3499999999999996"/>
    <n v="3.85"/>
    <n v="0.11494252873563204"/>
  </r>
  <r>
    <x v="88"/>
    <x v="3"/>
    <x v="1"/>
    <x v="1"/>
    <n v="8"/>
    <n v="0.4"/>
    <n v="0.35"/>
    <n v="0.12500000000000011"/>
  </r>
  <r>
    <x v="88"/>
    <x v="3"/>
    <x v="1"/>
    <x v="1"/>
    <n v="8"/>
    <n v="0.4"/>
    <n v="0.35"/>
    <n v="0.12500000000000011"/>
  </r>
  <r>
    <x v="88"/>
    <x v="9"/>
    <x v="1"/>
    <x v="3"/>
    <n v="8"/>
    <n v="4.3499999999999996"/>
    <n v="3.85"/>
    <n v="0.11494252873563204"/>
  </r>
  <r>
    <x v="89"/>
    <x v="12"/>
    <x v="1"/>
    <x v="22"/>
    <n v="8"/>
    <n v="2"/>
    <n v="1.7"/>
    <n v="0.15000000000000002"/>
  </r>
  <r>
    <x v="89"/>
    <x v="12"/>
    <x v="1"/>
    <x v="22"/>
    <n v="8"/>
    <n v="2"/>
    <n v="1.7"/>
    <n v="0.15000000000000002"/>
  </r>
  <r>
    <x v="89"/>
    <x v="12"/>
    <x v="1"/>
    <x v="22"/>
    <n v="8"/>
    <n v="2"/>
    <n v="1.7"/>
    <n v="0.15000000000000002"/>
  </r>
  <r>
    <x v="89"/>
    <x v="12"/>
    <x v="1"/>
    <x v="22"/>
    <n v="8"/>
    <n v="2"/>
    <n v="1.7"/>
    <n v="0.15000000000000002"/>
  </r>
  <r>
    <x v="89"/>
    <x v="12"/>
    <x v="1"/>
    <x v="22"/>
    <n v="8"/>
    <n v="2"/>
    <n v="1.7"/>
    <n v="0.15000000000000002"/>
  </r>
  <r>
    <x v="89"/>
    <x v="3"/>
    <x v="1"/>
    <x v="22"/>
    <n v="8"/>
    <n v="3.1"/>
    <n v="2.7130000000000001"/>
    <n v="0.12483870967741939"/>
  </r>
  <r>
    <x v="89"/>
    <x v="3"/>
    <x v="1"/>
    <x v="10"/>
    <n v="8"/>
    <n v="3.1"/>
    <n v="2.7130000000000001"/>
    <n v="0.12483870967741939"/>
  </r>
  <r>
    <x v="89"/>
    <x v="3"/>
    <x v="1"/>
    <x v="10"/>
    <n v="8"/>
    <n v="3.1"/>
    <n v="2.7130000000000001"/>
    <n v="0.12483870967741939"/>
  </r>
  <r>
    <x v="89"/>
    <x v="9"/>
    <x v="1"/>
    <x v="8"/>
    <n v="8"/>
    <n v="4.3499999999999996"/>
    <n v="3.85"/>
    <n v="0.11494252873563204"/>
  </r>
  <r>
    <x v="89"/>
    <x v="3"/>
    <x v="1"/>
    <x v="10"/>
    <n v="8"/>
    <n v="3.1"/>
    <n v="2.7130000000000001"/>
    <n v="0.12483870967741939"/>
  </r>
  <r>
    <x v="89"/>
    <x v="9"/>
    <x v="1"/>
    <x v="8"/>
    <n v="8"/>
    <n v="4.3499999999999996"/>
    <n v="3.85"/>
    <n v="0.11494252873563204"/>
  </r>
  <r>
    <x v="89"/>
    <x v="3"/>
    <x v="1"/>
    <x v="1"/>
    <n v="8"/>
    <n v="0.5"/>
    <n v="0.438"/>
    <n v="0.124"/>
  </r>
  <r>
    <x v="90"/>
    <x v="3"/>
    <x v="1"/>
    <x v="11"/>
    <n v="1"/>
    <n v="0.34"/>
    <n v="0.29799999999999999"/>
    <n v="0.123529411764706"/>
  </r>
  <r>
    <x v="90"/>
    <x v="3"/>
    <x v="1"/>
    <x v="11"/>
    <n v="1"/>
    <n v="0.34"/>
    <n v="0.29799999999999999"/>
    <n v="0.123529411764706"/>
  </r>
  <r>
    <x v="90"/>
    <x v="3"/>
    <x v="1"/>
    <x v="11"/>
    <n v="1"/>
    <n v="0.34"/>
    <n v="0.29799999999999999"/>
    <n v="0.123529411764706"/>
  </r>
  <r>
    <x v="90"/>
    <x v="3"/>
    <x v="1"/>
    <x v="11"/>
    <n v="1"/>
    <n v="0.34"/>
    <n v="0.29799999999999999"/>
    <n v="0.123529411764706"/>
  </r>
  <r>
    <x v="90"/>
    <x v="3"/>
    <x v="1"/>
    <x v="11"/>
    <n v="1"/>
    <n v="0.34"/>
    <n v="0.29799999999999999"/>
    <n v="0.123529411764706"/>
  </r>
  <r>
    <x v="90"/>
    <x v="3"/>
    <x v="1"/>
    <x v="11"/>
    <n v="1"/>
    <n v="0.34"/>
    <n v="0.29799999999999999"/>
    <n v="0.123529411764706"/>
  </r>
  <r>
    <x v="90"/>
    <x v="3"/>
    <x v="1"/>
    <x v="11"/>
    <n v="1"/>
    <n v="0.34"/>
    <n v="0.29799999999999999"/>
    <n v="0.123529411764706"/>
  </r>
  <r>
    <x v="90"/>
    <x v="3"/>
    <x v="1"/>
    <x v="11"/>
    <n v="1"/>
    <n v="0.34"/>
    <n v="0.29799999999999999"/>
    <n v="0.123529411764706"/>
  </r>
  <r>
    <x v="90"/>
    <x v="3"/>
    <x v="1"/>
    <x v="11"/>
    <n v="1"/>
    <n v="0.34"/>
    <n v="0.29799999999999999"/>
    <n v="0.123529411764706"/>
  </r>
  <r>
    <x v="90"/>
    <x v="3"/>
    <x v="1"/>
    <x v="11"/>
    <n v="1"/>
    <n v="0.34"/>
    <n v="0.29799999999999999"/>
    <n v="0.123529411764706"/>
  </r>
  <r>
    <x v="90"/>
    <x v="3"/>
    <x v="1"/>
    <x v="11"/>
    <n v="1"/>
    <n v="0.34"/>
    <n v="0.29799999999999999"/>
    <n v="0.123529411764706"/>
  </r>
  <r>
    <x v="90"/>
    <x v="3"/>
    <x v="1"/>
    <x v="11"/>
    <n v="1"/>
    <n v="0.34"/>
    <n v="0.29799999999999999"/>
    <n v="0.123529411764706"/>
  </r>
  <r>
    <x v="90"/>
    <x v="3"/>
    <x v="1"/>
    <x v="11"/>
    <n v="1"/>
    <n v="0.34"/>
    <n v="0.29799999999999999"/>
    <n v="0.123529411764706"/>
  </r>
  <r>
    <x v="90"/>
    <x v="3"/>
    <x v="1"/>
    <x v="11"/>
    <n v="1"/>
    <n v="0.34"/>
    <n v="0.29799999999999999"/>
    <n v="0.123529411764706"/>
  </r>
  <r>
    <x v="90"/>
    <x v="3"/>
    <x v="1"/>
    <x v="11"/>
    <n v="1"/>
    <n v="0.34"/>
    <n v="0.29799999999999999"/>
    <n v="0.123529411764706"/>
  </r>
  <r>
    <x v="90"/>
    <x v="3"/>
    <x v="1"/>
    <x v="11"/>
    <n v="1"/>
    <n v="0.34"/>
    <n v="0.29799999999999999"/>
    <n v="0.123529411764706"/>
  </r>
  <r>
    <x v="90"/>
    <x v="13"/>
    <x v="7"/>
    <x v="8"/>
    <n v="8"/>
    <n v="3.75"/>
    <n v="3.3"/>
    <n v="0.12"/>
  </r>
  <r>
    <x v="91"/>
    <x v="2"/>
    <x v="2"/>
    <x v="4"/>
    <n v="32"/>
    <n v="1.65"/>
    <n v="1.5"/>
    <n v="9.0909090909090828E-2"/>
  </r>
  <r>
    <x v="91"/>
    <x v="2"/>
    <x v="2"/>
    <x v="4"/>
    <n v="32"/>
    <n v="1.65"/>
    <n v="1.25"/>
    <n v="0.24242424242424243"/>
  </r>
  <r>
    <x v="91"/>
    <x v="2"/>
    <x v="2"/>
    <x v="4"/>
    <n v="64"/>
    <n v="1.65"/>
    <n v="1.48"/>
    <n v="0.10303030303030303"/>
  </r>
  <r>
    <x v="91"/>
    <x v="2"/>
    <x v="2"/>
    <x v="23"/>
    <n v="25"/>
    <n v="70"/>
    <n v="40"/>
    <n v="0.4285714285714286"/>
  </r>
  <r>
    <x v="92"/>
    <x v="6"/>
    <x v="5"/>
    <x v="10"/>
    <n v="8"/>
    <n v="2.25"/>
    <n v="2.0499999999999998"/>
    <n v="8.8888888888889017E-2"/>
  </r>
  <r>
    <x v="92"/>
    <x v="6"/>
    <x v="5"/>
    <x v="10"/>
    <n v="16"/>
    <n v="2.25"/>
    <n v="2.0499999999999998"/>
    <n v="8.8888888888889017E-2"/>
  </r>
  <r>
    <x v="92"/>
    <x v="6"/>
    <x v="5"/>
    <x v="10"/>
    <n v="16"/>
    <n v="2.25"/>
    <n v="2.0499999999999998"/>
    <n v="8.8888888888889017E-2"/>
  </r>
  <r>
    <x v="92"/>
    <x v="0"/>
    <x v="0"/>
    <x v="14"/>
    <n v="8"/>
    <n v="1.32"/>
    <n v="1.1399999999999999"/>
    <n v="0.13636363636363646"/>
  </r>
  <r>
    <x v="92"/>
    <x v="6"/>
    <x v="5"/>
    <x v="10"/>
    <n v="16"/>
    <n v="2.25"/>
    <n v="2.0499999999999998"/>
    <n v="8.8888888888889017E-2"/>
  </r>
  <r>
    <x v="93"/>
    <x v="2"/>
    <x v="2"/>
    <x v="13"/>
    <n v="3"/>
    <n v="0.68"/>
    <n v="0.62"/>
    <n v="8.8235294117647078E-2"/>
  </r>
  <r>
    <x v="93"/>
    <x v="2"/>
    <x v="2"/>
    <x v="13"/>
    <n v="3"/>
    <n v="0.68"/>
    <n v="0.61599999999999999"/>
    <n v="9.4117647058823639E-2"/>
  </r>
  <r>
    <x v="93"/>
    <x v="2"/>
    <x v="2"/>
    <x v="13"/>
    <n v="3"/>
    <n v="0.68"/>
    <n v="0.61599999999999999"/>
    <n v="9.4117647058823639E-2"/>
  </r>
  <r>
    <x v="93"/>
    <x v="2"/>
    <x v="2"/>
    <x v="13"/>
    <n v="3"/>
    <n v="0.68"/>
    <n v="0.62"/>
    <n v="8.8235294117647078E-2"/>
  </r>
  <r>
    <x v="93"/>
    <x v="2"/>
    <x v="2"/>
    <x v="13"/>
    <n v="3"/>
    <n v="0.68"/>
    <n v="0.62"/>
    <n v="8.8235294117647078E-2"/>
  </r>
  <r>
    <x v="93"/>
    <x v="2"/>
    <x v="2"/>
    <x v="13"/>
    <n v="3"/>
    <n v="1050"/>
    <n v="900"/>
    <n v="0.1428571428571429"/>
  </r>
  <r>
    <x v="93"/>
    <x v="3"/>
    <x v="1"/>
    <x v="1"/>
    <n v="8"/>
    <n v="0.45"/>
    <n v="0.39400000000000002"/>
    <n v="0.12444444444444447"/>
  </r>
  <r>
    <x v="94"/>
    <x v="2"/>
    <x v="2"/>
    <x v="10"/>
    <n v="8"/>
    <n v="2.35"/>
    <n v="2.2999999999999998"/>
    <n v="2.1276595744680993E-2"/>
  </r>
  <r>
    <x v="94"/>
    <x v="2"/>
    <x v="2"/>
    <x v="10"/>
    <n v="8"/>
    <n v="2.35"/>
    <n v="2.2999999999999998"/>
    <n v="2.1276595744680993E-2"/>
  </r>
  <r>
    <x v="94"/>
    <x v="3"/>
    <x v="1"/>
    <x v="1"/>
    <n v="8"/>
    <n v="0.3"/>
    <n v="0.28499999999999998"/>
    <n v="5.0000000000000044E-2"/>
  </r>
  <r>
    <x v="94"/>
    <x v="3"/>
    <x v="1"/>
    <x v="1"/>
    <n v="8"/>
    <n v="0.3"/>
    <n v="0.28499999999999998"/>
    <n v="5.0000000000000044E-2"/>
  </r>
  <r>
    <x v="94"/>
    <x v="3"/>
    <x v="1"/>
    <x v="1"/>
    <n v="8"/>
    <n v="0.3"/>
    <n v="0.28499999999999998"/>
    <n v="5.0000000000000044E-2"/>
  </r>
  <r>
    <x v="94"/>
    <x v="3"/>
    <x v="1"/>
    <x v="1"/>
    <n v="8"/>
    <n v="0.3"/>
    <n v="0.28499999999999998"/>
    <n v="5.0000000000000044E-2"/>
  </r>
  <r>
    <x v="94"/>
    <x v="3"/>
    <x v="1"/>
    <x v="1"/>
    <n v="8"/>
    <n v="0.3"/>
    <n v="0.28499999999999998"/>
    <n v="5.0000000000000044E-2"/>
  </r>
  <r>
    <x v="94"/>
    <x v="3"/>
    <x v="1"/>
    <x v="1"/>
    <n v="8"/>
    <n v="0.3"/>
    <n v="0.28499999999999998"/>
    <n v="5.0000000000000044E-2"/>
  </r>
  <r>
    <x v="94"/>
    <x v="3"/>
    <x v="1"/>
    <x v="1"/>
    <n v="8"/>
    <n v="0.3"/>
    <n v="0.28499999999999998"/>
    <n v="5.0000000000000044E-2"/>
  </r>
  <r>
    <x v="94"/>
    <x v="3"/>
    <x v="1"/>
    <x v="1"/>
    <n v="8"/>
    <n v="0.3"/>
    <n v="0.28499999999999998"/>
    <n v="5.0000000000000044E-2"/>
  </r>
  <r>
    <x v="94"/>
    <x v="3"/>
    <x v="1"/>
    <x v="1"/>
    <n v="8"/>
    <n v="0.3"/>
    <n v="0.28499999999999998"/>
    <n v="5.0000000000000044E-2"/>
  </r>
  <r>
    <x v="94"/>
    <x v="3"/>
    <x v="1"/>
    <x v="1"/>
    <n v="8"/>
    <n v="0.3"/>
    <n v="0.28499999999999998"/>
    <n v="5.0000000000000044E-2"/>
  </r>
  <r>
    <x v="94"/>
    <x v="3"/>
    <x v="1"/>
    <x v="1"/>
    <n v="8"/>
    <n v="0.3"/>
    <n v="0.28499999999999998"/>
    <n v="5.0000000000000044E-2"/>
  </r>
  <r>
    <x v="94"/>
    <x v="3"/>
    <x v="1"/>
    <x v="1"/>
    <n v="8"/>
    <n v="0.3"/>
    <n v="0.28499999999999998"/>
    <n v="5.0000000000000044E-2"/>
  </r>
  <r>
    <x v="94"/>
    <x v="3"/>
    <x v="1"/>
    <x v="1"/>
    <n v="8"/>
    <n v="0.3"/>
    <n v="0.28499999999999998"/>
    <n v="5.0000000000000044E-2"/>
  </r>
  <r>
    <x v="94"/>
    <x v="3"/>
    <x v="1"/>
    <x v="1"/>
    <n v="8"/>
    <n v="0.3"/>
    <n v="0.28499999999999998"/>
    <n v="5.0000000000000044E-2"/>
  </r>
  <r>
    <x v="94"/>
    <x v="3"/>
    <x v="1"/>
    <x v="1"/>
    <n v="8"/>
    <n v="0.3"/>
    <n v="0.28499999999999998"/>
    <n v="5.0000000000000044E-2"/>
  </r>
  <r>
    <x v="94"/>
    <x v="3"/>
    <x v="1"/>
    <x v="1"/>
    <n v="8"/>
    <n v="0.3"/>
    <n v="0.28499999999999998"/>
    <n v="5.0000000000000044E-2"/>
  </r>
  <r>
    <x v="94"/>
    <x v="3"/>
    <x v="1"/>
    <x v="1"/>
    <n v="8"/>
    <n v="0.3"/>
    <n v="0.28499999999999998"/>
    <n v="5.0000000000000044E-2"/>
  </r>
  <r>
    <x v="94"/>
    <x v="3"/>
    <x v="1"/>
    <x v="1"/>
    <n v="8"/>
    <n v="0.49"/>
    <n v="0.42899999999999999"/>
    <n v="0.1244897959183674"/>
  </r>
  <r>
    <x v="94"/>
    <x v="3"/>
    <x v="1"/>
    <x v="1"/>
    <n v="8"/>
    <n v="0.3"/>
    <n v="0.28499999999999998"/>
    <n v="5.0000000000000044E-2"/>
  </r>
  <r>
    <x v="94"/>
    <x v="3"/>
    <x v="1"/>
    <x v="1"/>
    <n v="8"/>
    <n v="0.3"/>
    <n v="0.28499999999999998"/>
    <n v="5.0000000000000044E-2"/>
  </r>
  <r>
    <x v="94"/>
    <x v="2"/>
    <x v="2"/>
    <x v="10"/>
    <n v="8"/>
    <n v="2.35"/>
    <n v="2.2999999999999998"/>
    <n v="2.1276595744680993E-2"/>
  </r>
  <r>
    <x v="94"/>
    <x v="3"/>
    <x v="1"/>
    <x v="11"/>
    <n v="8"/>
    <n v="0.34"/>
    <n v="0.29799999999999999"/>
    <n v="0.123529411764706"/>
  </r>
  <r>
    <x v="94"/>
    <x v="3"/>
    <x v="1"/>
    <x v="1"/>
    <n v="8"/>
    <n v="0.6"/>
    <n v="0.52500000000000002"/>
    <n v="0.12499999999999989"/>
  </r>
  <r>
    <x v="94"/>
    <x v="3"/>
    <x v="1"/>
    <x v="1"/>
    <n v="8"/>
    <n v="0.49"/>
    <n v="0.42899999999999999"/>
    <n v="0.1244897959183674"/>
  </r>
  <r>
    <x v="94"/>
    <x v="3"/>
    <x v="1"/>
    <x v="1"/>
    <n v="8"/>
    <n v="0.3"/>
    <n v="0.28499999999999998"/>
    <n v="5.0000000000000044E-2"/>
  </r>
  <r>
    <x v="94"/>
    <x v="3"/>
    <x v="1"/>
    <x v="1"/>
    <n v="8"/>
    <n v="0.3"/>
    <n v="0.28499999999999998"/>
    <n v="5.0000000000000044E-2"/>
  </r>
  <r>
    <x v="94"/>
    <x v="2"/>
    <x v="2"/>
    <x v="10"/>
    <n v="8"/>
    <n v="2.35"/>
    <n v="2.2999999999999998"/>
    <n v="2.1276595744680993E-2"/>
  </r>
  <r>
    <x v="95"/>
    <x v="2"/>
    <x v="2"/>
    <x v="10"/>
    <n v="8"/>
    <n v="1.9"/>
    <n v="1.8"/>
    <n v="5.2631578947368363E-2"/>
  </r>
  <r>
    <x v="95"/>
    <x v="2"/>
    <x v="2"/>
    <x v="10"/>
    <n v="8"/>
    <n v="1.9"/>
    <n v="1.8"/>
    <n v="5.2631578947368363E-2"/>
  </r>
  <r>
    <x v="95"/>
    <x v="2"/>
    <x v="2"/>
    <x v="10"/>
    <n v="8"/>
    <n v="1.9"/>
    <n v="1.8"/>
    <n v="5.2631578947368363E-2"/>
  </r>
  <r>
    <x v="95"/>
    <x v="2"/>
    <x v="2"/>
    <x v="10"/>
    <n v="8"/>
    <n v="1.9"/>
    <n v="1.8"/>
    <n v="5.2631578947368363E-2"/>
  </r>
  <r>
    <x v="95"/>
    <x v="2"/>
    <x v="2"/>
    <x v="10"/>
    <n v="8"/>
    <n v="1.9"/>
    <n v="1.8"/>
    <n v="5.2631578947368363E-2"/>
  </r>
  <r>
    <x v="95"/>
    <x v="2"/>
    <x v="2"/>
    <x v="10"/>
    <n v="8"/>
    <n v="1.9"/>
    <n v="1.8"/>
    <n v="5.2631578947368363E-2"/>
  </r>
  <r>
    <x v="95"/>
    <x v="2"/>
    <x v="2"/>
    <x v="10"/>
    <n v="8"/>
    <n v="1.9"/>
    <n v="1.8"/>
    <n v="5.2631578947368363E-2"/>
  </r>
  <r>
    <x v="96"/>
    <x v="21"/>
    <x v="10"/>
    <x v="10"/>
    <n v="32"/>
    <n v="2.6"/>
    <n v="2.5499999999999998"/>
    <n v="1.9230769230769384E-2"/>
  </r>
  <r>
    <x v="96"/>
    <x v="21"/>
    <x v="10"/>
    <x v="10"/>
    <n v="32"/>
    <n v="2.6"/>
    <n v="2.5499999999999998"/>
    <n v="1.9230769230769384E-2"/>
  </r>
  <r>
    <x v="96"/>
    <x v="21"/>
    <x v="10"/>
    <x v="10"/>
    <n v="32"/>
    <n v="2.6"/>
    <n v="2.5499999999999998"/>
    <n v="1.9230769230769384E-2"/>
  </r>
  <r>
    <x v="96"/>
    <x v="21"/>
    <x v="10"/>
    <x v="10"/>
    <n v="32"/>
    <n v="2.6"/>
    <n v="2.5499999999999998"/>
    <n v="1.9230769230769384E-2"/>
  </r>
  <r>
    <x v="96"/>
    <x v="21"/>
    <x v="10"/>
    <x v="10"/>
    <n v="32"/>
    <n v="2.6"/>
    <n v="2.5499999999999998"/>
    <n v="1.9230769230769384E-2"/>
  </r>
  <r>
    <x v="96"/>
    <x v="21"/>
    <x v="10"/>
    <x v="10"/>
    <n v="32"/>
    <n v="2.6"/>
    <n v="2.5499999999999998"/>
    <n v="1.9230769230769384E-2"/>
  </r>
  <r>
    <x v="96"/>
    <x v="21"/>
    <x v="10"/>
    <x v="10"/>
    <n v="32"/>
    <n v="2.6"/>
    <n v="2.5499999999999998"/>
    <n v="1.9230769230769384E-2"/>
  </r>
  <r>
    <x v="97"/>
    <x v="3"/>
    <x v="1"/>
    <x v="1"/>
    <n v="8"/>
    <n v="0.3"/>
    <n v="0.28499999999999998"/>
    <n v="5.0000000000000044E-2"/>
  </r>
  <r>
    <x v="97"/>
    <x v="3"/>
    <x v="1"/>
    <x v="1"/>
    <n v="8"/>
    <n v="0.3"/>
    <n v="0.28499999999999998"/>
    <n v="5.0000000000000044E-2"/>
  </r>
  <r>
    <x v="97"/>
    <x v="3"/>
    <x v="1"/>
    <x v="1"/>
    <n v="8"/>
    <n v="0.3"/>
    <n v="0.28499999999999998"/>
    <n v="5.0000000000000044E-2"/>
  </r>
  <r>
    <x v="97"/>
    <x v="3"/>
    <x v="1"/>
    <x v="1"/>
    <n v="8"/>
    <n v="0.3"/>
    <n v="0.28499999999999998"/>
    <n v="5.0000000000000044E-2"/>
  </r>
  <r>
    <x v="97"/>
    <x v="3"/>
    <x v="1"/>
    <x v="1"/>
    <n v="8"/>
    <n v="0.3"/>
    <n v="0.28499999999999998"/>
    <n v="5.0000000000000044E-2"/>
  </r>
  <r>
    <x v="97"/>
    <x v="3"/>
    <x v="1"/>
    <x v="1"/>
    <n v="8"/>
    <n v="0.3"/>
    <n v="0.28499999999999998"/>
    <n v="5.0000000000000044E-2"/>
  </r>
  <r>
    <x v="97"/>
    <x v="3"/>
    <x v="1"/>
    <x v="1"/>
    <n v="8"/>
    <n v="0.3"/>
    <n v="0.28499999999999998"/>
    <n v="5.0000000000000044E-2"/>
  </r>
  <r>
    <x v="97"/>
    <x v="3"/>
    <x v="1"/>
    <x v="1"/>
    <n v="8"/>
    <n v="0.3"/>
    <n v="0.28499999999999998"/>
    <n v="5.0000000000000044E-2"/>
  </r>
  <r>
    <x v="97"/>
    <x v="3"/>
    <x v="1"/>
    <x v="1"/>
    <n v="8"/>
    <n v="0.3"/>
    <n v="0.28499999999999998"/>
    <n v="5.0000000000000044E-2"/>
  </r>
  <r>
    <x v="97"/>
    <x v="3"/>
    <x v="1"/>
    <x v="1"/>
    <n v="8"/>
    <n v="0.3"/>
    <n v="0.28499999999999998"/>
    <n v="5.0000000000000044E-2"/>
  </r>
  <r>
    <x v="97"/>
    <x v="3"/>
    <x v="1"/>
    <x v="1"/>
    <n v="8"/>
    <n v="0.3"/>
    <n v="0.28499999999999998"/>
    <n v="5.0000000000000044E-2"/>
  </r>
  <r>
    <x v="97"/>
    <x v="3"/>
    <x v="1"/>
    <x v="1"/>
    <n v="8"/>
    <n v="0.5"/>
    <n v="0.438"/>
    <n v="0.124"/>
  </r>
  <r>
    <x v="98"/>
    <x v="7"/>
    <x v="6"/>
    <x v="15"/>
    <n v="8"/>
    <n v="0.38"/>
    <n v="0.32"/>
    <n v="0.15789473684210531"/>
  </r>
  <r>
    <x v="98"/>
    <x v="6"/>
    <x v="5"/>
    <x v="10"/>
    <n v="16"/>
    <n v="2.35"/>
    <n v="2.25"/>
    <n v="4.2553191489361764E-2"/>
  </r>
  <r>
    <x v="98"/>
    <x v="6"/>
    <x v="5"/>
    <x v="10"/>
    <n v="16"/>
    <n v="2.35"/>
    <n v="2.25"/>
    <n v="4.2553191489361764E-2"/>
  </r>
  <r>
    <x v="98"/>
    <x v="7"/>
    <x v="6"/>
    <x v="15"/>
    <n v="8"/>
    <n v="0.38"/>
    <n v="0.32"/>
    <n v="0.15789473684210531"/>
  </r>
  <r>
    <x v="98"/>
    <x v="7"/>
    <x v="6"/>
    <x v="15"/>
    <n v="8"/>
    <n v="0.38"/>
    <n v="0.32"/>
    <n v="0.15789473684210531"/>
  </r>
  <r>
    <x v="98"/>
    <x v="6"/>
    <x v="5"/>
    <x v="10"/>
    <n v="16"/>
    <n v="2.35"/>
    <n v="2.25"/>
    <n v="4.2553191489361764E-2"/>
  </r>
  <r>
    <x v="98"/>
    <x v="7"/>
    <x v="6"/>
    <x v="15"/>
    <n v="8"/>
    <n v="0.38"/>
    <n v="0.32"/>
    <n v="0.15789473684210531"/>
  </r>
  <r>
    <x v="98"/>
    <x v="7"/>
    <x v="6"/>
    <x v="15"/>
    <n v="8"/>
    <n v="0.38"/>
    <n v="0.32"/>
    <n v="0.15789473684210531"/>
  </r>
  <r>
    <x v="98"/>
    <x v="7"/>
    <x v="6"/>
    <x v="15"/>
    <n v="8"/>
    <n v="0.38"/>
    <n v="0.32"/>
    <n v="0.15789473684210531"/>
  </r>
  <r>
    <x v="98"/>
    <x v="6"/>
    <x v="5"/>
    <x v="10"/>
    <n v="16"/>
    <n v="2.35"/>
    <n v="2.25"/>
    <n v="4.2553191489361764E-2"/>
  </r>
  <r>
    <x v="98"/>
    <x v="7"/>
    <x v="6"/>
    <x v="15"/>
    <n v="8"/>
    <n v="0.38"/>
    <n v="0.32"/>
    <n v="0.15789473684210531"/>
  </r>
  <r>
    <x v="99"/>
    <x v="3"/>
    <x v="1"/>
    <x v="11"/>
    <n v="1"/>
    <n v="0.34"/>
    <n v="0.29799999999999999"/>
    <n v="0.123529411764706"/>
  </r>
  <r>
    <x v="99"/>
    <x v="3"/>
    <x v="1"/>
    <x v="11"/>
    <n v="1"/>
    <n v="0.34"/>
    <n v="0.34"/>
    <n v="0"/>
  </r>
  <r>
    <x v="99"/>
    <x v="3"/>
    <x v="1"/>
    <x v="11"/>
    <n v="1"/>
    <n v="0.34"/>
    <n v="0.29799999999999999"/>
    <n v="0.123529411764706"/>
  </r>
  <r>
    <x v="99"/>
    <x v="3"/>
    <x v="1"/>
    <x v="11"/>
    <n v="1"/>
    <n v="0.34"/>
    <n v="0.29799999999999999"/>
    <n v="0.123529411764706"/>
  </r>
  <r>
    <x v="99"/>
    <x v="3"/>
    <x v="1"/>
    <x v="11"/>
    <n v="1"/>
    <n v="0.34"/>
    <n v="0.29799999999999999"/>
    <n v="0.123529411764706"/>
  </r>
  <r>
    <x v="99"/>
    <x v="3"/>
    <x v="1"/>
    <x v="11"/>
    <n v="1"/>
    <n v="0.34"/>
    <n v="0.29799999999999999"/>
    <n v="0.123529411764706"/>
  </r>
  <r>
    <x v="99"/>
    <x v="3"/>
    <x v="1"/>
    <x v="11"/>
    <n v="1"/>
    <n v="0.34"/>
    <n v="0.29799999999999999"/>
    <n v="0.123529411764706"/>
  </r>
  <r>
    <x v="99"/>
    <x v="3"/>
    <x v="1"/>
    <x v="11"/>
    <n v="1"/>
    <n v="0.34"/>
    <n v="0.29799999999999999"/>
    <n v="0.123529411764706"/>
  </r>
  <r>
    <x v="99"/>
    <x v="3"/>
    <x v="1"/>
    <x v="11"/>
    <n v="1"/>
    <n v="0.34"/>
    <n v="0.29799999999999999"/>
    <n v="0.123529411764706"/>
  </r>
  <r>
    <x v="99"/>
    <x v="3"/>
    <x v="1"/>
    <x v="11"/>
    <n v="1"/>
    <n v="0.34"/>
    <n v="0.29799999999999999"/>
    <n v="0.123529411764706"/>
  </r>
  <r>
    <x v="99"/>
    <x v="3"/>
    <x v="1"/>
    <x v="11"/>
    <n v="1"/>
    <n v="0.34"/>
    <n v="0.29799999999999999"/>
    <n v="0.123529411764706"/>
  </r>
  <r>
    <x v="99"/>
    <x v="3"/>
    <x v="1"/>
    <x v="11"/>
    <n v="1"/>
    <n v="0.34"/>
    <n v="0.29799999999999999"/>
    <n v="0.123529411764706"/>
  </r>
  <r>
    <x v="99"/>
    <x v="3"/>
    <x v="1"/>
    <x v="11"/>
    <n v="1"/>
    <n v="0.34"/>
    <n v="0.29799999999999999"/>
    <n v="0.123529411764706"/>
  </r>
  <r>
    <x v="99"/>
    <x v="3"/>
    <x v="1"/>
    <x v="11"/>
    <n v="1"/>
    <n v="0.3"/>
    <n v="0.26300000000000001"/>
    <n v="0.12333333333333329"/>
  </r>
  <r>
    <x v="99"/>
    <x v="3"/>
    <x v="1"/>
    <x v="11"/>
    <n v="1"/>
    <n v="0.34"/>
    <n v="0.29799999999999999"/>
    <n v="0.123529411764706"/>
  </r>
  <r>
    <x v="99"/>
    <x v="3"/>
    <x v="1"/>
    <x v="11"/>
    <n v="1"/>
    <n v="0.3"/>
    <n v="0.26300000000000001"/>
    <n v="0.12333333333333329"/>
  </r>
  <r>
    <x v="99"/>
    <x v="3"/>
    <x v="1"/>
    <x v="3"/>
    <n v="8"/>
    <n v="4.3499999999999996"/>
    <n v="3.85"/>
    <n v="0.11494252873563204"/>
  </r>
  <r>
    <x v="99"/>
    <x v="3"/>
    <x v="1"/>
    <x v="11"/>
    <n v="1"/>
    <n v="0.3"/>
    <n v="0.26300000000000001"/>
    <n v="0.12333333333333329"/>
  </r>
  <r>
    <x v="99"/>
    <x v="3"/>
    <x v="1"/>
    <x v="11"/>
    <n v="1"/>
    <n v="0.34"/>
    <n v="0.29799999999999999"/>
    <n v="0.123529411764706"/>
  </r>
  <r>
    <x v="99"/>
    <x v="3"/>
    <x v="1"/>
    <x v="11"/>
    <n v="1"/>
    <n v="0.3"/>
    <n v="0.26300000000000001"/>
    <n v="0.12333333333333329"/>
  </r>
  <r>
    <x v="99"/>
    <x v="3"/>
    <x v="1"/>
    <x v="3"/>
    <n v="8"/>
    <n v="4.3499999999999996"/>
    <n v="3.85"/>
    <n v="0.11494252873563204"/>
  </r>
  <r>
    <x v="100"/>
    <x v="3"/>
    <x v="1"/>
    <x v="20"/>
    <n v="8"/>
    <n v="0.59"/>
    <n v="0.52"/>
    <n v="0.11864406779661008"/>
  </r>
  <r>
    <x v="101"/>
    <x v="3"/>
    <x v="1"/>
    <x v="1"/>
    <n v="8"/>
    <n v="0.3"/>
    <n v="0.28499999999999998"/>
    <n v="5.0000000000000044E-2"/>
  </r>
  <r>
    <x v="101"/>
    <x v="3"/>
    <x v="1"/>
    <x v="1"/>
    <n v="8"/>
    <n v="0.3"/>
    <n v="0.28499999999999998"/>
    <n v="5.0000000000000044E-2"/>
  </r>
  <r>
    <x v="101"/>
    <x v="3"/>
    <x v="1"/>
    <x v="1"/>
    <n v="8"/>
    <n v="0.3"/>
    <n v="0.28499999999999998"/>
    <n v="5.0000000000000044E-2"/>
  </r>
  <r>
    <x v="101"/>
    <x v="3"/>
    <x v="1"/>
    <x v="1"/>
    <n v="8"/>
    <n v="0.3"/>
    <n v="0.28499999999999998"/>
    <n v="5.0000000000000044E-2"/>
  </r>
  <r>
    <x v="101"/>
    <x v="3"/>
    <x v="1"/>
    <x v="1"/>
    <n v="8"/>
    <n v="0.3"/>
    <n v="0.28499999999999998"/>
    <n v="5.0000000000000044E-2"/>
  </r>
  <r>
    <x v="101"/>
    <x v="3"/>
    <x v="1"/>
    <x v="1"/>
    <n v="8"/>
    <n v="0.3"/>
    <n v="0.28499999999999998"/>
    <n v="5.0000000000000044E-2"/>
  </r>
  <r>
    <x v="101"/>
    <x v="3"/>
    <x v="1"/>
    <x v="1"/>
    <n v="8"/>
    <n v="0.3"/>
    <n v="0.28499999999999998"/>
    <n v="5.0000000000000044E-2"/>
  </r>
  <r>
    <x v="101"/>
    <x v="3"/>
    <x v="1"/>
    <x v="1"/>
    <n v="8"/>
    <n v="0.3"/>
    <n v="0.28499999999999998"/>
    <n v="5.0000000000000044E-2"/>
  </r>
  <r>
    <x v="101"/>
    <x v="3"/>
    <x v="1"/>
    <x v="1"/>
    <n v="8"/>
    <n v="0.3"/>
    <n v="0.28499999999999998"/>
    <n v="5.0000000000000044E-2"/>
  </r>
  <r>
    <x v="101"/>
    <x v="3"/>
    <x v="1"/>
    <x v="1"/>
    <n v="8"/>
    <n v="0.3"/>
    <n v="0.28499999999999998"/>
    <n v="5.0000000000000044E-2"/>
  </r>
  <r>
    <x v="101"/>
    <x v="3"/>
    <x v="1"/>
    <x v="1"/>
    <n v="8"/>
    <n v="0.3"/>
    <n v="0.28499999999999998"/>
    <n v="5.0000000000000044E-2"/>
  </r>
  <r>
    <x v="102"/>
    <x v="13"/>
    <x v="7"/>
    <x v="10"/>
    <n v="96"/>
    <n v="1.95"/>
    <n v="1.82"/>
    <n v="6.6666666666666652E-2"/>
  </r>
  <r>
    <x v="102"/>
    <x v="13"/>
    <x v="7"/>
    <x v="10"/>
    <n v="96"/>
    <n v="1.95"/>
    <n v="1.82"/>
    <n v="6.6666666666666652E-2"/>
  </r>
  <r>
    <x v="102"/>
    <x v="13"/>
    <x v="7"/>
    <x v="10"/>
    <n v="104"/>
    <n v="1.6"/>
    <n v="1.45"/>
    <n v="9.3750000000000111E-2"/>
  </r>
  <r>
    <x v="102"/>
    <x v="13"/>
    <x v="7"/>
    <x v="10"/>
    <n v="104"/>
    <n v="1.45"/>
    <n v="1.3"/>
    <n v="0.10344827586206895"/>
  </r>
  <r>
    <x v="102"/>
    <x v="13"/>
    <x v="7"/>
    <x v="10"/>
    <n v="104"/>
    <n v="1.35"/>
    <n v="1.25"/>
    <n v="7.4074074074074181E-2"/>
  </r>
  <r>
    <x v="102"/>
    <x v="13"/>
    <x v="7"/>
    <x v="10"/>
    <n v="8"/>
    <n v="1.35"/>
    <n v="1.25"/>
    <n v="7.4074074074074181E-2"/>
  </r>
  <r>
    <x v="102"/>
    <x v="13"/>
    <x v="7"/>
    <x v="10"/>
    <n v="96"/>
    <n v="1.25"/>
    <n v="1.2"/>
    <n v="4.0000000000000036E-2"/>
  </r>
  <r>
    <x v="102"/>
    <x v="13"/>
    <x v="7"/>
    <x v="10"/>
    <n v="96"/>
    <n v="1.25"/>
    <n v="1.2"/>
    <n v="4.0000000000000036E-2"/>
  </r>
  <r>
    <x v="102"/>
    <x v="13"/>
    <x v="7"/>
    <x v="10"/>
    <n v="96"/>
    <n v="1.25"/>
    <n v="1.2"/>
    <n v="4.0000000000000036E-2"/>
  </r>
  <r>
    <x v="102"/>
    <x v="13"/>
    <x v="7"/>
    <x v="10"/>
    <n v="96"/>
    <n v="1.25"/>
    <n v="1.2"/>
    <n v="4.0000000000000036E-2"/>
  </r>
  <r>
    <x v="102"/>
    <x v="13"/>
    <x v="7"/>
    <x v="10"/>
    <n v="88"/>
    <n v="1.25"/>
    <n v="1.2"/>
    <n v="4.0000000000000036E-2"/>
  </r>
  <r>
    <x v="102"/>
    <x v="13"/>
    <x v="7"/>
    <x v="10"/>
    <n v="96"/>
    <n v="1.25"/>
    <n v="1.2"/>
    <n v="4.0000000000000036E-2"/>
  </r>
  <r>
    <x v="102"/>
    <x v="13"/>
    <x v="7"/>
    <x v="10"/>
    <n v="96"/>
    <n v="1.25"/>
    <n v="1.2"/>
    <n v="4.0000000000000036E-2"/>
  </r>
  <r>
    <x v="102"/>
    <x v="13"/>
    <x v="7"/>
    <x v="10"/>
    <n v="112"/>
    <n v="1.25"/>
    <n v="1.2"/>
    <n v="4.0000000000000036E-2"/>
  </r>
  <r>
    <x v="102"/>
    <x v="9"/>
    <x v="1"/>
    <x v="10"/>
    <n v="112"/>
    <n v="1.25"/>
    <n v="1.2"/>
    <n v="4.0000000000000036E-2"/>
  </r>
  <r>
    <x v="102"/>
    <x v="9"/>
    <x v="1"/>
    <x v="10"/>
    <n v="104"/>
    <n v="1.25"/>
    <n v="1.2"/>
    <n v="4.0000000000000036E-2"/>
  </r>
  <r>
    <x v="102"/>
    <x v="9"/>
    <x v="1"/>
    <x v="10"/>
    <n v="104"/>
    <n v="1.25"/>
    <n v="1.2"/>
    <n v="4.0000000000000036E-2"/>
  </r>
  <r>
    <x v="102"/>
    <x v="9"/>
    <x v="1"/>
    <x v="10"/>
    <n v="104"/>
    <n v="1.25"/>
    <n v="1.2"/>
    <n v="4.0000000000000036E-2"/>
  </r>
  <r>
    <x v="102"/>
    <x v="9"/>
    <x v="1"/>
    <x v="10"/>
    <n v="104"/>
    <n v="1.25"/>
    <n v="1.2"/>
    <n v="4.0000000000000036E-2"/>
  </r>
  <r>
    <x v="102"/>
    <x v="9"/>
    <x v="1"/>
    <x v="10"/>
    <n v="104"/>
    <n v="1.25"/>
    <n v="1.2"/>
    <n v="4.0000000000000036E-2"/>
  </r>
  <r>
    <x v="102"/>
    <x v="9"/>
    <x v="1"/>
    <x v="10"/>
    <n v="104"/>
    <n v="1.25"/>
    <n v="1.2"/>
    <n v="4.0000000000000036E-2"/>
  </r>
  <r>
    <x v="102"/>
    <x v="9"/>
    <x v="1"/>
    <x v="10"/>
    <n v="104"/>
    <n v="1.25"/>
    <n v="1.2"/>
    <n v="4.0000000000000036E-2"/>
  </r>
  <r>
    <x v="102"/>
    <x v="9"/>
    <x v="1"/>
    <x v="10"/>
    <n v="104"/>
    <n v="1.25"/>
    <n v="1.2"/>
    <n v="4.0000000000000036E-2"/>
  </r>
  <r>
    <x v="102"/>
    <x v="9"/>
    <x v="1"/>
    <x v="10"/>
    <n v="88"/>
    <n v="1.25"/>
    <n v="1.2"/>
    <n v="4.0000000000000036E-2"/>
  </r>
  <r>
    <x v="102"/>
    <x v="9"/>
    <x v="1"/>
    <x v="10"/>
    <n v="88"/>
    <n v="1.25"/>
    <n v="1.1499999999999999"/>
    <n v="8.0000000000000071E-2"/>
  </r>
  <r>
    <x v="102"/>
    <x v="9"/>
    <x v="1"/>
    <x v="10"/>
    <n v="80"/>
    <n v="1.25"/>
    <n v="1.1499999999999999"/>
    <n v="8.0000000000000071E-2"/>
  </r>
  <r>
    <x v="102"/>
    <x v="3"/>
    <x v="1"/>
    <x v="11"/>
    <n v="1"/>
    <n v="0.3"/>
    <n v="0.26300000000000001"/>
    <n v="0.12333333333333329"/>
  </r>
  <r>
    <x v="102"/>
    <x v="3"/>
    <x v="1"/>
    <x v="1"/>
    <n v="8"/>
    <n v="0.5"/>
    <n v="0.438"/>
    <n v="0.124"/>
  </r>
  <r>
    <x v="102"/>
    <x v="9"/>
    <x v="1"/>
    <x v="10"/>
    <n v="80"/>
    <n v="1.25"/>
    <n v="1.1499999999999999"/>
    <n v="8.0000000000000071E-2"/>
  </r>
  <r>
    <x v="102"/>
    <x v="3"/>
    <x v="1"/>
    <x v="11"/>
    <n v="1"/>
    <n v="0.3"/>
    <n v="0.26300000000000001"/>
    <n v="0.12333333333333329"/>
  </r>
  <r>
    <x v="102"/>
    <x v="3"/>
    <x v="1"/>
    <x v="1"/>
    <n v="8"/>
    <n v="0.5"/>
    <n v="0.438"/>
    <n v="0.124"/>
  </r>
  <r>
    <x v="102"/>
    <x v="9"/>
    <x v="1"/>
    <x v="10"/>
    <n v="80"/>
    <n v="1.25"/>
    <n v="1.1499999999999999"/>
    <n v="8.0000000000000071E-2"/>
  </r>
  <r>
    <x v="102"/>
    <x v="22"/>
    <x v="7"/>
    <x v="8"/>
    <n v="16"/>
    <n v="4.25"/>
    <n v="4"/>
    <n v="5.8823529411764719E-2"/>
  </r>
  <r>
    <x v="103"/>
    <x v="9"/>
    <x v="1"/>
    <x v="8"/>
    <n v="8"/>
    <n v="4.3499999999999996"/>
    <n v="3.85"/>
    <n v="0.11494252873563204"/>
  </r>
  <r>
    <x v="103"/>
    <x v="9"/>
    <x v="1"/>
    <x v="8"/>
    <n v="8"/>
    <n v="4.3499999999999996"/>
    <n v="3.85"/>
    <n v="0.11494252873563204"/>
  </r>
  <r>
    <x v="104"/>
    <x v="4"/>
    <x v="3"/>
    <x v="2"/>
    <m/>
    <n v="40"/>
    <n v="30"/>
    <n v="0.25"/>
  </r>
  <r>
    <x v="104"/>
    <x v="4"/>
    <x v="3"/>
    <x v="21"/>
    <n v="8"/>
    <n v="0.44"/>
    <n v="0.4"/>
    <n v="9.0909090909090828E-2"/>
  </r>
  <r>
    <x v="104"/>
    <x v="4"/>
    <x v="3"/>
    <x v="21"/>
    <n v="8"/>
    <n v="0.44"/>
    <n v="0.4"/>
    <n v="9.0909090909090828E-2"/>
  </r>
  <r>
    <x v="104"/>
    <x v="4"/>
    <x v="3"/>
    <x v="21"/>
    <n v="8"/>
    <n v="0.44"/>
    <n v="0.4"/>
    <n v="9.0909090909090828E-2"/>
  </r>
  <r>
    <x v="104"/>
    <x v="4"/>
    <x v="3"/>
    <x v="21"/>
    <n v="8"/>
    <n v="0.44"/>
    <n v="0.4"/>
    <n v="9.0909090909090828E-2"/>
  </r>
  <r>
    <x v="104"/>
    <x v="4"/>
    <x v="3"/>
    <x v="21"/>
    <n v="8"/>
    <n v="0.44"/>
    <n v="0.4"/>
    <n v="9.0909090909090828E-2"/>
  </r>
  <r>
    <x v="104"/>
    <x v="3"/>
    <x v="1"/>
    <x v="1"/>
    <n v="8"/>
    <n v="0.5"/>
    <n v="0.438"/>
    <n v="0.124"/>
  </r>
  <r>
    <x v="104"/>
    <x v="9"/>
    <x v="1"/>
    <x v="10"/>
    <n v="8"/>
    <n v="2.35"/>
    <n v="2.1"/>
    <n v="0.1063829787234043"/>
  </r>
  <r>
    <x v="104"/>
    <x v="4"/>
    <x v="3"/>
    <x v="21"/>
    <n v="8"/>
    <n v="0.44"/>
    <n v="0.4"/>
    <n v="9.0909090909090828E-2"/>
  </r>
  <r>
    <x v="105"/>
    <x v="3"/>
    <x v="1"/>
    <x v="11"/>
    <n v="1"/>
    <n v="0.3"/>
    <n v="0.26300000000000001"/>
    <n v="0.12333333333333329"/>
  </r>
  <r>
    <x v="105"/>
    <x v="3"/>
    <x v="1"/>
    <x v="11"/>
    <n v="1"/>
    <n v="0.3"/>
    <n v="0.26300000000000001"/>
    <n v="0.12333333333333329"/>
  </r>
  <r>
    <x v="105"/>
    <x v="3"/>
    <x v="1"/>
    <x v="11"/>
    <n v="1"/>
    <n v="0.3"/>
    <n v="0.26300000000000001"/>
    <n v="0.12333333333333329"/>
  </r>
  <r>
    <x v="105"/>
    <x v="13"/>
    <x v="7"/>
    <x v="10"/>
    <n v="8"/>
    <n v="1.76"/>
    <n v="1.65"/>
    <n v="6.25E-2"/>
  </r>
  <r>
    <x v="105"/>
    <x v="3"/>
    <x v="1"/>
    <x v="11"/>
    <n v="1"/>
    <n v="0.3"/>
    <n v="0.26300000000000001"/>
    <n v="0.12333333333333329"/>
  </r>
  <r>
    <x v="105"/>
    <x v="13"/>
    <x v="7"/>
    <x v="10"/>
    <n v="8"/>
    <n v="1.76"/>
    <n v="1.65"/>
    <n v="6.25E-2"/>
  </r>
  <r>
    <x v="106"/>
    <x v="20"/>
    <x v="1"/>
    <x v="8"/>
    <n v="16"/>
    <n v="1"/>
    <n v="0.95"/>
    <n v="5.0000000000000044E-2"/>
  </r>
  <r>
    <x v="106"/>
    <x v="20"/>
    <x v="1"/>
    <x v="8"/>
    <n v="16"/>
    <n v="1"/>
    <n v="0.95"/>
    <n v="5.0000000000000044E-2"/>
  </r>
  <r>
    <x v="107"/>
    <x v="20"/>
    <x v="1"/>
    <x v="20"/>
    <n v="8"/>
    <n v="0.85"/>
    <n v="0.75"/>
    <n v="0.11764705882352944"/>
  </r>
  <r>
    <x v="107"/>
    <x v="20"/>
    <x v="1"/>
    <x v="20"/>
    <n v="8"/>
    <n v="0.85"/>
    <n v="0.75"/>
    <n v="0.11764705882352944"/>
  </r>
  <r>
    <x v="107"/>
    <x v="20"/>
    <x v="1"/>
    <x v="20"/>
    <n v="8"/>
    <n v="0.85"/>
    <n v="0.75"/>
    <n v="0.11764705882352944"/>
  </r>
  <r>
    <x v="108"/>
    <x v="6"/>
    <x v="5"/>
    <x v="20"/>
    <n v="8"/>
    <n v="0.8"/>
    <n v="0.72"/>
    <n v="0.10000000000000009"/>
  </r>
  <r>
    <x v="108"/>
    <x v="6"/>
    <x v="5"/>
    <x v="20"/>
    <n v="8"/>
    <n v="0.8"/>
    <n v="0.72"/>
    <n v="0.10000000000000009"/>
  </r>
  <r>
    <x v="108"/>
    <x v="6"/>
    <x v="5"/>
    <x v="20"/>
    <n v="8"/>
    <n v="0.8"/>
    <n v="0.72"/>
    <n v="0.10000000000000009"/>
  </r>
  <r>
    <x v="108"/>
    <x v="6"/>
    <x v="5"/>
    <x v="20"/>
    <n v="8"/>
    <n v="0.8"/>
    <n v="0.72"/>
    <n v="0.10000000000000009"/>
  </r>
  <r>
    <x v="108"/>
    <x v="6"/>
    <x v="5"/>
    <x v="20"/>
    <n v="8"/>
    <n v="0.8"/>
    <n v="0.72"/>
    <n v="0.10000000000000009"/>
  </r>
  <r>
    <x v="108"/>
    <x v="6"/>
    <x v="5"/>
    <x v="20"/>
    <n v="8"/>
    <n v="0.8"/>
    <n v="0.72"/>
    <n v="0.10000000000000009"/>
  </r>
  <r>
    <x v="108"/>
    <x v="3"/>
    <x v="1"/>
    <x v="8"/>
    <n v="8"/>
    <n v="4.3499999999999996"/>
    <n v="3.85"/>
    <n v="0.11494252873563204"/>
  </r>
  <r>
    <x v="108"/>
    <x v="13"/>
    <x v="7"/>
    <x v="10"/>
    <n v="8"/>
    <n v="2.15"/>
    <n v="1.9"/>
    <n v="0.11627906976744184"/>
  </r>
  <r>
    <x v="109"/>
    <x v="22"/>
    <x v="7"/>
    <x v="10"/>
    <n v="8"/>
    <n v="1.75"/>
    <n v="1.65"/>
    <n v="5.7142857142857162E-2"/>
  </r>
  <r>
    <x v="110"/>
    <x v="3"/>
    <x v="1"/>
    <x v="11"/>
    <n v="8"/>
    <n v="0.3"/>
    <n v="0.26"/>
    <n v="0.1333333333333333"/>
  </r>
  <r>
    <x v="111"/>
    <x v="3"/>
    <x v="1"/>
    <x v="11"/>
    <n v="1"/>
    <n v="0.34"/>
    <n v="0.29799999999999999"/>
    <n v="0.123529411764706"/>
  </r>
  <r>
    <x v="111"/>
    <x v="3"/>
    <x v="1"/>
    <x v="11"/>
    <n v="1"/>
    <n v="0.34"/>
    <n v="0.29799999999999999"/>
    <n v="0.123529411764706"/>
  </r>
  <r>
    <x v="111"/>
    <x v="9"/>
    <x v="1"/>
    <x v="14"/>
    <n v="1"/>
    <n v="1.25"/>
    <n v="1.04"/>
    <n v="0.16799999999999993"/>
  </r>
  <r>
    <x v="111"/>
    <x v="3"/>
    <x v="1"/>
    <x v="11"/>
    <n v="1"/>
    <n v="0.34"/>
    <n v="0.29799999999999999"/>
    <n v="0.123529411764706"/>
  </r>
  <r>
    <x v="111"/>
    <x v="3"/>
    <x v="1"/>
    <x v="11"/>
    <n v="1"/>
    <n v="0.34"/>
    <n v="0.29799999999999999"/>
    <n v="0.123529411764706"/>
  </r>
  <r>
    <x v="111"/>
    <x v="3"/>
    <x v="1"/>
    <x v="11"/>
    <n v="1"/>
    <n v="0.34"/>
    <n v="0.29799999999999999"/>
    <n v="0.123529411764706"/>
  </r>
  <r>
    <x v="111"/>
    <x v="0"/>
    <x v="0"/>
    <x v="11"/>
    <n v="1"/>
    <n v="0.34"/>
    <n v="0.29799999999999999"/>
    <n v="0.123529411764706"/>
  </r>
  <r>
    <x v="111"/>
    <x v="3"/>
    <x v="1"/>
    <x v="11"/>
    <n v="1"/>
    <n v="0.34"/>
    <n v="0.29799999999999999"/>
    <n v="0.123529411764706"/>
  </r>
  <r>
    <x v="111"/>
    <x v="9"/>
    <x v="1"/>
    <x v="14"/>
    <n v="1"/>
    <n v="1.25"/>
    <n v="1.04"/>
    <n v="0.16799999999999993"/>
  </r>
  <r>
    <x v="112"/>
    <x v="3"/>
    <x v="1"/>
    <x v="1"/>
    <n v="8"/>
    <n v="0.5"/>
    <n v="0.438"/>
    <n v="0.124"/>
  </r>
  <r>
    <x v="113"/>
    <x v="0"/>
    <x v="0"/>
    <x v="10"/>
    <n v="2"/>
    <n v="2.85"/>
    <n v="2.7"/>
    <n v="5.2631578947368363E-2"/>
  </r>
  <r>
    <x v="113"/>
    <x v="3"/>
    <x v="1"/>
    <x v="10"/>
    <n v="8"/>
    <n v="2.2000000000000002"/>
    <n v="2"/>
    <n v="9.0909090909090939E-2"/>
  </r>
  <r>
    <x v="113"/>
    <x v="9"/>
    <x v="1"/>
    <x v="10"/>
    <n v="8"/>
    <n v="2.15"/>
    <n v="1.9"/>
    <n v="0.11627906976744184"/>
  </r>
  <r>
    <x v="114"/>
    <x v="3"/>
    <x v="1"/>
    <x v="1"/>
    <n v="8"/>
    <n v="0.5"/>
    <n v="0.438"/>
    <n v="0.124"/>
  </r>
  <r>
    <x v="114"/>
    <x v="3"/>
    <x v="1"/>
    <x v="1"/>
    <n v="8"/>
    <n v="0.5"/>
    <n v="0.438"/>
    <n v="0.124"/>
  </r>
  <r>
    <x v="114"/>
    <x v="3"/>
    <x v="1"/>
    <x v="1"/>
    <n v="8"/>
    <n v="0.5"/>
    <n v="0.438"/>
    <n v="0.124"/>
  </r>
  <r>
    <x v="114"/>
    <x v="3"/>
    <x v="1"/>
    <x v="1"/>
    <n v="8"/>
    <n v="0.5"/>
    <n v="0.438"/>
    <n v="0.124"/>
  </r>
  <r>
    <x v="114"/>
    <x v="3"/>
    <x v="1"/>
    <x v="1"/>
    <n v="8"/>
    <n v="0.5"/>
    <n v="0.438"/>
    <n v="0.124"/>
  </r>
  <r>
    <x v="114"/>
    <x v="3"/>
    <x v="1"/>
    <x v="1"/>
    <n v="8"/>
    <n v="0.5"/>
    <n v="0.438"/>
    <n v="0.124"/>
  </r>
  <r>
    <x v="114"/>
    <x v="3"/>
    <x v="1"/>
    <x v="24"/>
    <n v="8"/>
    <n v="1.35"/>
    <n v="1.181"/>
    <n v="0.12518518518518518"/>
  </r>
  <r>
    <x v="114"/>
    <x v="0"/>
    <x v="0"/>
    <x v="15"/>
    <n v="16"/>
    <n v="0.38"/>
    <n v="0.33"/>
    <n v="0.13157894736842102"/>
  </r>
  <r>
    <x v="114"/>
    <x v="3"/>
    <x v="1"/>
    <x v="1"/>
    <n v="8"/>
    <n v="0.5"/>
    <n v="0.438"/>
    <n v="0.124"/>
  </r>
  <r>
    <x v="115"/>
    <x v="3"/>
    <x v="1"/>
    <x v="1"/>
    <n v="5"/>
    <n v="0.65"/>
    <n v="0.56899999999999995"/>
    <n v="0.12461538461538468"/>
  </r>
  <r>
    <x v="115"/>
    <x v="3"/>
    <x v="1"/>
    <x v="20"/>
    <n v="8"/>
    <n v="0.59"/>
    <n v="0.52"/>
    <n v="0.11864406779661008"/>
  </r>
  <r>
    <x v="115"/>
    <x v="3"/>
    <x v="1"/>
    <x v="20"/>
    <n v="8"/>
    <n v="0.59"/>
    <n v="0.52"/>
    <n v="0.11864406779661008"/>
  </r>
  <r>
    <x v="116"/>
    <x v="3"/>
    <x v="1"/>
    <x v="1"/>
    <n v="8"/>
    <n v="0.5"/>
    <n v="0.438"/>
    <n v="0.124"/>
  </r>
  <r>
    <x v="116"/>
    <x v="3"/>
    <x v="1"/>
    <x v="1"/>
    <n v="8"/>
    <n v="0.5"/>
    <n v="0.438"/>
    <n v="0.124"/>
  </r>
  <r>
    <x v="116"/>
    <x v="3"/>
    <x v="1"/>
    <x v="11"/>
    <n v="8"/>
    <n v="0.3"/>
    <n v="0.26300000000000001"/>
    <n v="0.12333333333333329"/>
  </r>
  <r>
    <x v="116"/>
    <x v="3"/>
    <x v="1"/>
    <x v="1"/>
    <n v="5"/>
    <n v="0.65"/>
    <n v="0.56899999999999995"/>
    <n v="0.12461538461538468"/>
  </r>
  <r>
    <x v="117"/>
    <x v="3"/>
    <x v="1"/>
    <x v="1"/>
    <n v="8"/>
    <n v="0.5"/>
    <n v="0.438"/>
    <n v="0.124"/>
  </r>
  <r>
    <x v="117"/>
    <x v="3"/>
    <x v="1"/>
    <x v="11"/>
    <n v="8"/>
    <n v="0.3"/>
    <n v="0.26300000000000001"/>
    <n v="0.12333333333333329"/>
  </r>
  <r>
    <x v="118"/>
    <x v="3"/>
    <x v="1"/>
    <x v="1"/>
    <n v="8"/>
    <n v="0.52"/>
    <n v="0.45500000000000002"/>
    <n v="0.125"/>
  </r>
  <r>
    <x v="118"/>
    <x v="3"/>
    <x v="1"/>
    <x v="11"/>
    <n v="8"/>
    <n v="0.3"/>
    <n v="0.26300000000000001"/>
    <n v="0.12333333333333329"/>
  </r>
  <r>
    <x v="118"/>
    <x v="3"/>
    <x v="1"/>
    <x v="11"/>
    <n v="1"/>
    <n v="0.34"/>
    <n v="0.29799999999999999"/>
    <n v="0.123529411764706"/>
  </r>
  <r>
    <x v="118"/>
    <x v="3"/>
    <x v="1"/>
    <x v="11"/>
    <n v="1"/>
    <n v="0.3"/>
    <n v="0.26300000000000001"/>
    <n v="0.12333333333333329"/>
  </r>
  <r>
    <x v="118"/>
    <x v="3"/>
    <x v="1"/>
    <x v="11"/>
    <n v="1"/>
    <n v="0.3"/>
    <n v="0.26300000000000001"/>
    <n v="0.12333333333333329"/>
  </r>
  <r>
    <x v="118"/>
    <x v="3"/>
    <x v="1"/>
    <x v="1"/>
    <n v="8"/>
    <n v="0.52"/>
    <n v="0.45500000000000002"/>
    <n v="0.125"/>
  </r>
  <r>
    <x v="119"/>
    <x v="0"/>
    <x v="0"/>
    <x v="18"/>
    <n v="8"/>
    <n v="0.26"/>
    <n v="0.22800000000000001"/>
    <n v="0.12307692307692308"/>
  </r>
  <r>
    <x v="120"/>
    <x v="7"/>
    <x v="6"/>
    <x v="8"/>
    <n v="8"/>
    <n v="3.6"/>
    <n v="3.4"/>
    <n v="5.555555555555558E-2"/>
  </r>
  <r>
    <x v="120"/>
    <x v="7"/>
    <x v="6"/>
    <x v="8"/>
    <n v="8"/>
    <n v="3.6"/>
    <n v="3.4"/>
    <n v="5.555555555555558E-2"/>
  </r>
  <r>
    <x v="120"/>
    <x v="7"/>
    <x v="6"/>
    <x v="8"/>
    <n v="8"/>
    <n v="3.6"/>
    <n v="3.4"/>
    <n v="5.555555555555558E-2"/>
  </r>
  <r>
    <x v="120"/>
    <x v="7"/>
    <x v="6"/>
    <x v="8"/>
    <n v="8"/>
    <n v="3.6"/>
    <n v="3.4"/>
    <n v="5.555555555555558E-2"/>
  </r>
  <r>
    <x v="120"/>
    <x v="7"/>
    <x v="6"/>
    <x v="8"/>
    <n v="8"/>
    <n v="3.6"/>
    <n v="3.4"/>
    <n v="5.555555555555558E-2"/>
  </r>
  <r>
    <x v="120"/>
    <x v="7"/>
    <x v="6"/>
    <x v="8"/>
    <n v="8"/>
    <n v="3.6"/>
    <n v="3.4"/>
    <n v="5.555555555555558E-2"/>
  </r>
  <r>
    <x v="120"/>
    <x v="3"/>
    <x v="1"/>
    <x v="11"/>
    <n v="8"/>
    <n v="0.04"/>
    <n v="3.5000000000000003E-2"/>
    <n v="0.12499999999999989"/>
  </r>
  <r>
    <x v="120"/>
    <x v="3"/>
    <x v="1"/>
    <x v="0"/>
    <n v="3"/>
    <n v="1.8"/>
    <n v="1.575"/>
    <n v="0.125"/>
  </r>
  <r>
    <x v="120"/>
    <x v="3"/>
    <x v="1"/>
    <x v="11"/>
    <n v="1"/>
    <n v="0.34"/>
    <n v="0.29799999999999999"/>
    <n v="0.123529411764706"/>
  </r>
  <r>
    <x v="121"/>
    <x v="3"/>
    <x v="1"/>
    <x v="11"/>
    <n v="1"/>
    <n v="0.3"/>
    <n v="0.26"/>
    <n v="0.1333333333333333"/>
  </r>
  <r>
    <x v="121"/>
    <x v="3"/>
    <x v="1"/>
    <x v="11"/>
    <n v="1"/>
    <n v="0.3"/>
    <n v="0.26300000000000001"/>
    <n v="0.12333333333333329"/>
  </r>
  <r>
    <x v="122"/>
    <x v="2"/>
    <x v="2"/>
    <x v="18"/>
    <n v="32"/>
    <n v="0.24"/>
    <n v="0.21"/>
    <n v="0.125"/>
  </r>
  <r>
    <x v="122"/>
    <x v="2"/>
    <x v="2"/>
    <x v="18"/>
    <n v="40"/>
    <n v="0.24"/>
    <n v="0.21"/>
    <n v="0.125"/>
  </r>
  <r>
    <x v="122"/>
    <x v="2"/>
    <x v="2"/>
    <x v="18"/>
    <n v="40"/>
    <n v="0.24"/>
    <n v="0.21"/>
    <n v="0.125"/>
  </r>
  <r>
    <x v="122"/>
    <x v="2"/>
    <x v="2"/>
    <x v="18"/>
    <n v="40"/>
    <n v="0.24"/>
    <n v="0.21"/>
    <n v="0.125"/>
  </r>
  <r>
    <x v="123"/>
    <x v="4"/>
    <x v="3"/>
    <x v="10"/>
    <n v="8"/>
    <n v="2.46"/>
    <n v="2.4"/>
    <n v="2.4390243902439046E-2"/>
  </r>
  <r>
    <x v="123"/>
    <x v="4"/>
    <x v="3"/>
    <x v="10"/>
    <n v="8"/>
    <n v="2.46"/>
    <n v="2.4"/>
    <n v="2.4390243902439046E-2"/>
  </r>
  <r>
    <x v="123"/>
    <x v="4"/>
    <x v="3"/>
    <x v="10"/>
    <n v="8"/>
    <n v="2.46"/>
    <n v="2.4"/>
    <n v="2.4390243902439046E-2"/>
  </r>
  <r>
    <x v="123"/>
    <x v="4"/>
    <x v="3"/>
    <x v="10"/>
    <n v="8"/>
    <n v="2.46"/>
    <n v="2.4"/>
    <n v="2.4390243902439046E-2"/>
  </r>
  <r>
    <x v="123"/>
    <x v="4"/>
    <x v="3"/>
    <x v="10"/>
    <n v="8"/>
    <n v="2.46"/>
    <n v="2.4"/>
    <n v="2.4390243902439046E-2"/>
  </r>
  <r>
    <x v="123"/>
    <x v="4"/>
    <x v="3"/>
    <x v="10"/>
    <n v="8"/>
    <n v="2.46"/>
    <n v="2.4"/>
    <n v="2.4390243902439046E-2"/>
  </r>
  <r>
    <x v="123"/>
    <x v="4"/>
    <x v="3"/>
    <x v="10"/>
    <n v="8"/>
    <n v="2.46"/>
    <n v="2.4"/>
    <n v="2.4390243902439046E-2"/>
  </r>
  <r>
    <x v="123"/>
    <x v="4"/>
    <x v="3"/>
    <x v="10"/>
    <n v="8"/>
    <n v="2.46"/>
    <n v="2.4"/>
    <n v="2.4390243902439046E-2"/>
  </r>
  <r>
    <x v="123"/>
    <x v="4"/>
    <x v="3"/>
    <x v="10"/>
    <n v="8"/>
    <n v="2.46"/>
    <n v="2.4"/>
    <n v="2.4390243902439046E-2"/>
  </r>
  <r>
    <x v="123"/>
    <x v="4"/>
    <x v="3"/>
    <x v="10"/>
    <n v="8"/>
    <n v="2.46"/>
    <n v="2.4"/>
    <n v="2.4390243902439046E-2"/>
  </r>
  <r>
    <x v="124"/>
    <x v="3"/>
    <x v="1"/>
    <x v="1"/>
    <n v="8"/>
    <n v="0.3"/>
    <n v="0.28499999999999998"/>
    <n v="5.0000000000000044E-2"/>
  </r>
  <r>
    <x v="124"/>
    <x v="3"/>
    <x v="1"/>
    <x v="1"/>
    <n v="8"/>
    <n v="0.3"/>
    <n v="0.28499999999999998"/>
    <n v="5.0000000000000044E-2"/>
  </r>
  <r>
    <x v="124"/>
    <x v="3"/>
    <x v="1"/>
    <x v="1"/>
    <n v="8"/>
    <n v="0.3"/>
    <n v="0.28499999999999998"/>
    <n v="5.0000000000000044E-2"/>
  </r>
  <r>
    <x v="124"/>
    <x v="3"/>
    <x v="1"/>
    <x v="1"/>
    <n v="8"/>
    <n v="0.3"/>
    <n v="0.28499999999999998"/>
    <n v="5.0000000000000044E-2"/>
  </r>
  <r>
    <x v="124"/>
    <x v="6"/>
    <x v="5"/>
    <x v="8"/>
    <n v="8"/>
    <n v="3.5"/>
    <n v="3.4"/>
    <n v="2.8571428571428581E-2"/>
  </r>
  <r>
    <x v="125"/>
    <x v="3"/>
    <x v="1"/>
    <x v="10"/>
    <n v="8"/>
    <n v="2.9"/>
    <n v="2.5"/>
    <n v="0.13793103448275856"/>
  </r>
  <r>
    <x v="125"/>
    <x v="3"/>
    <x v="1"/>
    <x v="10"/>
    <n v="8"/>
    <n v="2.9"/>
    <n v="2.5"/>
    <n v="0.13793103448275856"/>
  </r>
  <r>
    <x v="125"/>
    <x v="3"/>
    <x v="1"/>
    <x v="10"/>
    <n v="8"/>
    <n v="2.9"/>
    <n v="2.5"/>
    <n v="0.13793103448275856"/>
  </r>
  <r>
    <x v="125"/>
    <x v="3"/>
    <x v="1"/>
    <x v="1"/>
    <n v="8"/>
    <n v="0.3"/>
    <n v="0.28499999999999998"/>
    <n v="5.0000000000000044E-2"/>
  </r>
  <r>
    <x v="125"/>
    <x v="3"/>
    <x v="1"/>
    <x v="1"/>
    <n v="8"/>
    <n v="0.3"/>
    <n v="0.28499999999999998"/>
    <n v="5.0000000000000044E-2"/>
  </r>
  <r>
    <x v="125"/>
    <x v="3"/>
    <x v="1"/>
    <x v="10"/>
    <n v="8"/>
    <n v="2.9"/>
    <n v="2.5"/>
    <n v="0.13793103448275856"/>
  </r>
  <r>
    <x v="125"/>
    <x v="3"/>
    <x v="1"/>
    <x v="1"/>
    <n v="8"/>
    <n v="0.3"/>
    <n v="0.28499999999999998"/>
    <n v="5.0000000000000044E-2"/>
  </r>
  <r>
    <x v="125"/>
    <x v="3"/>
    <x v="1"/>
    <x v="1"/>
    <n v="8"/>
    <n v="0.3"/>
    <n v="0.28499999999999998"/>
    <n v="5.0000000000000044E-2"/>
  </r>
  <r>
    <x v="125"/>
    <x v="3"/>
    <x v="1"/>
    <x v="10"/>
    <n v="8"/>
    <n v="2.9"/>
    <n v="2.5"/>
    <n v="0.13793103448275856"/>
  </r>
  <r>
    <x v="125"/>
    <x v="3"/>
    <x v="1"/>
    <x v="1"/>
    <n v="8"/>
    <n v="0.3"/>
    <n v="0.28499999999999998"/>
    <n v="5.0000000000000044E-2"/>
  </r>
  <r>
    <x v="125"/>
    <x v="3"/>
    <x v="1"/>
    <x v="1"/>
    <n v="8"/>
    <n v="0.3"/>
    <n v="0.28499999999999998"/>
    <n v="5.0000000000000044E-2"/>
  </r>
  <r>
    <x v="125"/>
    <x v="0"/>
    <x v="0"/>
    <x v="1"/>
    <n v="8"/>
    <n v="0.3"/>
    <n v="0.28499999999999998"/>
    <n v="5.0000000000000044E-2"/>
  </r>
  <r>
    <x v="125"/>
    <x v="3"/>
    <x v="1"/>
    <x v="1"/>
    <n v="8"/>
    <n v="0.55000000000000004"/>
    <n v="0.48099999999999998"/>
    <n v="0.1254545454545456"/>
  </r>
  <r>
    <x v="125"/>
    <x v="3"/>
    <x v="1"/>
    <x v="11"/>
    <n v="1"/>
    <n v="0.3"/>
    <n v="0.26300000000000001"/>
    <n v="0.12333333333333329"/>
  </r>
  <r>
    <x v="125"/>
    <x v="3"/>
    <x v="1"/>
    <x v="10"/>
    <n v="8"/>
    <n v="2.9"/>
    <n v="2.5"/>
    <n v="0.13793103448275856"/>
  </r>
  <r>
    <x v="126"/>
    <x v="3"/>
    <x v="1"/>
    <x v="11"/>
    <n v="1"/>
    <n v="0.3"/>
    <n v="0.26300000000000001"/>
    <n v="0.12333333333333329"/>
  </r>
  <r>
    <x v="126"/>
    <x v="2"/>
    <x v="2"/>
    <x v="10"/>
    <n v="8"/>
    <n v="2.35"/>
    <n v="2.25"/>
    <n v="4.2553191489361764E-2"/>
  </r>
  <r>
    <x v="126"/>
    <x v="3"/>
    <x v="1"/>
    <x v="11"/>
    <n v="1"/>
    <n v="0.3"/>
    <n v="0.26300000000000001"/>
    <n v="0.12333333333333329"/>
  </r>
  <r>
    <x v="126"/>
    <x v="3"/>
    <x v="1"/>
    <x v="11"/>
    <n v="1"/>
    <n v="0.3"/>
    <n v="0.26300000000000001"/>
    <n v="0.12333333333333329"/>
  </r>
  <r>
    <x v="126"/>
    <x v="3"/>
    <x v="1"/>
    <x v="11"/>
    <n v="1"/>
    <n v="0.3"/>
    <n v="0.26300000000000001"/>
    <n v="0.12333333333333329"/>
  </r>
  <r>
    <x v="126"/>
    <x v="3"/>
    <x v="1"/>
    <x v="11"/>
    <n v="1"/>
    <n v="0.3"/>
    <n v="0.26300000000000001"/>
    <n v="0.12333333333333329"/>
  </r>
  <r>
    <x v="126"/>
    <x v="2"/>
    <x v="2"/>
    <x v="10"/>
    <n v="8"/>
    <n v="2.35"/>
    <n v="2.25"/>
    <n v="4.2553191489361764E-2"/>
  </r>
  <r>
    <x v="126"/>
    <x v="3"/>
    <x v="1"/>
    <x v="11"/>
    <n v="1"/>
    <n v="0.3"/>
    <n v="0.26300000000000001"/>
    <n v="0.12333333333333329"/>
  </r>
  <r>
    <x v="126"/>
    <x v="3"/>
    <x v="1"/>
    <x v="11"/>
    <n v="1"/>
    <n v="0.3"/>
    <n v="0.26300000000000001"/>
    <n v="0.12333333333333329"/>
  </r>
  <r>
    <x v="126"/>
    <x v="3"/>
    <x v="1"/>
    <x v="11"/>
    <n v="1"/>
    <n v="0.3"/>
    <n v="0.26300000000000001"/>
    <n v="0.12333333333333329"/>
  </r>
  <r>
    <x v="126"/>
    <x v="3"/>
    <x v="1"/>
    <x v="11"/>
    <n v="1"/>
    <n v="0.3"/>
    <n v="0.26300000000000001"/>
    <n v="0.12333333333333329"/>
  </r>
  <r>
    <x v="126"/>
    <x v="2"/>
    <x v="2"/>
    <x v="10"/>
    <n v="8"/>
    <n v="2.35"/>
    <n v="2.25"/>
    <n v="4.2553191489361764E-2"/>
  </r>
  <r>
    <x v="126"/>
    <x v="3"/>
    <x v="1"/>
    <x v="11"/>
    <n v="1"/>
    <n v="0.3"/>
    <n v="0.26300000000000001"/>
    <n v="0.12333333333333329"/>
  </r>
  <r>
    <x v="126"/>
    <x v="2"/>
    <x v="2"/>
    <x v="20"/>
    <n v="8"/>
    <n v="0.85"/>
    <n v="0.75"/>
    <n v="0.11764705882352944"/>
  </r>
  <r>
    <x v="126"/>
    <x v="3"/>
    <x v="1"/>
    <x v="11"/>
    <n v="1"/>
    <n v="0.3"/>
    <n v="0.26300000000000001"/>
    <n v="0.12333333333333329"/>
  </r>
  <r>
    <x v="126"/>
    <x v="3"/>
    <x v="1"/>
    <x v="11"/>
    <n v="1"/>
    <n v="0.3"/>
    <n v="0.26300000000000001"/>
    <n v="0.12333333333333329"/>
  </r>
  <r>
    <x v="126"/>
    <x v="3"/>
    <x v="1"/>
    <x v="11"/>
    <n v="1"/>
    <n v="0.3"/>
    <n v="0.26300000000000001"/>
    <n v="0.12333333333333329"/>
  </r>
  <r>
    <x v="126"/>
    <x v="3"/>
    <x v="1"/>
    <x v="11"/>
    <n v="1"/>
    <n v="0.3"/>
    <n v="0.26300000000000001"/>
    <n v="0.12333333333333329"/>
  </r>
  <r>
    <x v="126"/>
    <x v="2"/>
    <x v="2"/>
    <x v="10"/>
    <n v="8"/>
    <n v="2.6"/>
    <n v="2.4"/>
    <n v="7.6923076923076983E-2"/>
  </r>
  <r>
    <x v="126"/>
    <x v="3"/>
    <x v="1"/>
    <x v="11"/>
    <n v="1"/>
    <n v="0.3"/>
    <n v="0.26300000000000001"/>
    <n v="0.12333333333333329"/>
  </r>
  <r>
    <x v="126"/>
    <x v="3"/>
    <x v="1"/>
    <x v="11"/>
    <n v="1"/>
    <n v="0.3"/>
    <n v="0.26300000000000001"/>
    <n v="0.12333333333333329"/>
  </r>
  <r>
    <x v="126"/>
    <x v="3"/>
    <x v="1"/>
    <x v="11"/>
    <n v="1"/>
    <n v="0.3"/>
    <n v="0.26300000000000001"/>
    <n v="0.12333333333333329"/>
  </r>
  <r>
    <x v="126"/>
    <x v="3"/>
    <x v="1"/>
    <x v="11"/>
    <n v="1"/>
    <n v="0.3"/>
    <n v="0.26300000000000001"/>
    <n v="0.12333333333333329"/>
  </r>
  <r>
    <x v="126"/>
    <x v="2"/>
    <x v="2"/>
    <x v="10"/>
    <n v="8"/>
    <n v="2.6"/>
    <n v="2.4"/>
    <n v="7.6923076923076983E-2"/>
  </r>
  <r>
    <x v="126"/>
    <x v="3"/>
    <x v="1"/>
    <x v="11"/>
    <n v="1"/>
    <n v="0.3"/>
    <n v="0.26300000000000001"/>
    <n v="0.12333333333333329"/>
  </r>
  <r>
    <x v="126"/>
    <x v="3"/>
    <x v="1"/>
    <x v="11"/>
    <n v="1"/>
    <n v="0.3"/>
    <n v="0.26300000000000001"/>
    <n v="0.12333333333333329"/>
  </r>
  <r>
    <x v="126"/>
    <x v="3"/>
    <x v="1"/>
    <x v="11"/>
    <n v="1"/>
    <n v="0.3"/>
    <n v="0.26300000000000001"/>
    <n v="0.12333333333333329"/>
  </r>
  <r>
    <x v="126"/>
    <x v="3"/>
    <x v="1"/>
    <x v="11"/>
    <n v="1"/>
    <n v="0.3"/>
    <n v="0.26300000000000001"/>
    <n v="0.12333333333333329"/>
  </r>
  <r>
    <x v="126"/>
    <x v="2"/>
    <x v="2"/>
    <x v="10"/>
    <n v="8"/>
    <n v="2.6"/>
    <n v="2.4"/>
    <n v="7.6923076923076983E-2"/>
  </r>
  <r>
    <x v="126"/>
    <x v="3"/>
    <x v="1"/>
    <x v="11"/>
    <n v="1"/>
    <n v="0.3"/>
    <n v="0.26300000000000001"/>
    <n v="0.12333333333333329"/>
  </r>
  <r>
    <x v="126"/>
    <x v="3"/>
    <x v="1"/>
    <x v="11"/>
    <n v="1"/>
    <n v="0.3"/>
    <n v="0.26300000000000001"/>
    <n v="0.12333333333333329"/>
  </r>
  <r>
    <x v="126"/>
    <x v="3"/>
    <x v="1"/>
    <x v="11"/>
    <n v="1"/>
    <n v="0.3"/>
    <n v="0.26300000000000001"/>
    <n v="0.12333333333333329"/>
  </r>
  <r>
    <x v="126"/>
    <x v="3"/>
    <x v="1"/>
    <x v="11"/>
    <n v="1"/>
    <n v="0.3"/>
    <n v="0.26300000000000001"/>
    <n v="0.12333333333333329"/>
  </r>
  <r>
    <x v="126"/>
    <x v="2"/>
    <x v="2"/>
    <x v="10"/>
    <n v="8"/>
    <n v="2.6"/>
    <n v="2.4"/>
    <n v="7.6923076923076983E-2"/>
  </r>
  <r>
    <x v="126"/>
    <x v="2"/>
    <x v="2"/>
    <x v="20"/>
    <n v="8"/>
    <n v="0.85"/>
    <n v="0.75"/>
    <n v="0.11764705882352944"/>
  </r>
  <r>
    <x v="126"/>
    <x v="3"/>
    <x v="1"/>
    <x v="11"/>
    <n v="1"/>
    <n v="0.3"/>
    <n v="0.26300000000000001"/>
    <n v="0.12333333333333329"/>
  </r>
  <r>
    <x v="127"/>
    <x v="3"/>
    <x v="1"/>
    <x v="1"/>
    <n v="8"/>
    <n v="0.3"/>
    <n v="0.28499999999999998"/>
    <n v="5.0000000000000044E-2"/>
  </r>
  <r>
    <x v="127"/>
    <x v="3"/>
    <x v="1"/>
    <x v="1"/>
    <n v="8"/>
    <n v="0.3"/>
    <n v="0.28499999999999998"/>
    <n v="5.0000000000000044E-2"/>
  </r>
  <r>
    <x v="127"/>
    <x v="3"/>
    <x v="1"/>
    <x v="1"/>
    <n v="8"/>
    <n v="0.3"/>
    <n v="0.28499999999999998"/>
    <n v="5.0000000000000044E-2"/>
  </r>
  <r>
    <x v="127"/>
    <x v="3"/>
    <x v="1"/>
    <x v="1"/>
    <n v="8"/>
    <n v="0.3"/>
    <n v="0.28499999999999998"/>
    <n v="5.0000000000000044E-2"/>
  </r>
  <r>
    <x v="127"/>
    <x v="3"/>
    <x v="1"/>
    <x v="1"/>
    <n v="8"/>
    <n v="0.3"/>
    <n v="0.28499999999999998"/>
    <n v="5.0000000000000044E-2"/>
  </r>
  <r>
    <x v="127"/>
    <x v="3"/>
    <x v="1"/>
    <x v="1"/>
    <n v="8"/>
    <n v="0.3"/>
    <n v="0.28499999999999998"/>
    <n v="5.0000000000000044E-2"/>
  </r>
  <r>
    <x v="127"/>
    <x v="3"/>
    <x v="1"/>
    <x v="1"/>
    <n v="8"/>
    <n v="0.3"/>
    <n v="0.28499999999999998"/>
    <n v="5.0000000000000044E-2"/>
  </r>
  <r>
    <x v="127"/>
    <x v="3"/>
    <x v="1"/>
    <x v="1"/>
    <n v="8"/>
    <n v="0.3"/>
    <n v="0.28499999999999998"/>
    <n v="5.0000000000000044E-2"/>
  </r>
  <r>
    <x v="127"/>
    <x v="3"/>
    <x v="1"/>
    <x v="1"/>
    <n v="8"/>
    <n v="0.3"/>
    <n v="0.28499999999999998"/>
    <n v="5.0000000000000044E-2"/>
  </r>
  <r>
    <x v="127"/>
    <x v="3"/>
    <x v="1"/>
    <x v="1"/>
    <n v="8"/>
    <n v="0.3"/>
    <n v="0.28499999999999998"/>
    <n v="5.0000000000000044E-2"/>
  </r>
  <r>
    <x v="127"/>
    <x v="3"/>
    <x v="1"/>
    <x v="1"/>
    <n v="8"/>
    <n v="0.3"/>
    <n v="0.28499999999999998"/>
    <n v="5.0000000000000044E-2"/>
  </r>
  <r>
    <x v="127"/>
    <x v="3"/>
    <x v="1"/>
    <x v="1"/>
    <n v="8"/>
    <n v="0.3"/>
    <n v="0.28499999999999998"/>
    <n v="5.0000000000000044E-2"/>
  </r>
  <r>
    <x v="128"/>
    <x v="23"/>
    <x v="11"/>
    <x v="4"/>
    <n v="16"/>
    <n v="2.66"/>
    <n v="2.5099999999999998"/>
    <n v="5.6390977443609103E-2"/>
  </r>
  <r>
    <x v="128"/>
    <x v="23"/>
    <x v="11"/>
    <x v="4"/>
    <n v="16"/>
    <n v="2.66"/>
    <n v="2.5099999999999998"/>
    <n v="5.6390977443609103E-2"/>
  </r>
  <r>
    <x v="128"/>
    <x v="23"/>
    <x v="11"/>
    <x v="4"/>
    <n v="16"/>
    <n v="2.66"/>
    <n v="2.5099999999999998"/>
    <n v="5.6390977443609103E-2"/>
  </r>
  <r>
    <x v="128"/>
    <x v="23"/>
    <x v="11"/>
    <x v="4"/>
    <n v="16"/>
    <n v="2.66"/>
    <n v="2.5099999999999998"/>
    <n v="5.6390977443609103E-2"/>
  </r>
  <r>
    <x v="128"/>
    <x v="23"/>
    <x v="11"/>
    <x v="4"/>
    <n v="16"/>
    <n v="2.66"/>
    <n v="2.5099999999999998"/>
    <n v="5.6390977443609103E-2"/>
  </r>
  <r>
    <x v="128"/>
    <x v="23"/>
    <x v="11"/>
    <x v="4"/>
    <n v="16"/>
    <n v="2.66"/>
    <n v="2.5099999999999998"/>
    <n v="5.6390977443609103E-2"/>
  </r>
  <r>
    <x v="128"/>
    <x v="2"/>
    <x v="2"/>
    <x v="25"/>
    <n v="8"/>
    <n v="0.57999999999999996"/>
    <n v="0.52"/>
    <n v="0.10344827586206884"/>
  </r>
  <r>
    <x v="129"/>
    <x v="3"/>
    <x v="1"/>
    <x v="11"/>
    <n v="1"/>
    <n v="0.3"/>
    <n v="0.26300000000000001"/>
    <n v="0.12333333333333329"/>
  </r>
  <r>
    <x v="129"/>
    <x v="3"/>
    <x v="1"/>
    <x v="11"/>
    <n v="1"/>
    <n v="0.3"/>
    <n v="0.26300000000000001"/>
    <n v="0.12333333333333329"/>
  </r>
  <r>
    <x v="130"/>
    <x v="2"/>
    <x v="2"/>
    <x v="18"/>
    <n v="16"/>
    <n v="0.3"/>
    <n v="0.26"/>
    <n v="0.1333333333333333"/>
  </r>
  <r>
    <x v="130"/>
    <x v="2"/>
    <x v="2"/>
    <x v="18"/>
    <n v="16"/>
    <n v="0.3"/>
    <n v="0.26"/>
    <n v="0.1333333333333333"/>
  </r>
  <r>
    <x v="130"/>
    <x v="2"/>
    <x v="2"/>
    <x v="18"/>
    <n v="16"/>
    <n v="0.3"/>
    <n v="0.26"/>
    <n v="0.1333333333333333"/>
  </r>
  <r>
    <x v="130"/>
    <x v="2"/>
    <x v="2"/>
    <x v="18"/>
    <n v="16"/>
    <n v="0.3"/>
    <n v="0.26"/>
    <n v="0.1333333333333333"/>
  </r>
  <r>
    <x v="130"/>
    <x v="2"/>
    <x v="2"/>
    <x v="2"/>
    <n v="24"/>
    <n v="0.55000000000000004"/>
    <n v="0.47"/>
    <n v="0.14545454545454561"/>
  </r>
  <r>
    <x v="130"/>
    <x v="2"/>
    <x v="2"/>
    <x v="18"/>
    <n v="16"/>
    <n v="0.3"/>
    <n v="0.26"/>
    <n v="0.1333333333333333"/>
  </r>
  <r>
    <x v="131"/>
    <x v="3"/>
    <x v="1"/>
    <x v="11"/>
    <n v="1"/>
    <n v="0.34"/>
    <n v="0.29799999999999999"/>
    <n v="0.123529411764706"/>
  </r>
  <r>
    <x v="132"/>
    <x v="11"/>
    <x v="8"/>
    <x v="4"/>
    <n v="1008"/>
    <n v="2.12"/>
    <n v="2.12"/>
    <n v="0"/>
  </r>
  <r>
    <x v="132"/>
    <x v="11"/>
    <x v="8"/>
    <x v="4"/>
    <n v="1008"/>
    <n v="2.61"/>
    <n v="2.5299999999999998"/>
    <n v="3.0651340996168619E-2"/>
  </r>
  <r>
    <x v="132"/>
    <x v="11"/>
    <x v="8"/>
    <x v="4"/>
    <n v="1008"/>
    <n v="2.12"/>
    <n v="2.12"/>
    <n v="0"/>
  </r>
  <r>
    <x v="132"/>
    <x v="2"/>
    <x v="2"/>
    <x v="4"/>
    <n v="24"/>
    <n v="2.4"/>
    <n v="2.1"/>
    <n v="0.12499999999999989"/>
  </r>
  <r>
    <x v="132"/>
    <x v="11"/>
    <x v="8"/>
    <x v="4"/>
    <n v="1008"/>
    <n v="2.61"/>
    <n v="2.5299999999999998"/>
    <n v="3.0651340996168619E-2"/>
  </r>
  <r>
    <x v="132"/>
    <x v="2"/>
    <x v="2"/>
    <x v="4"/>
    <n v="24"/>
    <n v="2.4"/>
    <n v="2.1"/>
    <n v="0.12499999999999989"/>
  </r>
  <r>
    <x v="132"/>
    <x v="11"/>
    <x v="8"/>
    <x v="4"/>
    <n v="1008"/>
    <n v="2.61"/>
    <n v="2.5299999999999998"/>
    <n v="3.0651340996168619E-2"/>
  </r>
  <r>
    <x v="132"/>
    <x v="2"/>
    <x v="2"/>
    <x v="4"/>
    <n v="24"/>
    <n v="2.4"/>
    <n v="2.1"/>
    <n v="0.12499999999999989"/>
  </r>
  <r>
    <x v="132"/>
    <x v="2"/>
    <x v="2"/>
    <x v="4"/>
    <n v="24"/>
    <n v="2.4"/>
    <n v="2.1"/>
    <n v="0.12499999999999989"/>
  </r>
  <r>
    <x v="132"/>
    <x v="11"/>
    <x v="8"/>
    <x v="4"/>
    <n v="1008"/>
    <n v="2.61"/>
    <n v="2.5299999999999998"/>
    <n v="3.0651340996168619E-2"/>
  </r>
  <r>
    <x v="132"/>
    <x v="11"/>
    <x v="8"/>
    <x v="4"/>
    <n v="1008"/>
    <n v="2.61"/>
    <n v="2.5299999999999998"/>
    <n v="3.0651340996168619E-2"/>
  </r>
  <r>
    <x v="132"/>
    <x v="2"/>
    <x v="2"/>
    <x v="4"/>
    <n v="24"/>
    <n v="2.4"/>
    <n v="2.1"/>
    <n v="0.12499999999999989"/>
  </r>
  <r>
    <x v="132"/>
    <x v="11"/>
    <x v="8"/>
    <x v="4"/>
    <n v="1008"/>
    <n v="2.61"/>
    <n v="2.5299999999999998"/>
    <n v="3.0651340996168619E-2"/>
  </r>
  <r>
    <x v="132"/>
    <x v="2"/>
    <x v="2"/>
    <x v="4"/>
    <n v="24"/>
    <n v="2.4"/>
    <n v="2.1"/>
    <n v="0.12499999999999989"/>
  </r>
  <r>
    <x v="133"/>
    <x v="24"/>
    <x v="7"/>
    <x v="10"/>
    <n v="16"/>
    <n v="2.2000000000000002"/>
    <n v="1.8"/>
    <n v="0.18181818181818188"/>
  </r>
  <r>
    <x v="134"/>
    <x v="3"/>
    <x v="1"/>
    <x v="11"/>
    <n v="1"/>
    <n v="0.34"/>
    <n v="0.29799999999999999"/>
    <n v="0.123529411764706"/>
  </r>
  <r>
    <x v="135"/>
    <x v="3"/>
    <x v="1"/>
    <x v="11"/>
    <n v="1"/>
    <n v="0.3"/>
    <n v="0.26300000000000001"/>
    <n v="0.12333333333333329"/>
  </r>
  <r>
    <x v="135"/>
    <x v="3"/>
    <x v="1"/>
    <x v="11"/>
    <n v="1"/>
    <n v="0.3"/>
    <n v="0.26300000000000001"/>
    <n v="0.12333333333333329"/>
  </r>
  <r>
    <x v="135"/>
    <x v="3"/>
    <x v="1"/>
    <x v="11"/>
    <n v="1"/>
    <n v="0.3"/>
    <n v="0.26300000000000001"/>
    <n v="0.12333333333333329"/>
  </r>
  <r>
    <x v="135"/>
    <x v="3"/>
    <x v="1"/>
    <x v="11"/>
    <n v="1"/>
    <n v="0.3"/>
    <n v="0.26300000000000001"/>
    <n v="0.12333333333333329"/>
  </r>
  <r>
    <x v="135"/>
    <x v="3"/>
    <x v="1"/>
    <x v="11"/>
    <n v="1"/>
    <n v="0.3"/>
    <n v="0.26300000000000001"/>
    <n v="0.12333333333333329"/>
  </r>
  <r>
    <x v="135"/>
    <x v="3"/>
    <x v="1"/>
    <x v="11"/>
    <n v="1"/>
    <n v="0.3"/>
    <n v="0.26300000000000001"/>
    <n v="0.12333333333333329"/>
  </r>
  <r>
    <x v="135"/>
    <x v="3"/>
    <x v="1"/>
    <x v="11"/>
    <n v="1"/>
    <n v="0.3"/>
    <n v="0.26300000000000001"/>
    <n v="0.12333333333333329"/>
  </r>
  <r>
    <x v="135"/>
    <x v="3"/>
    <x v="1"/>
    <x v="11"/>
    <n v="1"/>
    <n v="0.3"/>
    <n v="0.26300000000000001"/>
    <n v="0.12333333333333329"/>
  </r>
  <r>
    <x v="135"/>
    <x v="3"/>
    <x v="1"/>
    <x v="11"/>
    <n v="1"/>
    <n v="0.3"/>
    <n v="0.26300000000000001"/>
    <n v="0.12333333333333329"/>
  </r>
  <r>
    <x v="135"/>
    <x v="3"/>
    <x v="1"/>
    <x v="11"/>
    <n v="1"/>
    <n v="0.3"/>
    <n v="0.26300000000000001"/>
    <n v="0.12333333333333329"/>
  </r>
  <r>
    <x v="135"/>
    <x v="3"/>
    <x v="1"/>
    <x v="11"/>
    <n v="1"/>
    <n v="0.3"/>
    <n v="0.26300000000000001"/>
    <n v="0.12333333333333329"/>
  </r>
  <r>
    <x v="135"/>
    <x v="3"/>
    <x v="1"/>
    <x v="11"/>
    <n v="1"/>
    <n v="0.3"/>
    <n v="0.26300000000000001"/>
    <n v="0.12333333333333329"/>
  </r>
  <r>
    <x v="136"/>
    <x v="0"/>
    <x v="0"/>
    <x v="23"/>
    <n v="4"/>
    <n v="7.0000000000000007E-2"/>
    <n v="7.0000000000000007E-2"/>
    <n v="0"/>
  </r>
  <r>
    <x v="136"/>
    <x v="0"/>
    <x v="0"/>
    <x v="23"/>
    <n v="4"/>
    <n v="7.0000000000000007E-2"/>
    <n v="7.0000000000000007E-2"/>
    <n v="0"/>
  </r>
  <r>
    <x v="136"/>
    <x v="0"/>
    <x v="0"/>
    <x v="23"/>
    <n v="4"/>
    <n v="7.0000000000000007E-2"/>
    <n v="7.0000000000000007E-2"/>
    <n v="0"/>
  </r>
  <r>
    <x v="136"/>
    <x v="0"/>
    <x v="0"/>
    <x v="23"/>
    <n v="4"/>
    <n v="7.0000000000000007E-2"/>
    <n v="7.0000000000000007E-2"/>
    <n v="0"/>
  </r>
  <r>
    <x v="136"/>
    <x v="0"/>
    <x v="0"/>
    <x v="23"/>
    <n v="4"/>
    <n v="7.0000000000000007E-2"/>
    <n v="7.0000000000000007E-2"/>
    <n v="0"/>
  </r>
  <r>
    <x v="136"/>
    <x v="0"/>
    <x v="0"/>
    <x v="23"/>
    <n v="4"/>
    <n v="7.0000000000000007E-2"/>
    <n v="7.0000000000000007E-2"/>
    <n v="0"/>
  </r>
  <r>
    <x v="136"/>
    <x v="0"/>
    <x v="0"/>
    <x v="23"/>
    <n v="4"/>
    <n v="7.0000000000000007E-2"/>
    <n v="7.0000000000000007E-2"/>
    <n v="0"/>
  </r>
  <r>
    <x v="136"/>
    <x v="0"/>
    <x v="0"/>
    <x v="23"/>
    <n v="4"/>
    <n v="7.0000000000000007E-2"/>
    <n v="7.0000000000000007E-2"/>
    <n v="0"/>
  </r>
  <r>
    <x v="136"/>
    <x v="3"/>
    <x v="1"/>
    <x v="11"/>
    <n v="1"/>
    <n v="0.3"/>
    <n v="0.26300000000000001"/>
    <n v="0.12333333333333329"/>
  </r>
  <r>
    <x v="137"/>
    <x v="6"/>
    <x v="5"/>
    <x v="10"/>
    <n v="64"/>
    <n v="2.8"/>
    <n v="2.5"/>
    <n v="0.1071428571428571"/>
  </r>
  <r>
    <x v="138"/>
    <x v="0"/>
    <x v="0"/>
    <x v="10"/>
    <n v="48"/>
    <n v="2.15"/>
    <n v="1.8"/>
    <n v="0.16279069767441856"/>
  </r>
  <r>
    <x v="139"/>
    <x v="7"/>
    <x v="6"/>
    <x v="4"/>
    <n v="40"/>
    <n v="2.15"/>
    <n v="2.0499999999999998"/>
    <n v="4.6511627906976827E-2"/>
  </r>
  <r>
    <x v="140"/>
    <x v="25"/>
    <x v="7"/>
    <x v="10"/>
    <n v="8"/>
    <n v="2.25"/>
    <n v="2.1"/>
    <n v="6.6666666666666652E-2"/>
  </r>
  <r>
    <x v="140"/>
    <x v="25"/>
    <x v="7"/>
    <x v="10"/>
    <n v="8"/>
    <n v="2.25"/>
    <n v="2.1"/>
    <n v="6.6666666666666652E-2"/>
  </r>
  <r>
    <x v="140"/>
    <x v="25"/>
    <x v="7"/>
    <x v="10"/>
    <n v="8"/>
    <n v="2.25"/>
    <n v="2.1"/>
    <n v="6.6666666666666652E-2"/>
  </r>
  <r>
    <x v="140"/>
    <x v="25"/>
    <x v="7"/>
    <x v="10"/>
    <n v="8"/>
    <n v="2.25"/>
    <n v="2.1"/>
    <n v="6.6666666666666652E-2"/>
  </r>
  <r>
    <x v="141"/>
    <x v="24"/>
    <x v="7"/>
    <x v="10"/>
    <n v="8"/>
    <n v="2.7"/>
    <n v="2.5"/>
    <n v="7.4074074074074181E-2"/>
  </r>
  <r>
    <x v="142"/>
    <x v="0"/>
    <x v="0"/>
    <x v="11"/>
    <n v="1"/>
    <n v="0.3"/>
    <n v="0.26300000000000001"/>
    <n v="0.12333333333333329"/>
  </r>
  <r>
    <x v="143"/>
    <x v="3"/>
    <x v="1"/>
    <x v="11"/>
    <n v="1"/>
    <n v="0.3"/>
    <n v="0.26300000000000001"/>
    <n v="0.12333333333333329"/>
  </r>
  <r>
    <x v="143"/>
    <x v="3"/>
    <x v="1"/>
    <x v="11"/>
    <n v="1"/>
    <n v="0.3"/>
    <n v="0.26300000000000001"/>
    <n v="0.12333333333333329"/>
  </r>
  <r>
    <x v="143"/>
    <x v="3"/>
    <x v="1"/>
    <x v="11"/>
    <n v="1"/>
    <n v="0.3"/>
    <n v="0.26300000000000001"/>
    <n v="0.12333333333333329"/>
  </r>
  <r>
    <x v="143"/>
    <x v="3"/>
    <x v="1"/>
    <x v="11"/>
    <n v="1"/>
    <n v="0.3"/>
    <n v="0.26300000000000001"/>
    <n v="0.12333333333333329"/>
  </r>
  <r>
    <x v="143"/>
    <x v="3"/>
    <x v="1"/>
    <x v="11"/>
    <n v="1"/>
    <n v="0.3"/>
    <n v="0.26300000000000001"/>
    <n v="0.12333333333333329"/>
  </r>
  <r>
    <x v="143"/>
    <x v="3"/>
    <x v="1"/>
    <x v="11"/>
    <n v="1"/>
    <n v="0.3"/>
    <n v="0.26300000000000001"/>
    <n v="0.12333333333333329"/>
  </r>
  <r>
    <x v="143"/>
    <x v="3"/>
    <x v="1"/>
    <x v="11"/>
    <n v="1"/>
    <n v="0.3"/>
    <n v="0.26300000000000001"/>
    <n v="0.12333333333333329"/>
  </r>
  <r>
    <x v="143"/>
    <x v="3"/>
    <x v="1"/>
    <x v="11"/>
    <n v="1"/>
    <n v="0.3"/>
    <n v="0.26300000000000001"/>
    <n v="0.12333333333333329"/>
  </r>
  <r>
    <x v="143"/>
    <x v="13"/>
    <x v="7"/>
    <x v="10"/>
    <n v="8"/>
    <n v="2.25"/>
    <n v="2"/>
    <n v="0.11111111111111116"/>
  </r>
  <r>
    <x v="144"/>
    <x v="3"/>
    <x v="1"/>
    <x v="1"/>
    <n v="8"/>
    <n v="0.57999999999999996"/>
    <n v="0.50800000000000001"/>
    <n v="0.12413793103448267"/>
  </r>
  <r>
    <x v="144"/>
    <x v="9"/>
    <x v="1"/>
    <x v="10"/>
    <n v="64"/>
    <n v="1.85"/>
    <n v="1.5"/>
    <n v="0.18918918918918926"/>
  </r>
  <r>
    <x v="145"/>
    <x v="3"/>
    <x v="1"/>
    <x v="1"/>
    <n v="8"/>
    <n v="0.57999999999999996"/>
    <n v="0.50800000000000001"/>
    <n v="0.12413793103448267"/>
  </r>
  <r>
    <x v="145"/>
    <x v="3"/>
    <x v="1"/>
    <x v="1"/>
    <n v="8"/>
    <n v="0.57999999999999996"/>
    <n v="0.50800000000000001"/>
    <n v="0.12413793103448267"/>
  </r>
  <r>
    <x v="145"/>
    <x v="3"/>
    <x v="1"/>
    <x v="1"/>
    <n v="8"/>
    <n v="0.57999999999999996"/>
    <n v="0.50800000000000001"/>
    <n v="0.12413793103448267"/>
  </r>
  <r>
    <x v="145"/>
    <x v="3"/>
    <x v="1"/>
    <x v="1"/>
    <n v="8"/>
    <n v="0.57999999999999996"/>
    <n v="0.50800000000000001"/>
    <n v="0.12413793103448267"/>
  </r>
  <r>
    <x v="145"/>
    <x v="3"/>
    <x v="1"/>
    <x v="1"/>
    <n v="8"/>
    <n v="0.57999999999999996"/>
    <n v="0.50800000000000001"/>
    <n v="0.12413793103448267"/>
  </r>
  <r>
    <x v="145"/>
    <x v="3"/>
    <x v="1"/>
    <x v="1"/>
    <n v="8"/>
    <n v="0.57999999999999996"/>
    <n v="0.50800000000000001"/>
    <n v="0.12413793103448267"/>
  </r>
  <r>
    <x v="145"/>
    <x v="3"/>
    <x v="1"/>
    <x v="1"/>
    <n v="8"/>
    <n v="0.57999999999999996"/>
    <n v="0.50800000000000001"/>
    <n v="0.12413793103448267"/>
  </r>
  <r>
    <x v="145"/>
    <x v="3"/>
    <x v="1"/>
    <x v="1"/>
    <n v="8"/>
    <n v="0.57999999999999996"/>
    <n v="0.50800000000000001"/>
    <n v="0.12413793103448267"/>
  </r>
  <r>
    <x v="145"/>
    <x v="3"/>
    <x v="1"/>
    <x v="1"/>
    <n v="8"/>
    <n v="0.57999999999999996"/>
    <n v="0.50800000000000001"/>
    <n v="0.12413793103448267"/>
  </r>
  <r>
    <x v="145"/>
    <x v="3"/>
    <x v="1"/>
    <x v="1"/>
    <n v="8"/>
    <n v="0.57999999999999996"/>
    <n v="0.50800000000000001"/>
    <n v="0.12413793103448267"/>
  </r>
  <r>
    <x v="145"/>
    <x v="3"/>
    <x v="1"/>
    <x v="1"/>
    <n v="8"/>
    <n v="0.57999999999999996"/>
    <n v="0.50800000000000001"/>
    <n v="0.12413793103448267"/>
  </r>
  <r>
    <x v="145"/>
    <x v="3"/>
    <x v="1"/>
    <x v="1"/>
    <n v="8"/>
    <n v="0.57999999999999996"/>
    <n v="0.50800000000000001"/>
    <n v="0.12413793103448267"/>
  </r>
  <r>
    <x v="145"/>
    <x v="3"/>
    <x v="1"/>
    <x v="1"/>
    <n v="8"/>
    <n v="0.57999999999999996"/>
    <n v="0.50800000000000001"/>
    <n v="0.12413793103448267"/>
  </r>
  <r>
    <x v="145"/>
    <x v="3"/>
    <x v="1"/>
    <x v="1"/>
    <n v="8"/>
    <n v="0.57999999999999996"/>
    <n v="0.50800000000000001"/>
    <n v="0.12413793103448267"/>
  </r>
  <r>
    <x v="145"/>
    <x v="3"/>
    <x v="1"/>
    <x v="1"/>
    <n v="8"/>
    <n v="0.6"/>
    <n v="0.52500000000000002"/>
    <n v="0.12499999999999989"/>
  </r>
  <r>
    <x v="145"/>
    <x v="3"/>
    <x v="1"/>
    <x v="11"/>
    <n v="8"/>
    <n v="0.34"/>
    <n v="0.29799999999999999"/>
    <n v="0.123529411764706"/>
  </r>
  <r>
    <x v="145"/>
    <x v="13"/>
    <x v="7"/>
    <x v="10"/>
    <n v="8"/>
    <n v="2.1"/>
    <n v="1.95"/>
    <n v="7.1428571428571508E-2"/>
  </r>
  <r>
    <x v="146"/>
    <x v="9"/>
    <x v="1"/>
    <x v="10"/>
    <n v="8"/>
    <n v="2.35"/>
    <n v="2.1"/>
    <n v="0.1063829787234043"/>
  </r>
  <r>
    <x v="146"/>
    <x v="9"/>
    <x v="1"/>
    <x v="10"/>
    <n v="8"/>
    <n v="2.35"/>
    <n v="2.1"/>
    <n v="0.1063829787234043"/>
  </r>
  <r>
    <x v="146"/>
    <x v="9"/>
    <x v="1"/>
    <x v="10"/>
    <n v="8"/>
    <n v="2.35"/>
    <n v="2.1"/>
    <n v="0.1063829787234043"/>
  </r>
  <r>
    <x v="146"/>
    <x v="9"/>
    <x v="1"/>
    <x v="10"/>
    <n v="8"/>
    <n v="2.35"/>
    <n v="2.1"/>
    <n v="0.1063829787234043"/>
  </r>
  <r>
    <x v="146"/>
    <x v="9"/>
    <x v="1"/>
    <x v="10"/>
    <n v="8"/>
    <n v="2.35"/>
    <n v="2.1"/>
    <n v="0.1063829787234043"/>
  </r>
  <r>
    <x v="146"/>
    <x v="9"/>
    <x v="1"/>
    <x v="10"/>
    <n v="8"/>
    <n v="2.35"/>
    <n v="2.1"/>
    <n v="0.1063829787234043"/>
  </r>
  <r>
    <x v="146"/>
    <x v="9"/>
    <x v="1"/>
    <x v="10"/>
    <n v="8"/>
    <n v="2.35"/>
    <n v="2.1"/>
    <n v="0.1063829787234043"/>
  </r>
  <r>
    <x v="146"/>
    <x v="9"/>
    <x v="1"/>
    <x v="10"/>
    <n v="8"/>
    <n v="2.35"/>
    <n v="2.1"/>
    <n v="0.1063829787234043"/>
  </r>
  <r>
    <x v="146"/>
    <x v="9"/>
    <x v="1"/>
    <x v="10"/>
    <n v="8"/>
    <n v="2.35"/>
    <n v="2.1"/>
    <n v="0.1063829787234043"/>
  </r>
  <r>
    <x v="146"/>
    <x v="9"/>
    <x v="1"/>
    <x v="10"/>
    <n v="8"/>
    <n v="3.15"/>
    <n v="2.7"/>
    <n v="0.14285714285714279"/>
  </r>
  <r>
    <x v="146"/>
    <x v="9"/>
    <x v="1"/>
    <x v="10"/>
    <n v="8"/>
    <n v="3.15"/>
    <n v="2.7"/>
    <n v="0.14285714285714279"/>
  </r>
  <r>
    <x v="147"/>
    <x v="3"/>
    <x v="1"/>
    <x v="1"/>
    <n v="8"/>
    <n v="0.55000000000000004"/>
    <n v="0.48099999999999998"/>
    <n v="0.1254545454545456"/>
  </r>
  <r>
    <x v="147"/>
    <x v="3"/>
    <x v="1"/>
    <x v="1"/>
    <n v="8"/>
    <n v="0.55000000000000004"/>
    <n v="0.48099999999999998"/>
    <n v="0.1254545454545456"/>
  </r>
  <r>
    <x v="147"/>
    <x v="3"/>
    <x v="1"/>
    <x v="1"/>
    <n v="8"/>
    <n v="0.55000000000000004"/>
    <n v="0.48099999999999998"/>
    <n v="0.1254545454545456"/>
  </r>
  <r>
    <x v="147"/>
    <x v="3"/>
    <x v="1"/>
    <x v="1"/>
    <n v="8"/>
    <n v="0.55000000000000004"/>
    <n v="0.48099999999999998"/>
    <n v="0.1254545454545456"/>
  </r>
  <r>
    <x v="147"/>
    <x v="3"/>
    <x v="1"/>
    <x v="1"/>
    <n v="8"/>
    <n v="0.55000000000000004"/>
    <n v="0.48099999999999998"/>
    <n v="0.1254545454545456"/>
  </r>
  <r>
    <x v="147"/>
    <x v="3"/>
    <x v="1"/>
    <x v="1"/>
    <n v="8"/>
    <n v="0.55000000000000004"/>
    <n v="0.48099999999999998"/>
    <n v="0.1254545454545456"/>
  </r>
  <r>
    <x v="147"/>
    <x v="3"/>
    <x v="1"/>
    <x v="1"/>
    <n v="8"/>
    <n v="0.55000000000000004"/>
    <n v="0.48099999999999998"/>
    <n v="0.1254545454545456"/>
  </r>
  <r>
    <x v="147"/>
    <x v="3"/>
    <x v="1"/>
    <x v="1"/>
    <n v="8"/>
    <n v="0.55000000000000004"/>
    <n v="0.48099999999999998"/>
    <n v="0.1254545454545456"/>
  </r>
  <r>
    <x v="147"/>
    <x v="3"/>
    <x v="1"/>
    <x v="1"/>
    <n v="8"/>
    <n v="0.55000000000000004"/>
    <n v="0.48099999999999998"/>
    <n v="0.1254545454545456"/>
  </r>
  <r>
    <x v="147"/>
    <x v="3"/>
    <x v="1"/>
    <x v="15"/>
    <n v="8"/>
    <n v="0.55000000000000004"/>
    <n v="0.48099999999999998"/>
    <n v="0.1254545454545456"/>
  </r>
  <r>
    <x v="147"/>
    <x v="3"/>
    <x v="1"/>
    <x v="1"/>
    <n v="8"/>
    <n v="0.55000000000000004"/>
    <n v="0.48099999999999998"/>
    <n v="0.1254545454545456"/>
  </r>
  <r>
    <x v="147"/>
    <x v="3"/>
    <x v="1"/>
    <x v="1"/>
    <n v="8"/>
    <n v="0.55000000000000004"/>
    <n v="0.48099999999999998"/>
    <n v="0.1254545454545456"/>
  </r>
  <r>
    <x v="147"/>
    <x v="3"/>
    <x v="1"/>
    <x v="1"/>
    <n v="8"/>
    <n v="0.55000000000000004"/>
    <n v="0.48099999999999998"/>
    <n v="0.1254545454545456"/>
  </r>
  <r>
    <x v="148"/>
    <x v="3"/>
    <x v="1"/>
    <x v="11"/>
    <n v="1"/>
    <n v="0.3"/>
    <n v="0.26300000000000001"/>
    <n v="0.12333333333333329"/>
  </r>
  <r>
    <x v="148"/>
    <x v="13"/>
    <x v="7"/>
    <x v="10"/>
    <n v="8"/>
    <n v="2.1"/>
    <n v="1.95"/>
    <n v="7.1428571428571508E-2"/>
  </r>
  <r>
    <x v="149"/>
    <x v="13"/>
    <x v="7"/>
    <x v="10"/>
    <n v="16"/>
    <n v="2.25"/>
    <n v="2"/>
    <n v="0.11111111111111116"/>
  </r>
  <r>
    <x v="149"/>
    <x v="13"/>
    <x v="7"/>
    <x v="10"/>
    <n v="16"/>
    <n v="2.25"/>
    <n v="2"/>
    <n v="0.11111111111111116"/>
  </r>
  <r>
    <x v="149"/>
    <x v="13"/>
    <x v="7"/>
    <x v="10"/>
    <n v="16"/>
    <n v="2.25"/>
    <n v="2"/>
    <n v="0.11111111111111116"/>
  </r>
  <r>
    <x v="149"/>
    <x v="13"/>
    <x v="7"/>
    <x v="10"/>
    <n v="16"/>
    <n v="2.25"/>
    <n v="2"/>
    <n v="0.11111111111111116"/>
  </r>
  <r>
    <x v="149"/>
    <x v="13"/>
    <x v="7"/>
    <x v="10"/>
    <n v="16"/>
    <n v="2.25"/>
    <n v="2"/>
    <n v="0.11111111111111116"/>
  </r>
  <r>
    <x v="149"/>
    <x v="13"/>
    <x v="7"/>
    <x v="10"/>
    <n v="16"/>
    <n v="2.25"/>
    <n v="2"/>
    <n v="0.11111111111111116"/>
  </r>
  <r>
    <x v="149"/>
    <x v="13"/>
    <x v="7"/>
    <x v="10"/>
    <n v="16"/>
    <n v="2.25"/>
    <n v="2"/>
    <n v="0.11111111111111116"/>
  </r>
  <r>
    <x v="149"/>
    <x v="13"/>
    <x v="7"/>
    <x v="10"/>
    <n v="16"/>
    <n v="2.6"/>
    <n v="2.25"/>
    <n v="0.13461538461538469"/>
  </r>
  <r>
    <x v="150"/>
    <x v="2"/>
    <x v="2"/>
    <x v="20"/>
    <n v="144"/>
    <n v="0.85"/>
    <n v="0.75"/>
    <n v="0.11764705882352944"/>
  </r>
  <r>
    <x v="150"/>
    <x v="2"/>
    <x v="2"/>
    <x v="20"/>
    <n v="144"/>
    <n v="0.85"/>
    <n v="0.75"/>
    <n v="0.11764705882352944"/>
  </r>
  <r>
    <x v="150"/>
    <x v="2"/>
    <x v="2"/>
    <x v="20"/>
    <n v="24"/>
    <n v="0.85"/>
    <n v="0.75"/>
    <n v="0.11764705882352944"/>
  </r>
  <r>
    <x v="150"/>
    <x v="2"/>
    <x v="2"/>
    <x v="20"/>
    <n v="120"/>
    <n v="0.85"/>
    <n v="0.75"/>
    <n v="0.11764705882352944"/>
  </r>
  <r>
    <x v="150"/>
    <x v="2"/>
    <x v="2"/>
    <x v="20"/>
    <n v="128"/>
    <n v="0.85"/>
    <n v="0.75"/>
    <n v="0.11764705882352944"/>
  </r>
  <r>
    <x v="150"/>
    <x v="1"/>
    <x v="1"/>
    <x v="16"/>
    <n v="8"/>
    <n v="0.85"/>
    <n v="0.74399999999999999"/>
    <n v="0.12470588235294111"/>
  </r>
  <r>
    <x v="150"/>
    <x v="9"/>
    <x v="1"/>
    <x v="10"/>
    <n v="8"/>
    <n v="2.85"/>
    <n v="2.5"/>
    <n v="0.1228070175438597"/>
  </r>
  <r>
    <x v="150"/>
    <x v="2"/>
    <x v="2"/>
    <x v="20"/>
    <n v="120"/>
    <n v="0.85"/>
    <n v="0.75"/>
    <n v="0.11764705882352944"/>
  </r>
  <r>
    <x v="151"/>
    <x v="2"/>
    <x v="2"/>
    <x v="10"/>
    <n v="128"/>
    <n v="2.2999999999999998"/>
    <n v="2.1"/>
    <n v="8.6956521739130377E-2"/>
  </r>
  <r>
    <x v="152"/>
    <x v="9"/>
    <x v="1"/>
    <x v="21"/>
    <n v="8"/>
    <n v="0.62"/>
    <n v="0.59"/>
    <n v="4.8387096774193616E-2"/>
  </r>
  <r>
    <x v="152"/>
    <x v="1"/>
    <x v="1"/>
    <x v="1"/>
    <n v="8"/>
    <n v="0.55000000000000004"/>
    <n v="0.46800000000000003"/>
    <n v="0.14909090909090916"/>
  </r>
  <r>
    <x v="152"/>
    <x v="1"/>
    <x v="1"/>
    <x v="1"/>
    <n v="8"/>
    <n v="0.55000000000000004"/>
    <n v="0.46800000000000003"/>
    <n v="0.14909090909090916"/>
  </r>
  <r>
    <x v="152"/>
    <x v="1"/>
    <x v="1"/>
    <x v="1"/>
    <n v="8"/>
    <n v="0.55000000000000004"/>
    <n v="0.46800000000000003"/>
    <n v="0.14909090909090916"/>
  </r>
  <r>
    <x v="152"/>
    <x v="1"/>
    <x v="1"/>
    <x v="11"/>
    <n v="8"/>
    <n v="0.3"/>
    <n v="0.26300000000000001"/>
    <n v="0.12333333333333329"/>
  </r>
  <r>
    <x v="152"/>
    <x v="1"/>
    <x v="1"/>
    <x v="11"/>
    <n v="8"/>
    <n v="0.3"/>
    <n v="0.26300000000000001"/>
    <n v="0.12333333333333329"/>
  </r>
  <r>
    <x v="152"/>
    <x v="0"/>
    <x v="0"/>
    <x v="10"/>
    <n v="16"/>
    <n v="2.5499999999999998"/>
    <n v="1.8"/>
    <n v="0.29411764705882348"/>
  </r>
  <r>
    <x v="153"/>
    <x v="9"/>
    <x v="1"/>
    <x v="10"/>
    <n v="8"/>
    <n v="3"/>
    <n v="3"/>
    <n v="0"/>
  </r>
  <r>
    <x v="153"/>
    <x v="9"/>
    <x v="1"/>
    <x v="10"/>
    <n v="8"/>
    <n v="3.3"/>
    <n v="3"/>
    <n v="9.0909090909090828E-2"/>
  </r>
  <r>
    <x v="153"/>
    <x v="9"/>
    <x v="1"/>
    <x v="10"/>
    <n v="8"/>
    <n v="3.3"/>
    <n v="3"/>
    <n v="9.0909090909090828E-2"/>
  </r>
  <r>
    <x v="153"/>
    <x v="9"/>
    <x v="1"/>
    <x v="10"/>
    <n v="8"/>
    <n v="3.3"/>
    <n v="3"/>
    <n v="9.0909090909090828E-2"/>
  </r>
  <r>
    <x v="153"/>
    <x v="9"/>
    <x v="1"/>
    <x v="22"/>
    <n v="8"/>
    <n v="3.3"/>
    <n v="3"/>
    <n v="9.0909090909090828E-2"/>
  </r>
  <r>
    <x v="154"/>
    <x v="7"/>
    <x v="6"/>
    <x v="26"/>
    <n v="8"/>
    <n v="1.05"/>
    <n v="0.95"/>
    <n v="9.5238095238095344E-2"/>
  </r>
  <r>
    <x v="154"/>
    <x v="2"/>
    <x v="2"/>
    <x v="14"/>
    <n v="16"/>
    <n v="1.45"/>
    <n v="1.35"/>
    <n v="6.8965517241379226E-2"/>
  </r>
  <r>
    <x v="154"/>
    <x v="7"/>
    <x v="6"/>
    <x v="26"/>
    <n v="8"/>
    <n v="1.05"/>
    <n v="0.95"/>
    <n v="9.5238095238095344E-2"/>
  </r>
  <r>
    <x v="154"/>
    <x v="2"/>
    <x v="2"/>
    <x v="14"/>
    <n v="16"/>
    <n v="1.45"/>
    <n v="1.35"/>
    <n v="6.8965517241379226E-2"/>
  </r>
  <r>
    <x v="154"/>
    <x v="2"/>
    <x v="2"/>
    <x v="14"/>
    <n v="16"/>
    <n v="1.45"/>
    <n v="1.35"/>
    <n v="6.8965517241379226E-2"/>
  </r>
  <r>
    <x v="154"/>
    <x v="7"/>
    <x v="6"/>
    <x v="26"/>
    <n v="8"/>
    <n v="1.05"/>
    <n v="0.95"/>
    <n v="9.5238095238095344E-2"/>
  </r>
  <r>
    <x v="154"/>
    <x v="2"/>
    <x v="2"/>
    <x v="14"/>
    <n v="16"/>
    <n v="1.45"/>
    <n v="1.35"/>
    <n v="6.8965517241379226E-2"/>
  </r>
  <r>
    <x v="154"/>
    <x v="7"/>
    <x v="6"/>
    <x v="26"/>
    <n v="8"/>
    <n v="1.05"/>
    <n v="0.95"/>
    <n v="9.5238095238095344E-2"/>
  </r>
  <r>
    <x v="154"/>
    <x v="2"/>
    <x v="2"/>
    <x v="14"/>
    <n v="16"/>
    <n v="1.45"/>
    <n v="1.35"/>
    <n v="6.8965517241379226E-2"/>
  </r>
  <r>
    <x v="154"/>
    <x v="7"/>
    <x v="6"/>
    <x v="26"/>
    <n v="8"/>
    <n v="1.05"/>
    <n v="0.95"/>
    <n v="9.5238095238095344E-2"/>
  </r>
  <r>
    <x v="154"/>
    <x v="2"/>
    <x v="2"/>
    <x v="14"/>
    <n v="16"/>
    <n v="1.45"/>
    <n v="1.35"/>
    <n v="6.8965517241379226E-2"/>
  </r>
  <r>
    <x v="154"/>
    <x v="7"/>
    <x v="6"/>
    <x v="26"/>
    <n v="8"/>
    <n v="1.05"/>
    <n v="0.95"/>
    <n v="9.5238095238095344E-2"/>
  </r>
  <r>
    <x v="154"/>
    <x v="7"/>
    <x v="6"/>
    <x v="26"/>
    <n v="8"/>
    <n v="1.05"/>
    <n v="0.95"/>
    <n v="9.5238095238095344E-2"/>
  </r>
  <r>
    <x v="154"/>
    <x v="2"/>
    <x v="2"/>
    <x v="14"/>
    <n v="16"/>
    <n v="1.45"/>
    <n v="1.35"/>
    <n v="6.8965517241379226E-2"/>
  </r>
  <r>
    <x v="154"/>
    <x v="2"/>
    <x v="2"/>
    <x v="4"/>
    <n v="32"/>
    <n v="2.5"/>
    <n v="2.36"/>
    <n v="5.600000000000005E-2"/>
  </r>
  <r>
    <x v="154"/>
    <x v="2"/>
    <x v="2"/>
    <x v="4"/>
    <n v="104"/>
    <n v="2.5"/>
    <n v="2.36"/>
    <n v="5.600000000000005E-2"/>
  </r>
  <r>
    <x v="154"/>
    <x v="2"/>
    <x v="2"/>
    <x v="14"/>
    <n v="16"/>
    <n v="1.45"/>
    <n v="1.35"/>
    <n v="6.8965517241379226E-2"/>
  </r>
  <r>
    <x v="154"/>
    <x v="7"/>
    <x v="6"/>
    <x v="26"/>
    <n v="8"/>
    <n v="1.05"/>
    <n v="0.95"/>
    <n v="9.5238095238095344E-2"/>
  </r>
  <r>
    <x v="154"/>
    <x v="2"/>
    <x v="2"/>
    <x v="10"/>
    <n v="160"/>
    <n v="2.25"/>
    <n v="2.1"/>
    <n v="6.6666666666666652E-2"/>
  </r>
  <r>
    <x v="154"/>
    <x v="2"/>
    <x v="2"/>
    <x v="10"/>
    <n v="160"/>
    <n v="2.25"/>
    <n v="2.1"/>
    <n v="6.6666666666666652E-2"/>
  </r>
  <r>
    <x v="154"/>
    <x v="2"/>
    <x v="2"/>
    <x v="10"/>
    <n v="160"/>
    <n v="2.25"/>
    <n v="2.1"/>
    <n v="6.6666666666666652E-2"/>
  </r>
  <r>
    <x v="154"/>
    <x v="2"/>
    <x v="2"/>
    <x v="4"/>
    <n v="104"/>
    <n v="2.5"/>
    <n v="2.36"/>
    <n v="5.600000000000005E-2"/>
  </r>
  <r>
    <x v="154"/>
    <x v="2"/>
    <x v="2"/>
    <x v="14"/>
    <n v="16"/>
    <n v="1.45"/>
    <n v="1.35"/>
    <n v="6.8965517241379226E-2"/>
  </r>
  <r>
    <x v="154"/>
    <x v="2"/>
    <x v="2"/>
    <x v="10"/>
    <n v="160"/>
    <n v="2.25"/>
    <n v="2.1"/>
    <n v="6.6666666666666652E-2"/>
  </r>
  <r>
    <x v="154"/>
    <x v="7"/>
    <x v="6"/>
    <x v="26"/>
    <n v="8"/>
    <n v="1.05"/>
    <n v="0.95"/>
    <n v="9.5238095238095344E-2"/>
  </r>
  <r>
    <x v="155"/>
    <x v="2"/>
    <x v="2"/>
    <x v="4"/>
    <n v="512"/>
    <n v="1.3"/>
    <n v="1.25"/>
    <n v="3.8461538461538547E-2"/>
  </r>
  <r>
    <x v="156"/>
    <x v="9"/>
    <x v="1"/>
    <x v="10"/>
    <n v="48"/>
    <n v="2.15"/>
    <n v="1.8"/>
    <n v="0.16279069767441856"/>
  </r>
  <r>
    <x v="156"/>
    <x v="9"/>
    <x v="1"/>
    <x v="10"/>
    <n v="48"/>
    <n v="2.5499999999999998"/>
    <n v="1.8"/>
    <n v="0.29411764705882348"/>
  </r>
  <r>
    <x v="156"/>
    <x v="9"/>
    <x v="1"/>
    <x v="10"/>
    <n v="32"/>
    <n v="2.5499999999999998"/>
    <n v="1.8"/>
    <n v="0.29411764705882348"/>
  </r>
  <r>
    <x v="156"/>
    <x v="0"/>
    <x v="0"/>
    <x v="4"/>
    <n v="8"/>
    <n v="2.5"/>
    <n v="2.36"/>
    <n v="5.600000000000005E-2"/>
  </r>
  <r>
    <x v="157"/>
    <x v="13"/>
    <x v="7"/>
    <x v="10"/>
    <n v="80"/>
    <n v="2.5"/>
    <n v="2.2000000000000002"/>
    <n v="0.11999999999999988"/>
  </r>
  <r>
    <x v="158"/>
    <x v="9"/>
    <x v="1"/>
    <x v="15"/>
    <n v="24"/>
    <n v="0.52"/>
    <n v="0.45500000000000002"/>
    <n v="0.125"/>
  </r>
  <r>
    <x v="158"/>
    <x v="9"/>
    <x v="1"/>
    <x v="15"/>
    <n v="24"/>
    <n v="0.52"/>
    <n v="0.45500000000000002"/>
    <n v="0.125"/>
  </r>
  <r>
    <x v="158"/>
    <x v="9"/>
    <x v="1"/>
    <x v="15"/>
    <n v="24"/>
    <n v="0.52"/>
    <n v="0.45500000000000002"/>
    <n v="0.125"/>
  </r>
  <r>
    <x v="158"/>
    <x v="9"/>
    <x v="1"/>
    <x v="15"/>
    <n v="24"/>
    <n v="0.52"/>
    <n v="0.45500000000000002"/>
    <n v="0.125"/>
  </r>
  <r>
    <x v="158"/>
    <x v="9"/>
    <x v="1"/>
    <x v="15"/>
    <n v="24"/>
    <n v="0.52"/>
    <n v="0.45500000000000002"/>
    <n v="0.125"/>
  </r>
  <r>
    <x v="158"/>
    <x v="9"/>
    <x v="1"/>
    <x v="15"/>
    <n v="24"/>
    <n v="0.52"/>
    <n v="0.45500000000000002"/>
    <n v="0.125"/>
  </r>
  <r>
    <x v="158"/>
    <x v="9"/>
    <x v="1"/>
    <x v="10"/>
    <n v="72"/>
    <n v="2.85"/>
    <n v="2.6"/>
    <n v="8.7719298245614086E-2"/>
  </r>
  <r>
    <x v="158"/>
    <x v="9"/>
    <x v="1"/>
    <x v="10"/>
    <n v="176"/>
    <n v="3.1"/>
    <n v="2.7"/>
    <n v="0.12903225806451613"/>
  </r>
  <r>
    <x v="159"/>
    <x v="9"/>
    <x v="1"/>
    <x v="10"/>
    <n v="40"/>
    <n v="3.1"/>
    <n v="2.66"/>
    <n v="0.14193548387096777"/>
  </r>
  <r>
    <x v="159"/>
    <x v="6"/>
    <x v="5"/>
    <x v="10"/>
    <n v="8"/>
    <n v="2"/>
    <n v="1.8"/>
    <n v="9.9999999999999978E-2"/>
  </r>
  <r>
    <x v="160"/>
    <x v="6"/>
    <x v="5"/>
    <x v="10"/>
    <n v="160"/>
    <n v="2.35"/>
    <n v="1.5"/>
    <n v="0.36170212765957455"/>
  </r>
  <r>
    <x v="160"/>
    <x v="6"/>
    <x v="5"/>
    <x v="10"/>
    <n v="160"/>
    <n v="2.35"/>
    <n v="1.5"/>
    <n v="0.36170212765957455"/>
  </r>
  <r>
    <x v="160"/>
    <x v="6"/>
    <x v="5"/>
    <x v="10"/>
    <n v="160"/>
    <n v="2.35"/>
    <n v="1.5"/>
    <n v="0.36170212765957455"/>
  </r>
  <r>
    <x v="160"/>
    <x v="6"/>
    <x v="5"/>
    <x v="10"/>
    <n v="160"/>
    <n v="2.35"/>
    <n v="1.5"/>
    <n v="0.36170212765957455"/>
  </r>
  <r>
    <x v="160"/>
    <x v="6"/>
    <x v="5"/>
    <x v="10"/>
    <n v="160"/>
    <n v="2.35"/>
    <n v="1.5"/>
    <n v="0.36170212765957455"/>
  </r>
  <r>
    <x v="160"/>
    <x v="6"/>
    <x v="5"/>
    <x v="10"/>
    <n v="160"/>
    <n v="2.35"/>
    <n v="1.5"/>
    <n v="0.36170212765957455"/>
  </r>
  <r>
    <x v="160"/>
    <x v="6"/>
    <x v="5"/>
    <x v="10"/>
    <n v="160"/>
    <n v="2.35"/>
    <n v="1.5"/>
    <n v="0.36170212765957455"/>
  </r>
  <r>
    <x v="160"/>
    <x v="6"/>
    <x v="5"/>
    <x v="10"/>
    <n v="160"/>
    <n v="2.35"/>
    <n v="1.5"/>
    <n v="0.36170212765957455"/>
  </r>
  <r>
    <x v="160"/>
    <x v="6"/>
    <x v="5"/>
    <x v="10"/>
    <n v="160"/>
    <n v="2.35"/>
    <n v="1.5"/>
    <n v="0.36170212765957455"/>
  </r>
  <r>
    <x v="160"/>
    <x v="2"/>
    <x v="2"/>
    <x v="10"/>
    <n v="152"/>
    <n v="2.25"/>
    <n v="1.5"/>
    <n v="0.33333333333333337"/>
  </r>
  <r>
    <x v="160"/>
    <x v="2"/>
    <x v="2"/>
    <x v="10"/>
    <n v="152"/>
    <n v="2.4"/>
    <n v="1.5"/>
    <n v="0.375"/>
  </r>
  <r>
    <x v="160"/>
    <x v="6"/>
    <x v="5"/>
    <x v="10"/>
    <n v="160"/>
    <n v="2.35"/>
    <n v="1.5"/>
    <n v="0.36170212765957455"/>
  </r>
  <r>
    <x v="160"/>
    <x v="6"/>
    <x v="5"/>
    <x v="10"/>
    <n v="160"/>
    <n v="2.35"/>
    <n v="1.5"/>
    <n v="0.36170212765957455"/>
  </r>
  <r>
    <x v="160"/>
    <x v="2"/>
    <x v="2"/>
    <x v="10"/>
    <n v="152"/>
    <n v="2.4"/>
    <n v="1.5"/>
    <n v="0.375"/>
  </r>
  <r>
    <x v="160"/>
    <x v="2"/>
    <x v="2"/>
    <x v="10"/>
    <n v="160"/>
    <n v="2.4"/>
    <n v="1.5"/>
    <n v="0.375"/>
  </r>
  <r>
    <x v="160"/>
    <x v="6"/>
    <x v="5"/>
    <x v="10"/>
    <n v="160"/>
    <n v="2.35"/>
    <n v="1.5"/>
    <n v="0.36170212765957455"/>
  </r>
  <r>
    <x v="161"/>
    <x v="2"/>
    <x v="2"/>
    <x v="20"/>
    <n v="80"/>
    <n v="0.93"/>
    <n v="0.87"/>
    <n v="6.4516129032258118E-2"/>
  </r>
  <r>
    <x v="162"/>
    <x v="12"/>
    <x v="1"/>
    <x v="20"/>
    <n v="8"/>
    <n v="0.7"/>
    <n v="0.61"/>
    <n v="0.12857142857142856"/>
  </r>
  <r>
    <x v="163"/>
    <x v="0"/>
    <x v="0"/>
    <x v="18"/>
    <n v="1"/>
    <n v="0.3"/>
    <n v="0.26300000000000001"/>
    <n v="0.12333333333333329"/>
  </r>
  <r>
    <x v="163"/>
    <x v="6"/>
    <x v="5"/>
    <x v="10"/>
    <n v="384"/>
    <n v="1.75"/>
    <n v="1.5"/>
    <n v="0.1428571428571429"/>
  </r>
  <r>
    <x v="163"/>
    <x v="0"/>
    <x v="0"/>
    <x v="18"/>
    <n v="1"/>
    <n v="0.3"/>
    <n v="0.26300000000000001"/>
    <n v="0.12333333333333329"/>
  </r>
  <r>
    <x v="164"/>
    <x v="12"/>
    <x v="1"/>
    <x v="25"/>
    <n v="8"/>
    <n v="0.57999999999999996"/>
    <n v="0.52"/>
    <n v="0.10344827586206884"/>
  </r>
  <r>
    <x v="165"/>
    <x v="9"/>
    <x v="1"/>
    <x v="10"/>
    <n v="160"/>
    <n v="2.4"/>
    <n v="1.5"/>
    <n v="0.375"/>
  </r>
  <r>
    <x v="166"/>
    <x v="3"/>
    <x v="1"/>
    <x v="11"/>
    <n v="1"/>
    <n v="0.3"/>
    <n v="0.26300000000000001"/>
    <n v="0.12333333333333329"/>
  </r>
  <r>
    <x v="166"/>
    <x v="3"/>
    <x v="1"/>
    <x v="11"/>
    <n v="1"/>
    <n v="0.3"/>
    <n v="0.26300000000000001"/>
    <n v="0.12333333333333329"/>
  </r>
  <r>
    <x v="166"/>
    <x v="3"/>
    <x v="1"/>
    <x v="11"/>
    <n v="1"/>
    <n v="0.3"/>
    <n v="0.26300000000000001"/>
    <n v="0.12333333333333329"/>
  </r>
  <r>
    <x v="166"/>
    <x v="3"/>
    <x v="1"/>
    <x v="11"/>
    <n v="1"/>
    <n v="0.3"/>
    <n v="0.26300000000000001"/>
    <n v="0.12333333333333329"/>
  </r>
  <r>
    <x v="166"/>
    <x v="3"/>
    <x v="1"/>
    <x v="11"/>
    <n v="1"/>
    <n v="0.3"/>
    <n v="0.26300000000000001"/>
    <n v="0.12333333333333329"/>
  </r>
  <r>
    <x v="166"/>
    <x v="3"/>
    <x v="1"/>
    <x v="11"/>
    <n v="1"/>
    <n v="0.3"/>
    <n v="0.26300000000000001"/>
    <n v="0.12333333333333329"/>
  </r>
  <r>
    <x v="166"/>
    <x v="3"/>
    <x v="1"/>
    <x v="11"/>
    <n v="1"/>
    <n v="0.3"/>
    <n v="0.26300000000000001"/>
    <n v="0.12333333333333329"/>
  </r>
  <r>
    <x v="166"/>
    <x v="3"/>
    <x v="1"/>
    <x v="11"/>
    <n v="1"/>
    <n v="0.3"/>
    <n v="0.26300000000000001"/>
    <n v="0.12333333333333329"/>
  </r>
  <r>
    <x v="166"/>
    <x v="3"/>
    <x v="1"/>
    <x v="11"/>
    <n v="1"/>
    <n v="0.3"/>
    <n v="0.26300000000000001"/>
    <n v="0.12333333333333329"/>
  </r>
  <r>
    <x v="166"/>
    <x v="3"/>
    <x v="1"/>
    <x v="11"/>
    <n v="1"/>
    <n v="0.3"/>
    <n v="0.26300000000000001"/>
    <n v="0.12333333333333329"/>
  </r>
  <r>
    <x v="166"/>
    <x v="2"/>
    <x v="2"/>
    <x v="10"/>
    <n v="112"/>
    <n v="2.9"/>
    <n v="2.5"/>
    <n v="0.13793103448275856"/>
  </r>
  <r>
    <x v="166"/>
    <x v="3"/>
    <x v="1"/>
    <x v="11"/>
    <n v="1"/>
    <n v="0.3"/>
    <n v="0.26300000000000001"/>
    <n v="0.12333333333333329"/>
  </r>
  <r>
    <x v="166"/>
    <x v="3"/>
    <x v="1"/>
    <x v="11"/>
    <n v="1"/>
    <n v="0.3"/>
    <n v="0.26300000000000001"/>
    <n v="0.12333333333333329"/>
  </r>
  <r>
    <x v="166"/>
    <x v="3"/>
    <x v="1"/>
    <x v="11"/>
    <n v="1"/>
    <n v="0.3"/>
    <n v="0.26300000000000001"/>
    <n v="0.12333333333333329"/>
  </r>
  <r>
    <x v="166"/>
    <x v="2"/>
    <x v="2"/>
    <x v="10"/>
    <n v="112"/>
    <n v="2.9"/>
    <n v="2.5"/>
    <n v="0.13793103448275856"/>
  </r>
  <r>
    <x v="166"/>
    <x v="3"/>
    <x v="1"/>
    <x v="11"/>
    <n v="1"/>
    <n v="0.3"/>
    <n v="0.26300000000000001"/>
    <n v="0.12333333333333329"/>
  </r>
  <r>
    <x v="166"/>
    <x v="3"/>
    <x v="1"/>
    <x v="11"/>
    <n v="1"/>
    <n v="0.3"/>
    <n v="0.26300000000000001"/>
    <n v="0.12333333333333329"/>
  </r>
  <r>
    <x v="166"/>
    <x v="3"/>
    <x v="1"/>
    <x v="11"/>
    <n v="1"/>
    <n v="0.3"/>
    <n v="0.26300000000000001"/>
    <n v="0.12333333333333329"/>
  </r>
  <r>
    <x v="166"/>
    <x v="2"/>
    <x v="2"/>
    <x v="10"/>
    <n v="112"/>
    <n v="2.9"/>
    <n v="2.5"/>
    <n v="0.13793103448275856"/>
  </r>
  <r>
    <x v="166"/>
    <x v="3"/>
    <x v="1"/>
    <x v="18"/>
    <n v="1"/>
    <n v="0.3"/>
    <n v="0.26300000000000001"/>
    <n v="0.12333333333333329"/>
  </r>
  <r>
    <x v="166"/>
    <x v="3"/>
    <x v="1"/>
    <x v="18"/>
    <n v="1"/>
    <n v="0.3"/>
    <n v="0.26300000000000001"/>
    <n v="0.12333333333333329"/>
  </r>
  <r>
    <x v="166"/>
    <x v="2"/>
    <x v="2"/>
    <x v="10"/>
    <n v="112"/>
    <n v="2.9"/>
    <n v="2.5"/>
    <n v="0.13793103448275856"/>
  </r>
  <r>
    <x v="166"/>
    <x v="3"/>
    <x v="1"/>
    <x v="18"/>
    <n v="1"/>
    <n v="0.3"/>
    <n v="0.26300000000000001"/>
    <n v="0.12333333333333329"/>
  </r>
  <r>
    <x v="167"/>
    <x v="7"/>
    <x v="6"/>
    <x v="15"/>
    <n v="48"/>
    <n v="0.28000000000000003"/>
    <n v="0.26"/>
    <n v="7.1428571428571508E-2"/>
  </r>
  <r>
    <x v="167"/>
    <x v="7"/>
    <x v="6"/>
    <x v="4"/>
    <n v="4"/>
    <n v="1.92"/>
    <n v="1.87"/>
    <n v="2.604166666666663E-2"/>
  </r>
  <r>
    <x v="167"/>
    <x v="7"/>
    <x v="6"/>
    <x v="15"/>
    <n v="48"/>
    <n v="0.28000000000000003"/>
    <n v="0.26"/>
    <n v="7.1428571428571508E-2"/>
  </r>
  <r>
    <x v="167"/>
    <x v="4"/>
    <x v="3"/>
    <x v="4"/>
    <n v="1024"/>
    <n v="2.66"/>
    <n v="2.5099999999999998"/>
    <n v="5.6390977443609103E-2"/>
  </r>
  <r>
    <x v="167"/>
    <x v="7"/>
    <x v="6"/>
    <x v="4"/>
    <n v="4"/>
    <n v="1.92"/>
    <n v="1.87"/>
    <n v="2.604166666666663E-2"/>
  </r>
  <r>
    <x v="167"/>
    <x v="7"/>
    <x v="6"/>
    <x v="15"/>
    <n v="48"/>
    <n v="0.28000000000000003"/>
    <n v="0.26"/>
    <n v="7.1428571428571508E-2"/>
  </r>
  <r>
    <x v="167"/>
    <x v="7"/>
    <x v="6"/>
    <x v="10"/>
    <n v="8"/>
    <n v="2.41"/>
    <n v="2.2999999999999998"/>
    <n v="4.5643153526971125E-2"/>
  </r>
  <r>
    <x v="167"/>
    <x v="4"/>
    <x v="3"/>
    <x v="4"/>
    <n v="1024"/>
    <n v="2.66"/>
    <n v="2.5099999999999998"/>
    <n v="5.6390977443609103E-2"/>
  </r>
  <r>
    <x v="167"/>
    <x v="7"/>
    <x v="6"/>
    <x v="4"/>
    <n v="4"/>
    <n v="1.92"/>
    <n v="1.87"/>
    <n v="2.604166666666663E-2"/>
  </r>
  <r>
    <x v="167"/>
    <x v="7"/>
    <x v="6"/>
    <x v="15"/>
    <n v="48"/>
    <n v="0.28000000000000003"/>
    <n v="0.26"/>
    <n v="7.1428571428571508E-2"/>
  </r>
  <r>
    <x v="167"/>
    <x v="7"/>
    <x v="6"/>
    <x v="10"/>
    <n v="8"/>
    <n v="2.41"/>
    <n v="2.2999999999999998"/>
    <n v="4.5643153526971125E-2"/>
  </r>
  <r>
    <x v="167"/>
    <x v="4"/>
    <x v="3"/>
    <x v="4"/>
    <n v="1024"/>
    <n v="2.66"/>
    <n v="2.5099999999999998"/>
    <n v="5.6390977443609103E-2"/>
  </r>
  <r>
    <x v="167"/>
    <x v="2"/>
    <x v="2"/>
    <x v="4"/>
    <n v="32"/>
    <n v="2.4500000000000002"/>
    <n v="2.33"/>
    <n v="4.8979591836734726E-2"/>
  </r>
  <r>
    <x v="167"/>
    <x v="7"/>
    <x v="6"/>
    <x v="4"/>
    <n v="4"/>
    <n v="1.92"/>
    <n v="1.87"/>
    <n v="2.604166666666663E-2"/>
  </r>
  <r>
    <x v="167"/>
    <x v="7"/>
    <x v="6"/>
    <x v="15"/>
    <n v="48"/>
    <n v="0.28000000000000003"/>
    <n v="0.26"/>
    <n v="7.1428571428571508E-2"/>
  </r>
  <r>
    <x v="167"/>
    <x v="7"/>
    <x v="6"/>
    <x v="10"/>
    <n v="8"/>
    <n v="2.41"/>
    <n v="2.2999999999999998"/>
    <n v="4.5643153526971125E-2"/>
  </r>
  <r>
    <x v="167"/>
    <x v="2"/>
    <x v="2"/>
    <x v="4"/>
    <n v="40"/>
    <n v="2.4500000000000002"/>
    <n v="2.33"/>
    <n v="4.8979591836734726E-2"/>
  </r>
  <r>
    <x v="167"/>
    <x v="4"/>
    <x v="3"/>
    <x v="4"/>
    <n v="1024"/>
    <n v="2.66"/>
    <n v="2.5099999999999998"/>
    <n v="5.6390977443609103E-2"/>
  </r>
  <r>
    <x v="167"/>
    <x v="7"/>
    <x v="6"/>
    <x v="4"/>
    <n v="4"/>
    <n v="1.92"/>
    <n v="1.87"/>
    <n v="2.604166666666663E-2"/>
  </r>
  <r>
    <x v="167"/>
    <x v="7"/>
    <x v="6"/>
    <x v="10"/>
    <n v="8"/>
    <n v="2.41"/>
    <n v="2.2999999999999998"/>
    <n v="4.5643153526971125E-2"/>
  </r>
  <r>
    <x v="167"/>
    <x v="7"/>
    <x v="6"/>
    <x v="15"/>
    <n v="48"/>
    <n v="0.28000000000000003"/>
    <n v="0.26"/>
    <n v="7.1428571428571508E-2"/>
  </r>
  <r>
    <x v="167"/>
    <x v="4"/>
    <x v="3"/>
    <x v="4"/>
    <n v="1024"/>
    <n v="2.66"/>
    <n v="2.5099999999999998"/>
    <n v="5.6390977443609103E-2"/>
  </r>
  <r>
    <x v="167"/>
    <x v="2"/>
    <x v="2"/>
    <x v="4"/>
    <n v="40"/>
    <n v="2.4500000000000002"/>
    <n v="2.33"/>
    <n v="4.8979591836734726E-2"/>
  </r>
  <r>
    <x v="167"/>
    <x v="7"/>
    <x v="6"/>
    <x v="10"/>
    <n v="8"/>
    <n v="2.41"/>
    <n v="2.2999999999999998"/>
    <n v="4.5643153526971125E-2"/>
  </r>
  <r>
    <x v="167"/>
    <x v="7"/>
    <x v="6"/>
    <x v="4"/>
    <n v="4"/>
    <n v="1.92"/>
    <n v="1.87"/>
    <n v="2.604166666666663E-2"/>
  </r>
  <r>
    <x v="167"/>
    <x v="7"/>
    <x v="6"/>
    <x v="15"/>
    <n v="48"/>
    <n v="0.28000000000000003"/>
    <n v="0.26"/>
    <n v="7.1428571428571508E-2"/>
  </r>
  <r>
    <x v="167"/>
    <x v="2"/>
    <x v="2"/>
    <x v="4"/>
    <n v="40"/>
    <n v="2.4500000000000002"/>
    <n v="2.33"/>
    <n v="4.8979591836734726E-2"/>
  </r>
  <r>
    <x v="167"/>
    <x v="2"/>
    <x v="2"/>
    <x v="4"/>
    <n v="32"/>
    <n v="2.4500000000000002"/>
    <n v="2.33"/>
    <n v="4.8979591836734726E-2"/>
  </r>
  <r>
    <x v="167"/>
    <x v="3"/>
    <x v="1"/>
    <x v="18"/>
    <n v="1"/>
    <n v="0.3"/>
    <n v="0.26300000000000001"/>
    <n v="0.12333333333333329"/>
  </r>
  <r>
    <x v="167"/>
    <x v="3"/>
    <x v="1"/>
    <x v="18"/>
    <n v="1"/>
    <n v="0.3"/>
    <n v="0.26300000000000001"/>
    <n v="0.12333333333333329"/>
  </r>
  <r>
    <x v="167"/>
    <x v="7"/>
    <x v="6"/>
    <x v="4"/>
    <n v="4"/>
    <n v="1.92"/>
    <n v="1.87"/>
    <n v="2.604166666666663E-2"/>
  </r>
  <r>
    <x v="167"/>
    <x v="12"/>
    <x v="1"/>
    <x v="25"/>
    <n v="8"/>
    <n v="0.57999999999999996"/>
    <n v="0.52"/>
    <n v="0.10344827586206884"/>
  </r>
  <r>
    <x v="167"/>
    <x v="7"/>
    <x v="6"/>
    <x v="15"/>
    <n v="48"/>
    <n v="0.28000000000000003"/>
    <n v="0.26"/>
    <n v="7.1428571428571508E-2"/>
  </r>
  <r>
    <x v="167"/>
    <x v="7"/>
    <x v="6"/>
    <x v="10"/>
    <n v="8"/>
    <n v="2.41"/>
    <n v="2.2999999999999998"/>
    <n v="4.5643153526971125E-2"/>
  </r>
  <r>
    <x v="167"/>
    <x v="26"/>
    <x v="6"/>
    <x v="4"/>
    <n v="1024"/>
    <n v="2.66"/>
    <n v="2.5099999999999998"/>
    <n v="5.6390977443609103E-2"/>
  </r>
  <r>
    <x v="168"/>
    <x v="3"/>
    <x v="1"/>
    <x v="11"/>
    <n v="8"/>
    <n v="0.34"/>
    <n v="0.29799999999999999"/>
    <n v="0.123529411764706"/>
  </r>
  <r>
    <x v="168"/>
    <x v="3"/>
    <x v="1"/>
    <x v="18"/>
    <n v="8"/>
    <n v="0.34"/>
    <n v="0.29799999999999999"/>
    <n v="0.123529411764706"/>
  </r>
  <r>
    <x v="168"/>
    <x v="3"/>
    <x v="1"/>
    <x v="18"/>
    <n v="8"/>
    <n v="0.34"/>
    <n v="0.29799999999999999"/>
    <n v="0.123529411764706"/>
  </r>
  <r>
    <x v="169"/>
    <x v="4"/>
    <x v="3"/>
    <x v="4"/>
    <n v="8"/>
    <n v="2.15"/>
    <n v="2.0499999999999998"/>
    <n v="4.6511627906976827E-2"/>
  </r>
  <r>
    <x v="169"/>
    <x v="4"/>
    <x v="3"/>
    <x v="4"/>
    <n v="8"/>
    <n v="2.15"/>
    <n v="2.0499999999999998"/>
    <n v="4.6511627906976827E-2"/>
  </r>
  <r>
    <x v="170"/>
    <x v="2"/>
    <x v="2"/>
    <x v="4"/>
    <n v="4"/>
    <n v="2.2000000000000002"/>
    <n v="2.1"/>
    <n v="4.5454545454545525E-2"/>
  </r>
  <r>
    <x v="170"/>
    <x v="2"/>
    <x v="2"/>
    <x v="4"/>
    <n v="4"/>
    <n v="2.2000000000000002"/>
    <n v="2.1"/>
    <n v="4.5454545454545525E-2"/>
  </r>
  <r>
    <x v="170"/>
    <x v="6"/>
    <x v="5"/>
    <x v="10"/>
    <n v="160"/>
    <n v="2.35"/>
    <n v="1.5"/>
    <n v="0.36170212765957455"/>
  </r>
  <r>
    <x v="170"/>
    <x v="9"/>
    <x v="1"/>
    <x v="5"/>
    <n v="8"/>
    <n v="0.88"/>
    <n v="0.77"/>
    <n v="0.125"/>
  </r>
  <r>
    <x v="170"/>
    <x v="2"/>
    <x v="2"/>
    <x v="4"/>
    <n v="4"/>
    <n v="2.2000000000000002"/>
    <n v="2.1"/>
    <n v="4.5454545454545525E-2"/>
  </r>
  <r>
    <x v="170"/>
    <x v="2"/>
    <x v="2"/>
    <x v="2"/>
    <n v="64"/>
    <n v="1.85"/>
    <n v="1.62"/>
    <n v="0.12432432432432428"/>
  </r>
  <r>
    <x v="170"/>
    <x v="6"/>
    <x v="5"/>
    <x v="10"/>
    <n v="160"/>
    <n v="2.35"/>
    <n v="1.5"/>
    <n v="0.36170212765957455"/>
  </r>
  <r>
    <x v="170"/>
    <x v="9"/>
    <x v="1"/>
    <x v="5"/>
    <n v="8"/>
    <n v="0.88"/>
    <n v="0.77"/>
    <n v="0.125"/>
  </r>
  <r>
    <x v="171"/>
    <x v="12"/>
    <x v="1"/>
    <x v="27"/>
    <n v="4"/>
    <n v="0.8"/>
    <n v="0.7"/>
    <n v="0.12500000000000011"/>
  </r>
  <r>
    <x v="171"/>
    <x v="12"/>
    <x v="1"/>
    <x v="27"/>
    <n v="4"/>
    <n v="0.8"/>
    <n v="0.7"/>
    <n v="0.12500000000000011"/>
  </r>
  <r>
    <x v="171"/>
    <x v="12"/>
    <x v="1"/>
    <x v="27"/>
    <n v="4"/>
    <n v="0.8"/>
    <n v="0.7"/>
    <n v="0.12500000000000011"/>
  </r>
  <r>
    <x v="171"/>
    <x v="12"/>
    <x v="1"/>
    <x v="27"/>
    <n v="4"/>
    <n v="0.8"/>
    <n v="0.7"/>
    <n v="0.12500000000000011"/>
  </r>
  <r>
    <x v="171"/>
    <x v="12"/>
    <x v="1"/>
    <x v="27"/>
    <n v="4"/>
    <n v="0.8"/>
    <n v="0.7"/>
    <n v="0.12500000000000011"/>
  </r>
  <r>
    <x v="171"/>
    <x v="12"/>
    <x v="1"/>
    <x v="27"/>
    <n v="4"/>
    <n v="0.8"/>
    <n v="0.7"/>
    <n v="0.12500000000000011"/>
  </r>
  <r>
    <x v="171"/>
    <x v="12"/>
    <x v="1"/>
    <x v="27"/>
    <n v="4"/>
    <n v="0.8"/>
    <n v="0.7"/>
    <n v="0.12500000000000011"/>
  </r>
  <r>
    <x v="171"/>
    <x v="12"/>
    <x v="1"/>
    <x v="27"/>
    <n v="4"/>
    <n v="0.8"/>
    <n v="0.7"/>
    <n v="0.12500000000000011"/>
  </r>
  <r>
    <x v="171"/>
    <x v="9"/>
    <x v="1"/>
    <x v="10"/>
    <n v="64"/>
    <n v="2.2999999999999998"/>
    <n v="1.5"/>
    <n v="0.34782608695652173"/>
  </r>
  <r>
    <x v="171"/>
    <x v="9"/>
    <x v="1"/>
    <x v="10"/>
    <n v="64"/>
    <n v="2.2999999999999998"/>
    <n v="1.5"/>
    <n v="0.34782608695652173"/>
  </r>
  <r>
    <x v="171"/>
    <x v="9"/>
    <x v="1"/>
    <x v="10"/>
    <n v="64"/>
    <n v="2.2999999999999998"/>
    <n v="1.5"/>
    <n v="0.34782608695652173"/>
  </r>
  <r>
    <x v="171"/>
    <x v="9"/>
    <x v="1"/>
    <x v="10"/>
    <n v="8"/>
    <n v="3.15"/>
    <n v="2.7"/>
    <n v="0.14285714285714279"/>
  </r>
  <r>
    <x v="171"/>
    <x v="9"/>
    <x v="1"/>
    <x v="10"/>
    <n v="64"/>
    <n v="2.2999999999999998"/>
    <n v="1.5"/>
    <n v="0.34782608695652173"/>
  </r>
  <r>
    <x v="171"/>
    <x v="9"/>
    <x v="1"/>
    <x v="10"/>
    <n v="8"/>
    <n v="3.15"/>
    <n v="2.7"/>
    <n v="0.14285714285714279"/>
  </r>
  <r>
    <x v="171"/>
    <x v="3"/>
    <x v="1"/>
    <x v="15"/>
    <n v="8"/>
    <n v="0.5"/>
    <n v="0.438"/>
    <n v="0.124"/>
  </r>
  <r>
    <x v="171"/>
    <x v="3"/>
    <x v="1"/>
    <x v="15"/>
    <n v="8"/>
    <n v="0.5"/>
    <n v="0.438"/>
    <n v="0.124"/>
  </r>
  <r>
    <x v="171"/>
    <x v="0"/>
    <x v="0"/>
    <x v="4"/>
    <n v="4"/>
    <n v="1.92"/>
    <n v="1.87"/>
    <n v="2.604166666666663E-2"/>
  </r>
  <r>
    <x v="171"/>
    <x v="9"/>
    <x v="1"/>
    <x v="10"/>
    <n v="64"/>
    <n v="2.5499999999999998"/>
    <n v="1.5"/>
    <n v="0.41176470588235292"/>
  </r>
  <r>
    <x v="171"/>
    <x v="12"/>
    <x v="1"/>
    <x v="27"/>
    <n v="4"/>
    <n v="0.8"/>
    <n v="0.7"/>
    <n v="0.12500000000000011"/>
  </r>
  <r>
    <x v="172"/>
    <x v="6"/>
    <x v="5"/>
    <x v="15"/>
    <n v="200"/>
    <n v="0.57999999999999996"/>
    <n v="0.50800000000000001"/>
    <n v="0.12413793103448267"/>
  </r>
  <r>
    <x v="172"/>
    <x v="6"/>
    <x v="5"/>
    <x v="15"/>
    <n v="200"/>
    <n v="0.57999999999999996"/>
    <n v="0.50800000000000001"/>
    <n v="0.12413793103448267"/>
  </r>
  <r>
    <x v="172"/>
    <x v="9"/>
    <x v="1"/>
    <x v="10"/>
    <n v="32"/>
    <n v="3.15"/>
    <n v="2.7"/>
    <n v="0.14285714285714279"/>
  </r>
  <r>
    <x v="172"/>
    <x v="9"/>
    <x v="1"/>
    <x v="10"/>
    <n v="32"/>
    <n v="3.15"/>
    <n v="2.7"/>
    <n v="0.14285714285714279"/>
  </r>
  <r>
    <x v="172"/>
    <x v="9"/>
    <x v="1"/>
    <x v="10"/>
    <n v="32"/>
    <n v="3.15"/>
    <n v="2.7"/>
    <n v="0.14285714285714279"/>
  </r>
  <r>
    <x v="172"/>
    <x v="9"/>
    <x v="1"/>
    <x v="10"/>
    <n v="32"/>
    <n v="3.15"/>
    <n v="2.7"/>
    <n v="0.14285714285714279"/>
  </r>
  <r>
    <x v="172"/>
    <x v="6"/>
    <x v="5"/>
    <x v="15"/>
    <n v="200"/>
    <n v="0.57999999999999996"/>
    <n v="0.50800000000000001"/>
    <n v="0.12413793103448267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9"/>
    <x v="1"/>
    <x v="10"/>
    <n v="8"/>
    <n v="3.15"/>
    <n v="2.7"/>
    <n v="0.14285714285714279"/>
  </r>
  <r>
    <x v="173"/>
    <x v="0"/>
    <x v="0"/>
    <x v="15"/>
    <n v="8"/>
    <n v="0.65"/>
    <n v="0.56899999999999995"/>
    <n v="0.12461538461538468"/>
  </r>
  <r>
    <x v="173"/>
    <x v="9"/>
    <x v="1"/>
    <x v="10"/>
    <n v="8"/>
    <n v="3.15"/>
    <n v="2.7"/>
    <n v="0.14285714285714279"/>
  </r>
  <r>
    <x v="174"/>
    <x v="2"/>
    <x v="2"/>
    <x v="10"/>
    <n v="128"/>
    <n v="2.5"/>
    <n v="2.1"/>
    <n v="0.15999999999999992"/>
  </r>
  <r>
    <x v="175"/>
    <x v="9"/>
    <x v="1"/>
    <x v="10"/>
    <n v="72"/>
    <n v="3.1"/>
    <n v="2.8"/>
    <n v="9.6774193548387233E-2"/>
  </r>
  <r>
    <x v="175"/>
    <x v="9"/>
    <x v="1"/>
    <x v="10"/>
    <n v="72"/>
    <n v="3.1"/>
    <n v="2.8"/>
    <n v="9.6774193548387233E-2"/>
  </r>
  <r>
    <x v="175"/>
    <x v="9"/>
    <x v="1"/>
    <x v="10"/>
    <n v="72"/>
    <n v="3.1"/>
    <n v="2.8"/>
    <n v="9.6774193548387233E-2"/>
  </r>
  <r>
    <x v="176"/>
    <x v="7"/>
    <x v="6"/>
    <x v="4"/>
    <n v="4"/>
    <n v="1.92"/>
    <n v="1.87"/>
    <n v="2.604166666666663E-2"/>
  </r>
  <r>
    <x v="176"/>
    <x v="7"/>
    <x v="6"/>
    <x v="4"/>
    <n v="4"/>
    <n v="1.92"/>
    <n v="1.87"/>
    <n v="2.604166666666663E-2"/>
  </r>
  <r>
    <x v="176"/>
    <x v="7"/>
    <x v="6"/>
    <x v="4"/>
    <n v="4"/>
    <n v="1.92"/>
    <n v="1.87"/>
    <n v="2.604166666666663E-2"/>
  </r>
  <r>
    <x v="176"/>
    <x v="7"/>
    <x v="6"/>
    <x v="4"/>
    <n v="4"/>
    <n v="1.92"/>
    <n v="1.87"/>
    <n v="2.604166666666663E-2"/>
  </r>
  <r>
    <x v="176"/>
    <x v="7"/>
    <x v="6"/>
    <x v="4"/>
    <n v="4"/>
    <n v="1.92"/>
    <n v="1.87"/>
    <n v="2.604166666666663E-2"/>
  </r>
  <r>
    <x v="176"/>
    <x v="7"/>
    <x v="6"/>
    <x v="4"/>
    <n v="4"/>
    <n v="1.92"/>
    <n v="1.87"/>
    <n v="2.604166666666663E-2"/>
  </r>
  <r>
    <x v="176"/>
    <x v="7"/>
    <x v="6"/>
    <x v="4"/>
    <n v="4"/>
    <n v="1.92"/>
    <n v="1.87"/>
    <n v="2.604166666666663E-2"/>
  </r>
  <r>
    <x v="176"/>
    <x v="7"/>
    <x v="6"/>
    <x v="4"/>
    <n v="4"/>
    <n v="1.92"/>
    <n v="1.87"/>
    <n v="2.604166666666663E-2"/>
  </r>
  <r>
    <x v="176"/>
    <x v="7"/>
    <x v="6"/>
    <x v="4"/>
    <n v="4"/>
    <n v="1.92"/>
    <n v="1.87"/>
    <n v="2.604166666666663E-2"/>
  </r>
  <r>
    <x v="176"/>
    <x v="9"/>
    <x v="1"/>
    <x v="15"/>
    <n v="32"/>
    <n v="0.52"/>
    <n v="0.48099999999999998"/>
    <n v="7.5000000000000067E-2"/>
  </r>
  <r>
    <x v="176"/>
    <x v="9"/>
    <x v="1"/>
    <x v="15"/>
    <n v="24"/>
    <n v="0.52"/>
    <n v="0.48099999999999998"/>
    <n v="7.5000000000000067E-2"/>
  </r>
  <r>
    <x v="176"/>
    <x v="9"/>
    <x v="1"/>
    <x v="15"/>
    <n v="8"/>
    <n v="0.52"/>
    <n v="0.45500000000000002"/>
    <n v="0.125"/>
  </r>
  <r>
    <x v="176"/>
    <x v="9"/>
    <x v="1"/>
    <x v="15"/>
    <n v="32"/>
    <n v="0.52"/>
    <n v="0.48099999999999998"/>
    <n v="7.5000000000000067E-2"/>
  </r>
  <r>
    <x v="176"/>
    <x v="9"/>
    <x v="1"/>
    <x v="15"/>
    <n v="24"/>
    <n v="0.52"/>
    <n v="0.48099999999999998"/>
    <n v="7.5000000000000067E-2"/>
  </r>
  <r>
    <x v="176"/>
    <x v="9"/>
    <x v="1"/>
    <x v="15"/>
    <n v="8"/>
    <n v="0.52"/>
    <n v="0.45500000000000002"/>
    <n v="0.125"/>
  </r>
  <r>
    <x v="176"/>
    <x v="9"/>
    <x v="1"/>
    <x v="15"/>
    <n v="32"/>
    <n v="0.52"/>
    <n v="0.48099999999999998"/>
    <n v="7.5000000000000067E-2"/>
  </r>
  <r>
    <x v="176"/>
    <x v="9"/>
    <x v="1"/>
    <x v="15"/>
    <n v="24"/>
    <n v="0.52"/>
    <n v="0.48099999999999998"/>
    <n v="7.5000000000000067E-2"/>
  </r>
  <r>
    <x v="176"/>
    <x v="9"/>
    <x v="1"/>
    <x v="15"/>
    <n v="8"/>
    <n v="0.52"/>
    <n v="0.45500000000000002"/>
    <n v="0.125"/>
  </r>
  <r>
    <x v="176"/>
    <x v="9"/>
    <x v="1"/>
    <x v="15"/>
    <n v="32"/>
    <n v="0.52"/>
    <n v="0.48099999999999998"/>
    <n v="7.5000000000000067E-2"/>
  </r>
  <r>
    <x v="176"/>
    <x v="9"/>
    <x v="1"/>
    <x v="15"/>
    <n v="24"/>
    <n v="0.52"/>
    <n v="0.48099999999999998"/>
    <n v="7.5000000000000067E-2"/>
  </r>
  <r>
    <x v="176"/>
    <x v="9"/>
    <x v="1"/>
    <x v="15"/>
    <n v="8"/>
    <n v="0.52"/>
    <n v="0.45500000000000002"/>
    <n v="0.125"/>
  </r>
  <r>
    <x v="176"/>
    <x v="9"/>
    <x v="1"/>
    <x v="15"/>
    <n v="32"/>
    <n v="0.52"/>
    <n v="0.48099999999999998"/>
    <n v="7.5000000000000067E-2"/>
  </r>
  <r>
    <x v="176"/>
    <x v="9"/>
    <x v="1"/>
    <x v="15"/>
    <n v="24"/>
    <n v="0.52"/>
    <n v="0.48099999999999998"/>
    <n v="7.5000000000000067E-2"/>
  </r>
  <r>
    <x v="176"/>
    <x v="7"/>
    <x v="6"/>
    <x v="4"/>
    <n v="4"/>
    <n v="1.92"/>
    <n v="1.87"/>
    <n v="2.604166666666663E-2"/>
  </r>
  <r>
    <x v="176"/>
    <x v="9"/>
    <x v="1"/>
    <x v="15"/>
    <n v="8"/>
    <n v="0.52"/>
    <n v="0.45500000000000002"/>
    <n v="0.125"/>
  </r>
  <r>
    <x v="176"/>
    <x v="9"/>
    <x v="1"/>
    <x v="15"/>
    <n v="8"/>
    <n v="0.52"/>
    <n v="0.45500000000000002"/>
    <n v="0.125"/>
  </r>
  <r>
    <x v="176"/>
    <x v="9"/>
    <x v="1"/>
    <x v="10"/>
    <n v="8"/>
    <n v="3.1"/>
    <n v="2.8"/>
    <n v="9.6774193548387233E-2"/>
  </r>
  <r>
    <x v="177"/>
    <x v="2"/>
    <x v="2"/>
    <x v="14"/>
    <n v="8"/>
    <n v="1.05"/>
    <n v="1"/>
    <n v="4.7619047619047672E-2"/>
  </r>
  <r>
    <x v="177"/>
    <x v="27"/>
    <x v="12"/>
    <x v="4"/>
    <n v="48"/>
    <n v="1.83"/>
    <n v="1.78"/>
    <n v="2.732240437158473E-2"/>
  </r>
  <r>
    <x v="177"/>
    <x v="2"/>
    <x v="2"/>
    <x v="14"/>
    <n v="8"/>
    <n v="1.05"/>
    <n v="1"/>
    <n v="4.7619047619047672E-2"/>
  </r>
  <r>
    <x v="177"/>
    <x v="27"/>
    <x v="12"/>
    <x v="4"/>
    <n v="48"/>
    <n v="1.83"/>
    <n v="1.78"/>
    <n v="2.732240437158473E-2"/>
  </r>
  <r>
    <x v="177"/>
    <x v="2"/>
    <x v="2"/>
    <x v="14"/>
    <n v="8"/>
    <n v="1.05"/>
    <n v="1"/>
    <n v="4.7619047619047672E-2"/>
  </r>
  <r>
    <x v="177"/>
    <x v="27"/>
    <x v="12"/>
    <x v="4"/>
    <n v="48"/>
    <n v="1.83"/>
    <n v="1.78"/>
    <n v="2.732240437158473E-2"/>
  </r>
  <r>
    <x v="177"/>
    <x v="2"/>
    <x v="2"/>
    <x v="14"/>
    <n v="8"/>
    <n v="1.05"/>
    <n v="1"/>
    <n v="4.7619047619047672E-2"/>
  </r>
  <r>
    <x v="177"/>
    <x v="27"/>
    <x v="12"/>
    <x v="4"/>
    <n v="48"/>
    <n v="1.83"/>
    <n v="1.78"/>
    <n v="2.732240437158473E-2"/>
  </r>
  <r>
    <x v="177"/>
    <x v="7"/>
    <x v="6"/>
    <x v="15"/>
    <n v="114"/>
    <n v="0.32"/>
    <n v="0.26"/>
    <n v="0.1875"/>
  </r>
  <r>
    <x v="177"/>
    <x v="6"/>
    <x v="5"/>
    <x v="10"/>
    <n v="64"/>
    <n v="2.85"/>
    <n v="2.5"/>
    <n v="0.1228070175438597"/>
  </r>
  <r>
    <x v="177"/>
    <x v="2"/>
    <x v="2"/>
    <x v="14"/>
    <n v="8"/>
    <n v="1.05"/>
    <n v="1"/>
    <n v="4.7619047619047672E-2"/>
  </r>
  <r>
    <x v="177"/>
    <x v="6"/>
    <x v="5"/>
    <x v="10"/>
    <n v="64"/>
    <n v="2.85"/>
    <n v="2.5"/>
    <n v="0.1228070175438597"/>
  </r>
  <r>
    <x v="177"/>
    <x v="6"/>
    <x v="5"/>
    <x v="10"/>
    <n v="64"/>
    <n v="2.85"/>
    <n v="2.5"/>
    <n v="0.1228070175438597"/>
  </r>
  <r>
    <x v="177"/>
    <x v="6"/>
    <x v="5"/>
    <x v="10"/>
    <n v="64"/>
    <n v="2.85"/>
    <n v="2.5"/>
    <n v="0.1228070175438597"/>
  </r>
  <r>
    <x v="177"/>
    <x v="27"/>
    <x v="12"/>
    <x v="4"/>
    <n v="48"/>
    <n v="1.83"/>
    <n v="1.78"/>
    <n v="2.732240437158473E-2"/>
  </r>
  <r>
    <x v="177"/>
    <x v="7"/>
    <x v="6"/>
    <x v="15"/>
    <n v="390"/>
    <n v="0.32"/>
    <n v="0.26"/>
    <n v="0.1875"/>
  </r>
  <r>
    <x v="177"/>
    <x v="6"/>
    <x v="5"/>
    <x v="10"/>
    <n v="64"/>
    <n v="2.85"/>
    <n v="2.5"/>
    <n v="0.1228070175438597"/>
  </r>
  <r>
    <x v="177"/>
    <x v="6"/>
    <x v="5"/>
    <x v="10"/>
    <n v="64"/>
    <n v="2.85"/>
    <n v="2.5"/>
    <n v="0.1228070175438597"/>
  </r>
  <r>
    <x v="177"/>
    <x v="2"/>
    <x v="2"/>
    <x v="14"/>
    <n v="8"/>
    <n v="1.05"/>
    <n v="1"/>
    <n v="4.7619047619047672E-2"/>
  </r>
  <r>
    <x v="177"/>
    <x v="0"/>
    <x v="0"/>
    <x v="4"/>
    <n v="24"/>
    <n v="2.4"/>
    <n v="2.1"/>
    <n v="0.12499999999999989"/>
  </r>
  <r>
    <x v="177"/>
    <x v="6"/>
    <x v="5"/>
    <x v="10"/>
    <n v="64"/>
    <n v="2.85"/>
    <n v="2.5"/>
    <n v="0.1228070175438597"/>
  </r>
  <r>
    <x v="177"/>
    <x v="7"/>
    <x v="6"/>
    <x v="15"/>
    <n v="390"/>
    <n v="0.32"/>
    <n v="0.26"/>
    <n v="0.1875"/>
  </r>
  <r>
    <x v="177"/>
    <x v="27"/>
    <x v="12"/>
    <x v="4"/>
    <n v="48"/>
    <n v="1.83"/>
    <n v="1.78"/>
    <n v="2.732240437158473E-2"/>
  </r>
  <r>
    <x v="177"/>
    <x v="2"/>
    <x v="2"/>
    <x v="14"/>
    <n v="8"/>
    <n v="1.05"/>
    <n v="1"/>
    <n v="4.7619047619047672E-2"/>
  </r>
  <r>
    <x v="177"/>
    <x v="9"/>
    <x v="1"/>
    <x v="10"/>
    <n v="24"/>
    <n v="3.1"/>
    <n v="2.65"/>
    <n v="0.14516129032258074"/>
  </r>
  <r>
    <x v="177"/>
    <x v="0"/>
    <x v="0"/>
    <x v="4"/>
    <n v="1008"/>
    <n v="2.61"/>
    <n v="2.5030000000000001"/>
    <n v="4.0996168582375425E-2"/>
  </r>
  <r>
    <x v="177"/>
    <x v="0"/>
    <x v="0"/>
    <x v="14"/>
    <n v="16"/>
    <n v="1.45"/>
    <n v="1.35"/>
    <n v="6.8965517241379226E-2"/>
  </r>
  <r>
    <x v="177"/>
    <x v="0"/>
    <x v="0"/>
    <x v="4"/>
    <n v="24"/>
    <n v="2.4"/>
    <n v="2.1"/>
    <n v="0.12499999999999989"/>
  </r>
  <r>
    <x v="177"/>
    <x v="6"/>
    <x v="5"/>
    <x v="10"/>
    <n v="64"/>
    <n v="2.85"/>
    <n v="2.5"/>
    <n v="0.1228070175438597"/>
  </r>
  <r>
    <x v="177"/>
    <x v="2"/>
    <x v="2"/>
    <x v="14"/>
    <n v="8"/>
    <n v="1.05"/>
    <n v="1"/>
    <n v="4.7619047619047672E-2"/>
  </r>
  <r>
    <x v="177"/>
    <x v="9"/>
    <x v="1"/>
    <x v="18"/>
    <n v="8"/>
    <n v="0.34"/>
    <n v="0.29799999999999999"/>
    <n v="0.123529411764706"/>
  </r>
  <r>
    <x v="177"/>
    <x v="3"/>
    <x v="1"/>
    <x v="18"/>
    <n v="1"/>
    <n v="0.3"/>
    <n v="0.26300000000000001"/>
    <n v="0.12333333333333329"/>
  </r>
  <r>
    <x v="177"/>
    <x v="9"/>
    <x v="1"/>
    <x v="10"/>
    <n v="24"/>
    <n v="2.5"/>
    <n v="2.25"/>
    <n v="9.9999999999999978E-2"/>
  </r>
  <r>
    <x v="177"/>
    <x v="7"/>
    <x v="6"/>
    <x v="15"/>
    <n v="390"/>
    <n v="0.32"/>
    <n v="0.26"/>
    <n v="0.1875"/>
  </r>
  <r>
    <x v="177"/>
    <x v="27"/>
    <x v="12"/>
    <x v="4"/>
    <n v="48"/>
    <n v="1.83"/>
    <n v="1.78"/>
    <n v="2.732240437158473E-2"/>
  </r>
  <r>
    <x v="178"/>
    <x v="12"/>
    <x v="1"/>
    <x v="18"/>
    <n v="2"/>
    <n v="0.32"/>
    <n v="0.28000000000000003"/>
    <n v="0.12499999999999989"/>
  </r>
  <r>
    <x v="178"/>
    <x v="0"/>
    <x v="0"/>
    <x v="25"/>
    <n v="8"/>
    <n v="0.78"/>
    <n v="0.68"/>
    <n v="0.12820512820512819"/>
  </r>
  <r>
    <x v="178"/>
    <x v="12"/>
    <x v="1"/>
    <x v="18"/>
    <n v="2"/>
    <n v="0.32"/>
    <n v="0.28000000000000003"/>
    <n v="0.12499999999999989"/>
  </r>
  <r>
    <x v="178"/>
    <x v="0"/>
    <x v="0"/>
    <x v="25"/>
    <n v="8"/>
    <n v="0.78"/>
    <n v="0.68"/>
    <n v="0.12820512820512819"/>
  </r>
  <r>
    <x v="178"/>
    <x v="0"/>
    <x v="0"/>
    <x v="25"/>
    <n v="8"/>
    <n v="0.78"/>
    <n v="0.68"/>
    <n v="0.12820512820512819"/>
  </r>
  <r>
    <x v="178"/>
    <x v="12"/>
    <x v="1"/>
    <x v="18"/>
    <n v="2"/>
    <n v="0.32"/>
    <n v="0.28000000000000003"/>
    <n v="0.12499999999999989"/>
  </r>
  <r>
    <x v="178"/>
    <x v="12"/>
    <x v="1"/>
    <x v="18"/>
    <n v="2"/>
    <n v="0.32"/>
    <n v="0.28000000000000003"/>
    <n v="0.12499999999999989"/>
  </r>
  <r>
    <x v="178"/>
    <x v="0"/>
    <x v="0"/>
    <x v="25"/>
    <n v="8"/>
    <n v="0.78"/>
    <n v="0.68"/>
    <n v="0.12820512820512819"/>
  </r>
  <r>
    <x v="178"/>
    <x v="12"/>
    <x v="1"/>
    <x v="18"/>
    <n v="2"/>
    <n v="0.32"/>
    <n v="0.28000000000000003"/>
    <n v="0.12499999999999989"/>
  </r>
  <r>
    <x v="178"/>
    <x v="0"/>
    <x v="0"/>
    <x v="25"/>
    <n v="8"/>
    <n v="0.78"/>
    <n v="0.68"/>
    <n v="0.12820512820512819"/>
  </r>
  <r>
    <x v="178"/>
    <x v="12"/>
    <x v="1"/>
    <x v="18"/>
    <n v="2"/>
    <n v="0.32"/>
    <n v="0.28000000000000003"/>
    <n v="0.12499999999999989"/>
  </r>
  <r>
    <x v="178"/>
    <x v="0"/>
    <x v="0"/>
    <x v="25"/>
    <n v="8"/>
    <n v="0.78"/>
    <n v="0.68"/>
    <n v="0.12820512820512819"/>
  </r>
  <r>
    <x v="178"/>
    <x v="0"/>
    <x v="0"/>
    <x v="25"/>
    <n v="8"/>
    <n v="0.78"/>
    <n v="0.68"/>
    <n v="0.12820512820512819"/>
  </r>
  <r>
    <x v="178"/>
    <x v="12"/>
    <x v="1"/>
    <x v="18"/>
    <n v="2"/>
    <n v="0.32"/>
    <n v="0.28000000000000003"/>
    <n v="0.12499999999999989"/>
  </r>
  <r>
    <x v="178"/>
    <x v="12"/>
    <x v="1"/>
    <x v="18"/>
    <n v="2"/>
    <n v="0.32"/>
    <n v="0.28000000000000003"/>
    <n v="0.12499999999999989"/>
  </r>
  <r>
    <x v="178"/>
    <x v="0"/>
    <x v="0"/>
    <x v="25"/>
    <n v="8"/>
    <n v="0.78"/>
    <n v="0.68"/>
    <n v="0.12820512820512819"/>
  </r>
  <r>
    <x v="178"/>
    <x v="28"/>
    <x v="1"/>
    <x v="10"/>
    <n v="8"/>
    <n v="3.3"/>
    <n v="3"/>
    <n v="9.0909090909090828E-2"/>
  </r>
  <r>
    <x v="178"/>
    <x v="28"/>
    <x v="1"/>
    <x v="10"/>
    <n v="8"/>
    <n v="3.3"/>
    <n v="3"/>
    <n v="9.0909090909090828E-2"/>
  </r>
  <r>
    <x v="178"/>
    <x v="28"/>
    <x v="1"/>
    <x v="10"/>
    <n v="8"/>
    <n v="3.3"/>
    <n v="3"/>
    <n v="9.0909090909090828E-2"/>
  </r>
  <r>
    <x v="178"/>
    <x v="28"/>
    <x v="1"/>
    <x v="10"/>
    <n v="8"/>
    <n v="3.3"/>
    <n v="3"/>
    <n v="9.0909090909090828E-2"/>
  </r>
  <r>
    <x v="178"/>
    <x v="0"/>
    <x v="0"/>
    <x v="18"/>
    <n v="2"/>
    <n v="0.32"/>
    <n v="0.28000000000000003"/>
    <n v="0.12499999999999989"/>
  </r>
  <r>
    <x v="178"/>
    <x v="0"/>
    <x v="0"/>
    <x v="25"/>
    <n v="8"/>
    <n v="0.78"/>
    <n v="0.68"/>
    <n v="0.12820512820512819"/>
  </r>
  <r>
    <x v="178"/>
    <x v="28"/>
    <x v="1"/>
    <x v="10"/>
    <n v="8"/>
    <n v="3.3"/>
    <n v="3"/>
    <n v="9.0909090909090828E-2"/>
  </r>
  <r>
    <x v="178"/>
    <x v="28"/>
    <x v="1"/>
    <x v="10"/>
    <n v="8"/>
    <n v="3.3"/>
    <n v="3"/>
    <n v="9.0909090909090828E-2"/>
  </r>
  <r>
    <x v="178"/>
    <x v="28"/>
    <x v="1"/>
    <x v="10"/>
    <n v="8"/>
    <n v="3.3"/>
    <n v="3"/>
    <n v="9.0909090909090828E-2"/>
  </r>
  <r>
    <x v="178"/>
    <x v="9"/>
    <x v="1"/>
    <x v="10"/>
    <n v="40"/>
    <n v="3.1"/>
    <n v="2.7"/>
    <n v="0.12903225806451613"/>
  </r>
  <r>
    <x v="178"/>
    <x v="3"/>
    <x v="1"/>
    <x v="5"/>
    <n v="8"/>
    <n v="0.88"/>
    <n v="0.77"/>
    <n v="0.125"/>
  </r>
  <r>
    <x v="178"/>
    <x v="28"/>
    <x v="1"/>
    <x v="10"/>
    <n v="8"/>
    <n v="3.3"/>
    <n v="3"/>
    <n v="9.0909090909090828E-2"/>
  </r>
  <r>
    <x v="178"/>
    <x v="9"/>
    <x v="1"/>
    <x v="10"/>
    <n v="40"/>
    <n v="3.1"/>
    <n v="2.7"/>
    <n v="0.12903225806451613"/>
  </r>
  <r>
    <x v="178"/>
    <x v="0"/>
    <x v="0"/>
    <x v="18"/>
    <n v="2"/>
    <n v="0.32"/>
    <n v="0.28000000000000003"/>
    <n v="0.12499999999999989"/>
  </r>
  <r>
    <x v="178"/>
    <x v="9"/>
    <x v="1"/>
    <x v="10"/>
    <n v="40"/>
    <n v="3.1"/>
    <n v="2.7"/>
    <n v="0.12903225806451613"/>
  </r>
  <r>
    <x v="178"/>
    <x v="3"/>
    <x v="1"/>
    <x v="5"/>
    <n v="8"/>
    <n v="0.88"/>
    <n v="0.77"/>
    <n v="0.125"/>
  </r>
  <r>
    <x v="178"/>
    <x v="0"/>
    <x v="0"/>
    <x v="25"/>
    <n v="8"/>
    <n v="0.78"/>
    <n v="0.68"/>
    <n v="0.12820512820512819"/>
  </r>
  <r>
    <x v="178"/>
    <x v="28"/>
    <x v="1"/>
    <x v="10"/>
    <n v="8"/>
    <n v="3.3"/>
    <n v="3"/>
    <n v="9.0909090909090828E-2"/>
  </r>
  <r>
    <x v="179"/>
    <x v="9"/>
    <x v="1"/>
    <x v="10"/>
    <n v="16"/>
    <n v="2.35"/>
    <n v="2.1"/>
    <n v="0.1063829787234043"/>
  </r>
  <r>
    <x v="179"/>
    <x v="9"/>
    <x v="1"/>
    <x v="10"/>
    <n v="16"/>
    <n v="2.35"/>
    <n v="2.1"/>
    <n v="0.1063829787234043"/>
  </r>
  <r>
    <x v="179"/>
    <x v="9"/>
    <x v="1"/>
    <x v="10"/>
    <n v="16"/>
    <n v="2.35"/>
    <n v="2.1"/>
    <n v="0.1063829787234043"/>
  </r>
  <r>
    <x v="179"/>
    <x v="9"/>
    <x v="1"/>
    <x v="10"/>
    <n v="24"/>
    <n v="2.35"/>
    <n v="2.1"/>
    <n v="0.1063829787234043"/>
  </r>
  <r>
    <x v="179"/>
    <x v="13"/>
    <x v="7"/>
    <x v="10"/>
    <n v="8"/>
    <n v="2.25"/>
    <n v="2"/>
    <n v="0.11111111111111116"/>
  </r>
  <r>
    <x v="179"/>
    <x v="9"/>
    <x v="1"/>
    <x v="10"/>
    <n v="24"/>
    <n v="2.35"/>
    <n v="2.1"/>
    <n v="0.1063829787234043"/>
  </r>
  <r>
    <x v="179"/>
    <x v="9"/>
    <x v="1"/>
    <x v="10"/>
    <n v="24"/>
    <n v="2.35"/>
    <n v="2.1"/>
    <n v="0.1063829787234043"/>
  </r>
  <r>
    <x v="179"/>
    <x v="13"/>
    <x v="7"/>
    <x v="10"/>
    <n v="8"/>
    <n v="2.25"/>
    <n v="2"/>
    <n v="0.11111111111111116"/>
  </r>
  <r>
    <x v="179"/>
    <x v="9"/>
    <x v="1"/>
    <x v="10"/>
    <n v="24"/>
    <n v="2.35"/>
    <n v="2.1"/>
    <n v="0.1063829787234043"/>
  </r>
  <r>
    <x v="179"/>
    <x v="13"/>
    <x v="7"/>
    <x v="10"/>
    <n v="8"/>
    <n v="2.25"/>
    <n v="2"/>
    <n v="0.11111111111111116"/>
  </r>
  <r>
    <x v="179"/>
    <x v="9"/>
    <x v="1"/>
    <x v="10"/>
    <n v="24"/>
    <n v="2.35"/>
    <n v="2.1"/>
    <n v="0.1063829787234043"/>
  </r>
  <r>
    <x v="179"/>
    <x v="13"/>
    <x v="7"/>
    <x v="10"/>
    <n v="8"/>
    <n v="2.25"/>
    <n v="2"/>
    <n v="0.11111111111111116"/>
  </r>
  <r>
    <x v="179"/>
    <x v="9"/>
    <x v="1"/>
    <x v="10"/>
    <n v="24"/>
    <n v="2.35"/>
    <n v="2.1"/>
    <n v="0.1063829787234043"/>
  </r>
  <r>
    <x v="179"/>
    <x v="13"/>
    <x v="7"/>
    <x v="10"/>
    <n v="8"/>
    <n v="2.25"/>
    <n v="2"/>
    <n v="0.11111111111111116"/>
  </r>
  <r>
    <x v="179"/>
    <x v="9"/>
    <x v="1"/>
    <x v="10"/>
    <n v="24"/>
    <n v="2.35"/>
    <n v="2.1"/>
    <n v="0.1063829787234043"/>
  </r>
  <r>
    <x v="179"/>
    <x v="13"/>
    <x v="7"/>
    <x v="10"/>
    <n v="8"/>
    <n v="2.25"/>
    <n v="2"/>
    <n v="0.11111111111111116"/>
  </r>
  <r>
    <x v="179"/>
    <x v="9"/>
    <x v="1"/>
    <x v="10"/>
    <n v="24"/>
    <n v="3.15"/>
    <n v="2.7"/>
    <n v="0.14285714285714279"/>
  </r>
  <r>
    <x v="179"/>
    <x v="13"/>
    <x v="7"/>
    <x v="10"/>
    <n v="8"/>
    <n v="2.25"/>
    <n v="2"/>
    <n v="0.11111111111111116"/>
  </r>
  <r>
    <x v="179"/>
    <x v="9"/>
    <x v="1"/>
    <x v="10"/>
    <n v="24"/>
    <n v="3.15"/>
    <n v="2.7"/>
    <n v="0.14285714285714279"/>
  </r>
  <r>
    <x v="179"/>
    <x v="13"/>
    <x v="7"/>
    <x v="10"/>
    <n v="8"/>
    <n v="2.6"/>
    <n v="2.2000000000000002"/>
    <n v="0.15384615384615385"/>
  </r>
  <r>
    <x v="179"/>
    <x v="9"/>
    <x v="1"/>
    <x v="10"/>
    <n v="32"/>
    <n v="3.15"/>
    <n v="2.7"/>
    <n v="0.14285714285714279"/>
  </r>
  <r>
    <x v="179"/>
    <x v="9"/>
    <x v="1"/>
    <x v="10"/>
    <n v="8"/>
    <n v="3.15"/>
    <n v="2.7"/>
    <n v="0.14285714285714279"/>
  </r>
  <r>
    <x v="179"/>
    <x v="9"/>
    <x v="1"/>
    <x v="10"/>
    <n v="32"/>
    <n v="3.15"/>
    <n v="2.7"/>
    <n v="0.14285714285714279"/>
  </r>
  <r>
    <x v="179"/>
    <x v="9"/>
    <x v="1"/>
    <x v="10"/>
    <n v="8"/>
    <n v="3.15"/>
    <n v="2.7"/>
    <n v="0.14285714285714279"/>
  </r>
  <r>
    <x v="179"/>
    <x v="9"/>
    <x v="1"/>
    <x v="10"/>
    <n v="32"/>
    <n v="3.15"/>
    <n v="2.7"/>
    <n v="0.14285714285714279"/>
  </r>
  <r>
    <x v="179"/>
    <x v="9"/>
    <x v="1"/>
    <x v="10"/>
    <n v="8"/>
    <n v="3.15"/>
    <n v="2.7"/>
    <n v="0.14285714285714279"/>
  </r>
  <r>
    <x v="179"/>
    <x v="9"/>
    <x v="1"/>
    <x v="10"/>
    <n v="32"/>
    <n v="3.15"/>
    <n v="2.7"/>
    <n v="0.14285714285714279"/>
  </r>
  <r>
    <x v="179"/>
    <x v="9"/>
    <x v="1"/>
    <x v="10"/>
    <n v="8"/>
    <n v="3.15"/>
    <n v="2.7"/>
    <n v="0.14285714285714279"/>
  </r>
  <r>
    <x v="179"/>
    <x v="9"/>
    <x v="1"/>
    <x v="10"/>
    <n v="32"/>
    <n v="3.15"/>
    <n v="2.7"/>
    <n v="0.14285714285714279"/>
  </r>
  <r>
    <x v="179"/>
    <x v="9"/>
    <x v="1"/>
    <x v="10"/>
    <n v="8"/>
    <n v="3.15"/>
    <n v="2.7"/>
    <n v="0.14285714285714279"/>
  </r>
  <r>
    <x v="179"/>
    <x v="9"/>
    <x v="1"/>
    <x v="10"/>
    <n v="24"/>
    <n v="3.15"/>
    <n v="2.7"/>
    <n v="0.14285714285714279"/>
  </r>
  <r>
    <x v="179"/>
    <x v="9"/>
    <x v="1"/>
    <x v="10"/>
    <n v="80"/>
    <n v="3.1"/>
    <n v="2.7"/>
    <n v="0.12903225806451613"/>
  </r>
  <r>
    <x v="179"/>
    <x v="9"/>
    <x v="1"/>
    <x v="10"/>
    <n v="8"/>
    <n v="3.15"/>
    <n v="2.7"/>
    <n v="0.14285714285714279"/>
  </r>
  <r>
    <x v="180"/>
    <x v="9"/>
    <x v="1"/>
    <x v="11"/>
    <n v="8"/>
    <n v="0.34"/>
    <n v="0.29799999999999999"/>
    <n v="0.123529411764706"/>
  </r>
  <r>
    <x v="180"/>
    <x v="9"/>
    <x v="1"/>
    <x v="18"/>
    <n v="8"/>
    <n v="0.34"/>
    <n v="0.29799999999999999"/>
    <n v="0.123529411764706"/>
  </r>
  <r>
    <x v="180"/>
    <x v="9"/>
    <x v="1"/>
    <x v="18"/>
    <n v="8"/>
    <n v="0.34"/>
    <n v="0.29799999999999999"/>
    <n v="0.123529411764706"/>
  </r>
  <r>
    <x v="180"/>
    <x v="3"/>
    <x v="1"/>
    <x v="18"/>
    <n v="8"/>
    <n v="0.34"/>
    <n v="0.29799999999999999"/>
    <n v="0.123529411764706"/>
  </r>
  <r>
    <x v="180"/>
    <x v="3"/>
    <x v="1"/>
    <x v="10"/>
    <n v="8"/>
    <n v="3.2"/>
    <n v="2.8"/>
    <n v="0.12500000000000011"/>
  </r>
  <r>
    <x v="180"/>
    <x v="3"/>
    <x v="1"/>
    <x v="18"/>
    <n v="8"/>
    <n v="0.34"/>
    <n v="0.29799999999999999"/>
    <n v="0.123529411764706"/>
  </r>
  <r>
    <x v="181"/>
    <x v="12"/>
    <x v="1"/>
    <x v="15"/>
    <n v="8"/>
    <n v="0.65"/>
    <n v="0.56899999999999995"/>
    <n v="0.12461538461538468"/>
  </r>
  <r>
    <x v="181"/>
    <x v="12"/>
    <x v="1"/>
    <x v="15"/>
    <n v="8"/>
    <n v="0.65"/>
    <n v="0.56899999999999995"/>
    <n v="0.12461538461538468"/>
  </r>
  <r>
    <x v="181"/>
    <x v="12"/>
    <x v="1"/>
    <x v="15"/>
    <n v="8"/>
    <n v="0.65"/>
    <n v="0.56899999999999995"/>
    <n v="0.12461538461538468"/>
  </r>
  <r>
    <x v="181"/>
    <x v="12"/>
    <x v="1"/>
    <x v="15"/>
    <n v="8"/>
    <n v="0.65"/>
    <n v="0.56899999999999995"/>
    <n v="0.12461538461538468"/>
  </r>
  <r>
    <x v="181"/>
    <x v="12"/>
    <x v="1"/>
    <x v="15"/>
    <n v="8"/>
    <n v="0.65"/>
    <n v="0.56899999999999995"/>
    <n v="0.12461538461538468"/>
  </r>
  <r>
    <x v="181"/>
    <x v="12"/>
    <x v="1"/>
    <x v="15"/>
    <n v="8"/>
    <n v="0.65"/>
    <n v="0.56899999999999995"/>
    <n v="0.12461538461538468"/>
  </r>
  <r>
    <x v="181"/>
    <x v="12"/>
    <x v="1"/>
    <x v="15"/>
    <n v="8"/>
    <n v="0.65"/>
    <n v="0.56899999999999995"/>
    <n v="0.12461538461538468"/>
  </r>
  <r>
    <x v="182"/>
    <x v="0"/>
    <x v="0"/>
    <x v="17"/>
    <n v="1"/>
    <n v="2.0499999999999998"/>
    <n v="1.8"/>
    <n v="0.12195121951219501"/>
  </r>
  <r>
    <x v="182"/>
    <x v="0"/>
    <x v="0"/>
    <x v="17"/>
    <n v="1"/>
    <n v="2.0499999999999998"/>
    <n v="1.79"/>
    <n v="0.12682926829268282"/>
  </r>
  <r>
    <x v="183"/>
    <x v="9"/>
    <x v="1"/>
    <x v="18"/>
    <n v="16"/>
    <n v="0.3"/>
    <n v="0.26300000000000001"/>
    <n v="0.12333333333333329"/>
  </r>
  <r>
    <x v="183"/>
    <x v="9"/>
    <x v="1"/>
    <x v="15"/>
    <n v="16"/>
    <n v="0.52"/>
    <n v="0.45500000000000002"/>
    <n v="0.125"/>
  </r>
  <r>
    <x v="183"/>
    <x v="9"/>
    <x v="1"/>
    <x v="18"/>
    <n v="16"/>
    <n v="0.3"/>
    <n v="0.26300000000000001"/>
    <n v="0.12333333333333329"/>
  </r>
  <r>
    <x v="183"/>
    <x v="9"/>
    <x v="1"/>
    <x v="15"/>
    <n v="16"/>
    <n v="0.52"/>
    <n v="0.45500000000000002"/>
    <n v="0.125"/>
  </r>
  <r>
    <x v="183"/>
    <x v="9"/>
    <x v="1"/>
    <x v="18"/>
    <n v="16"/>
    <n v="0.3"/>
    <n v="0.26300000000000001"/>
    <n v="0.12333333333333329"/>
  </r>
  <r>
    <x v="183"/>
    <x v="9"/>
    <x v="1"/>
    <x v="15"/>
    <n v="16"/>
    <n v="0.52"/>
    <n v="0.45500000000000002"/>
    <n v="0.125"/>
  </r>
  <r>
    <x v="183"/>
    <x v="9"/>
    <x v="1"/>
    <x v="18"/>
    <n v="16"/>
    <n v="0.3"/>
    <n v="0.26300000000000001"/>
    <n v="0.12333333333333329"/>
  </r>
  <r>
    <x v="183"/>
    <x v="9"/>
    <x v="1"/>
    <x v="15"/>
    <n v="16"/>
    <n v="0.52"/>
    <n v="0.45500000000000002"/>
    <n v="0.125"/>
  </r>
  <r>
    <x v="183"/>
    <x v="9"/>
    <x v="1"/>
    <x v="18"/>
    <n v="16"/>
    <n v="0.3"/>
    <n v="0.26300000000000001"/>
    <n v="0.12333333333333329"/>
  </r>
  <r>
    <x v="183"/>
    <x v="9"/>
    <x v="1"/>
    <x v="15"/>
    <n v="16"/>
    <n v="0.52"/>
    <n v="0.45500000000000002"/>
    <n v="0.125"/>
  </r>
  <r>
    <x v="183"/>
    <x v="9"/>
    <x v="1"/>
    <x v="18"/>
    <n v="16"/>
    <n v="0.3"/>
    <n v="0.26300000000000001"/>
    <n v="0.12333333333333329"/>
  </r>
  <r>
    <x v="183"/>
    <x v="9"/>
    <x v="1"/>
    <x v="15"/>
    <n v="16"/>
    <n v="0.52"/>
    <n v="0.45500000000000002"/>
    <n v="0.125"/>
  </r>
  <r>
    <x v="183"/>
    <x v="9"/>
    <x v="1"/>
    <x v="18"/>
    <n v="16"/>
    <n v="0.3"/>
    <n v="0.26300000000000001"/>
    <n v="0.12333333333333329"/>
  </r>
  <r>
    <x v="183"/>
    <x v="9"/>
    <x v="1"/>
    <x v="15"/>
    <n v="16"/>
    <n v="0.52"/>
    <n v="0.45500000000000002"/>
    <n v="0.125"/>
  </r>
  <r>
    <x v="183"/>
    <x v="9"/>
    <x v="1"/>
    <x v="18"/>
    <n v="16"/>
    <n v="0.3"/>
    <n v="0.26300000000000001"/>
    <n v="0.12333333333333329"/>
  </r>
  <r>
    <x v="183"/>
    <x v="9"/>
    <x v="1"/>
    <x v="15"/>
    <n v="16"/>
    <n v="0.52"/>
    <n v="0.45500000000000002"/>
    <n v="0.125"/>
  </r>
  <r>
    <x v="183"/>
    <x v="9"/>
    <x v="1"/>
    <x v="18"/>
    <n v="16"/>
    <n v="0.3"/>
    <n v="0.26300000000000001"/>
    <n v="0.12333333333333329"/>
  </r>
  <r>
    <x v="183"/>
    <x v="9"/>
    <x v="1"/>
    <x v="15"/>
    <n v="16"/>
    <n v="0.52"/>
    <n v="0.45500000000000002"/>
    <n v="0.125"/>
  </r>
  <r>
    <x v="183"/>
    <x v="9"/>
    <x v="1"/>
    <x v="18"/>
    <n v="16"/>
    <n v="0.3"/>
    <n v="0.26300000000000001"/>
    <n v="0.12333333333333329"/>
  </r>
  <r>
    <x v="183"/>
    <x v="9"/>
    <x v="1"/>
    <x v="15"/>
    <n v="16"/>
    <n v="0.52"/>
    <n v="0.45500000000000002"/>
    <n v="0.125"/>
  </r>
  <r>
    <x v="183"/>
    <x v="9"/>
    <x v="1"/>
    <x v="25"/>
    <n v="8"/>
    <n v="0.65"/>
    <n v="0.59"/>
    <n v="9.2307692307692424E-2"/>
  </r>
  <r>
    <x v="183"/>
    <x v="3"/>
    <x v="1"/>
    <x v="4"/>
    <n v="8"/>
    <n v="2.5"/>
    <n v="2.1880000000000002"/>
    <n v="0.12479999999999991"/>
  </r>
  <r>
    <x v="183"/>
    <x v="9"/>
    <x v="1"/>
    <x v="18"/>
    <n v="16"/>
    <n v="0.3"/>
    <n v="0.26300000000000001"/>
    <n v="0.12333333333333329"/>
  </r>
  <r>
    <x v="183"/>
    <x v="9"/>
    <x v="1"/>
    <x v="15"/>
    <n v="16"/>
    <n v="0.52"/>
    <n v="0.45500000000000002"/>
    <n v="0.125"/>
  </r>
  <r>
    <x v="184"/>
    <x v="9"/>
    <x v="1"/>
    <x v="10"/>
    <n v="24"/>
    <n v="3.1"/>
    <n v="2.7"/>
    <n v="0.12903225806451613"/>
  </r>
  <r>
    <x v="184"/>
    <x v="9"/>
    <x v="1"/>
    <x v="10"/>
    <n v="24"/>
    <n v="3.1"/>
    <n v="2.7"/>
    <n v="0.12903225806451613"/>
  </r>
  <r>
    <x v="184"/>
    <x v="9"/>
    <x v="1"/>
    <x v="10"/>
    <n v="24"/>
    <n v="3.1"/>
    <n v="2.7"/>
    <n v="0.12903225806451613"/>
  </r>
  <r>
    <x v="184"/>
    <x v="0"/>
    <x v="0"/>
    <x v="10"/>
    <n v="40"/>
    <n v="3.1"/>
    <n v="2.7"/>
    <n v="0.12903225806451613"/>
  </r>
  <r>
    <x v="184"/>
    <x v="9"/>
    <x v="1"/>
    <x v="10"/>
    <n v="24"/>
    <n v="3.1"/>
    <n v="2.7"/>
    <n v="0.12903225806451613"/>
  </r>
  <r>
    <x v="185"/>
    <x v="6"/>
    <x v="5"/>
    <x v="10"/>
    <n v="64"/>
    <n v="2.8"/>
    <n v="2.5"/>
    <n v="0.1071428571428571"/>
  </r>
  <r>
    <x v="185"/>
    <x v="3"/>
    <x v="1"/>
    <x v="2"/>
    <m/>
    <n v="0.41"/>
    <n v="0.36"/>
    <n v="0.12195121951219512"/>
  </r>
  <r>
    <x v="185"/>
    <x v="3"/>
    <x v="1"/>
    <x v="13"/>
    <n v="1"/>
    <n v="0.41"/>
    <n v="0.36"/>
    <n v="0.12195121951219512"/>
  </r>
  <r>
    <x v="185"/>
    <x v="3"/>
    <x v="1"/>
    <x v="13"/>
    <n v="1"/>
    <n v="0.41"/>
    <n v="0.36"/>
    <n v="0.12195121951219512"/>
  </r>
  <r>
    <x v="185"/>
    <x v="4"/>
    <x v="3"/>
    <x v="10"/>
    <n v="8"/>
    <n v="2.4500000000000002"/>
    <n v="2.4"/>
    <n v="2.0408163265306256E-2"/>
  </r>
  <r>
    <x v="185"/>
    <x v="6"/>
    <x v="5"/>
    <x v="10"/>
    <n v="64"/>
    <n v="2.8"/>
    <n v="2.5"/>
    <n v="0.1071428571428571"/>
  </r>
  <r>
    <x v="186"/>
    <x v="9"/>
    <x v="1"/>
    <x v="10"/>
    <n v="8"/>
    <n v="3.1"/>
    <n v="2.66"/>
    <n v="0.14193548387096777"/>
  </r>
  <r>
    <x v="186"/>
    <x v="9"/>
    <x v="1"/>
    <x v="10"/>
    <n v="8"/>
    <n v="3.1"/>
    <n v="2.66"/>
    <n v="0.14193548387096777"/>
  </r>
  <r>
    <x v="186"/>
    <x v="9"/>
    <x v="1"/>
    <x v="10"/>
    <n v="8"/>
    <n v="3.1"/>
    <n v="2.66"/>
    <n v="0.14193548387096777"/>
  </r>
  <r>
    <x v="186"/>
    <x v="9"/>
    <x v="1"/>
    <x v="10"/>
    <n v="8"/>
    <n v="3.1"/>
    <n v="2.66"/>
    <n v="0.14193548387096777"/>
  </r>
  <r>
    <x v="186"/>
    <x v="6"/>
    <x v="5"/>
    <x v="15"/>
    <n v="200"/>
    <n v="0.57999999999999996"/>
    <n v="0.50800000000000001"/>
    <n v="0.12413793103448267"/>
  </r>
  <r>
    <x v="187"/>
    <x v="0"/>
    <x v="0"/>
    <x v="2"/>
    <n v="1"/>
    <n v="0.22"/>
    <n v="0.2"/>
    <n v="9.0909090909090828E-2"/>
  </r>
  <r>
    <x v="187"/>
    <x v="0"/>
    <x v="0"/>
    <x v="2"/>
    <n v="1"/>
    <n v="0.22"/>
    <n v="0.2"/>
    <n v="9.0909090909090828E-2"/>
  </r>
  <r>
    <x v="187"/>
    <x v="0"/>
    <x v="0"/>
    <x v="2"/>
    <n v="1"/>
    <n v="0.22"/>
    <n v="0.2"/>
    <n v="9.0909090909090828E-2"/>
  </r>
  <r>
    <x v="187"/>
    <x v="0"/>
    <x v="0"/>
    <x v="2"/>
    <n v="1"/>
    <n v="0.22"/>
    <n v="0.2"/>
    <n v="9.0909090909090828E-2"/>
  </r>
  <r>
    <x v="187"/>
    <x v="0"/>
    <x v="0"/>
    <x v="2"/>
    <n v="1"/>
    <n v="0.22"/>
    <n v="0.2"/>
    <n v="9.0909090909090828E-2"/>
  </r>
  <r>
    <x v="187"/>
    <x v="0"/>
    <x v="0"/>
    <x v="2"/>
    <n v="1"/>
    <n v="0.22"/>
    <n v="0.2"/>
    <n v="9.0909090909090828E-2"/>
  </r>
  <r>
    <x v="187"/>
    <x v="0"/>
    <x v="0"/>
    <x v="2"/>
    <n v="1"/>
    <n v="0.22"/>
    <n v="0.2"/>
    <n v="9.0909090909090828E-2"/>
  </r>
  <r>
    <x v="187"/>
    <x v="3"/>
    <x v="1"/>
    <x v="11"/>
    <n v="8"/>
    <n v="0.34"/>
    <n v="0.29799999999999999"/>
    <n v="0.123529411764706"/>
  </r>
  <r>
    <x v="187"/>
    <x v="3"/>
    <x v="1"/>
    <x v="11"/>
    <n v="8"/>
    <n v="0.34"/>
    <n v="0.29799999999999999"/>
    <n v="0.123529411764706"/>
  </r>
  <r>
    <x v="187"/>
    <x v="3"/>
    <x v="1"/>
    <x v="11"/>
    <n v="8"/>
    <n v="0.34"/>
    <n v="0.29799999999999999"/>
    <n v="0.123529411764706"/>
  </r>
  <r>
    <x v="187"/>
    <x v="3"/>
    <x v="1"/>
    <x v="11"/>
    <n v="8"/>
    <n v="0.34"/>
    <n v="0.29799999999999999"/>
    <n v="0.123529411764706"/>
  </r>
  <r>
    <x v="187"/>
    <x v="0"/>
    <x v="0"/>
    <x v="2"/>
    <n v="1"/>
    <n v="0.22"/>
    <n v="0.2"/>
    <n v="9.0909090909090828E-2"/>
  </r>
  <r>
    <x v="187"/>
    <x v="3"/>
    <x v="1"/>
    <x v="11"/>
    <n v="8"/>
    <n v="0.34"/>
    <n v="0.29799999999999999"/>
    <n v="0.123529411764706"/>
  </r>
  <r>
    <x v="187"/>
    <x v="3"/>
    <x v="1"/>
    <x v="11"/>
    <n v="8"/>
    <n v="0.34"/>
    <n v="0.29799999999999999"/>
    <n v="0.123529411764706"/>
  </r>
  <r>
    <x v="187"/>
    <x v="3"/>
    <x v="1"/>
    <x v="11"/>
    <n v="8"/>
    <n v="0.34"/>
    <n v="0.29799999999999999"/>
    <n v="0.123529411764706"/>
  </r>
  <r>
    <x v="187"/>
    <x v="3"/>
    <x v="1"/>
    <x v="11"/>
    <n v="8"/>
    <n v="0.34"/>
    <n v="0.29799999999999999"/>
    <n v="0.123529411764706"/>
  </r>
  <r>
    <x v="187"/>
    <x v="3"/>
    <x v="1"/>
    <x v="11"/>
    <n v="8"/>
    <n v="0.34"/>
    <n v="0.29799999999999999"/>
    <n v="0.123529411764706"/>
  </r>
  <r>
    <x v="187"/>
    <x v="3"/>
    <x v="1"/>
    <x v="11"/>
    <n v="8"/>
    <n v="0.34"/>
    <n v="0.29799999999999999"/>
    <n v="0.123529411764706"/>
  </r>
  <r>
    <x v="187"/>
    <x v="0"/>
    <x v="0"/>
    <x v="2"/>
    <n v="1"/>
    <n v="0.22"/>
    <n v="0.2"/>
    <n v="9.0909090909090828E-2"/>
  </r>
  <r>
    <x v="187"/>
    <x v="3"/>
    <x v="1"/>
    <x v="18"/>
    <n v="8"/>
    <n v="0.34"/>
    <n v="0.29799999999999999"/>
    <n v="0.123529411764706"/>
  </r>
  <r>
    <x v="187"/>
    <x v="3"/>
    <x v="1"/>
    <x v="18"/>
    <n v="8"/>
    <n v="0.34"/>
    <n v="0.29799999999999999"/>
    <n v="0.123529411764706"/>
  </r>
  <r>
    <x v="187"/>
    <x v="3"/>
    <x v="1"/>
    <x v="18"/>
    <n v="8"/>
    <n v="0.34"/>
    <n v="0.29799999999999999"/>
    <n v="0.123529411764706"/>
  </r>
  <r>
    <x v="187"/>
    <x v="3"/>
    <x v="1"/>
    <x v="18"/>
    <n v="8"/>
    <n v="0.34"/>
    <n v="0.29799999999999999"/>
    <n v="0.123529411764706"/>
  </r>
  <r>
    <x v="187"/>
    <x v="3"/>
    <x v="1"/>
    <x v="18"/>
    <n v="8"/>
    <n v="0.34"/>
    <n v="0.29799999999999999"/>
    <n v="0.123529411764706"/>
  </r>
  <r>
    <x v="187"/>
    <x v="3"/>
    <x v="1"/>
    <x v="18"/>
    <n v="8"/>
    <n v="0.34"/>
    <n v="0.29799999999999999"/>
    <n v="0.123529411764706"/>
  </r>
  <r>
    <x v="187"/>
    <x v="3"/>
    <x v="1"/>
    <x v="18"/>
    <n v="8"/>
    <n v="0.34"/>
    <n v="0.29799999999999999"/>
    <n v="0.123529411764706"/>
  </r>
  <r>
    <x v="187"/>
    <x v="3"/>
    <x v="1"/>
    <x v="18"/>
    <n v="8"/>
    <n v="0.34"/>
    <n v="0.29799999999999999"/>
    <n v="0.123529411764706"/>
  </r>
  <r>
    <x v="187"/>
    <x v="0"/>
    <x v="0"/>
    <x v="18"/>
    <n v="1"/>
    <n v="0.22"/>
    <n v="0.2"/>
    <n v="9.0909090909090828E-2"/>
  </r>
  <r>
    <x v="187"/>
    <x v="3"/>
    <x v="1"/>
    <x v="18"/>
    <n v="8"/>
    <n v="0.34"/>
    <n v="0.29799999999999999"/>
    <n v="0.123529411764706"/>
  </r>
  <r>
    <x v="187"/>
    <x v="3"/>
    <x v="1"/>
    <x v="18"/>
    <n v="8"/>
    <n v="0.34"/>
    <n v="0.29799999999999999"/>
    <n v="0.123529411764706"/>
  </r>
  <r>
    <x v="187"/>
    <x v="0"/>
    <x v="0"/>
    <x v="25"/>
    <n v="8"/>
    <n v="0.57999999999999996"/>
    <n v="0.52"/>
    <n v="0.10344827586206884"/>
  </r>
  <r>
    <x v="188"/>
    <x v="6"/>
    <x v="5"/>
    <x v="10"/>
    <n v="256"/>
    <n v="2.35"/>
    <n v="2.1"/>
    <n v="0.1063829787234043"/>
  </r>
  <r>
    <x v="188"/>
    <x v="6"/>
    <x v="5"/>
    <x v="2"/>
    <n v="256"/>
    <n v="0.25"/>
    <m/>
    <n v="1"/>
  </r>
  <r>
    <x v="189"/>
    <x v="12"/>
    <x v="1"/>
    <x v="4"/>
    <n v="16"/>
    <n v="2.25"/>
    <n v="1.9"/>
    <n v="0.15555555555555556"/>
  </r>
  <r>
    <x v="190"/>
    <x v="0"/>
    <x v="0"/>
    <x v="2"/>
    <m/>
    <n v="35"/>
    <n v="30"/>
    <n v="0.1428571428571429"/>
  </r>
  <r>
    <x v="190"/>
    <x v="0"/>
    <x v="0"/>
    <x v="2"/>
    <m/>
    <n v="35"/>
    <n v="30"/>
    <n v="0.1428571428571429"/>
  </r>
  <r>
    <x v="190"/>
    <x v="0"/>
    <x v="0"/>
    <x v="2"/>
    <m/>
    <n v="35"/>
    <n v="30"/>
    <n v="0.1428571428571429"/>
  </r>
  <r>
    <x v="190"/>
    <x v="0"/>
    <x v="0"/>
    <x v="2"/>
    <m/>
    <n v="35"/>
    <n v="30"/>
    <n v="0.1428571428571429"/>
  </r>
  <r>
    <x v="190"/>
    <x v="0"/>
    <x v="0"/>
    <x v="2"/>
    <m/>
    <n v="35"/>
    <n v="30"/>
    <n v="0.1428571428571429"/>
  </r>
  <r>
    <x v="190"/>
    <x v="0"/>
    <x v="0"/>
    <x v="2"/>
    <n v="42"/>
    <n v="35"/>
    <n v="30"/>
    <n v="0.1428571428571429"/>
  </r>
  <r>
    <x v="190"/>
    <x v="0"/>
    <x v="0"/>
    <x v="23"/>
    <n v="42"/>
    <n v="35"/>
    <n v="30"/>
    <n v="0.1428571428571429"/>
  </r>
  <r>
    <x v="190"/>
    <x v="4"/>
    <x v="3"/>
    <x v="14"/>
    <n v="8"/>
    <n v="1.32"/>
    <n v="1.1399999999999999"/>
    <n v="0.13636363636363646"/>
  </r>
  <r>
    <x v="190"/>
    <x v="4"/>
    <x v="3"/>
    <x v="14"/>
    <n v="8"/>
    <n v="1.32"/>
    <n v="1.1399999999999999"/>
    <n v="0.13636363636363646"/>
  </r>
  <r>
    <x v="190"/>
    <x v="0"/>
    <x v="0"/>
    <x v="2"/>
    <n v="42"/>
    <n v="35"/>
    <n v="30"/>
    <n v="0.1428571428571429"/>
  </r>
  <r>
    <x v="190"/>
    <x v="4"/>
    <x v="3"/>
    <x v="14"/>
    <n v="8"/>
    <n v="1.32"/>
    <n v="1.1399999999999999"/>
    <n v="0.13636363636363646"/>
  </r>
  <r>
    <x v="190"/>
    <x v="0"/>
    <x v="0"/>
    <x v="2"/>
    <n v="42"/>
    <n v="35"/>
    <n v="30"/>
    <n v="0.1428571428571429"/>
  </r>
  <r>
    <x v="190"/>
    <x v="12"/>
    <x v="1"/>
    <x v="10"/>
    <n v="8"/>
    <n v="2.65"/>
    <n v="2.5"/>
    <n v="5.6603773584905648E-2"/>
  </r>
  <r>
    <x v="190"/>
    <x v="9"/>
    <x v="1"/>
    <x v="13"/>
    <n v="1"/>
    <n v="125"/>
    <n v="109"/>
    <n v="0.128"/>
  </r>
  <r>
    <x v="190"/>
    <x v="4"/>
    <x v="3"/>
    <x v="14"/>
    <n v="8"/>
    <n v="1.32"/>
    <n v="1.1399999999999999"/>
    <n v="0.13636363636363646"/>
  </r>
  <r>
    <x v="190"/>
    <x v="18"/>
    <x v="7"/>
    <x v="10"/>
    <n v="8"/>
    <n v="2.65"/>
    <n v="2.5"/>
    <n v="5.6603773584905648E-2"/>
  </r>
  <r>
    <x v="190"/>
    <x v="0"/>
    <x v="0"/>
    <x v="23"/>
    <n v="42"/>
    <n v="35"/>
    <n v="30"/>
    <n v="0.1428571428571429"/>
  </r>
  <r>
    <x v="190"/>
    <x v="9"/>
    <x v="1"/>
    <x v="13"/>
    <n v="1"/>
    <n v="125"/>
    <n v="109"/>
    <n v="0.128"/>
  </r>
  <r>
    <x v="191"/>
    <x v="0"/>
    <x v="0"/>
    <x v="15"/>
    <n v="6"/>
    <n v="0.52"/>
    <n v="0.442"/>
    <n v="0.15000000000000002"/>
  </r>
  <r>
    <x v="191"/>
    <x v="0"/>
    <x v="0"/>
    <x v="15"/>
    <n v="6"/>
    <n v="0.52"/>
    <n v="0.442"/>
    <n v="0.15000000000000002"/>
  </r>
  <r>
    <x v="191"/>
    <x v="12"/>
    <x v="1"/>
    <x v="15"/>
    <n v="6"/>
    <n v="0.52"/>
    <n v="0.442"/>
    <n v="0.15000000000000002"/>
  </r>
  <r>
    <x v="191"/>
    <x v="12"/>
    <x v="1"/>
    <x v="15"/>
    <n v="6"/>
    <n v="0.52"/>
    <n v="0.442"/>
    <n v="0.15000000000000002"/>
  </r>
  <r>
    <x v="191"/>
    <x v="0"/>
    <x v="0"/>
    <x v="15"/>
    <n v="6"/>
    <n v="0.52"/>
    <n v="0.442"/>
    <n v="0.15000000000000002"/>
  </r>
  <r>
    <x v="191"/>
    <x v="0"/>
    <x v="0"/>
    <x v="15"/>
    <n v="6"/>
    <n v="0.52"/>
    <n v="0.442"/>
    <n v="0.15000000000000002"/>
  </r>
  <r>
    <x v="191"/>
    <x v="12"/>
    <x v="1"/>
    <x v="15"/>
    <n v="6"/>
    <n v="0.52"/>
    <n v="0.442"/>
    <n v="0.15000000000000002"/>
  </r>
  <r>
    <x v="191"/>
    <x v="12"/>
    <x v="1"/>
    <x v="15"/>
    <n v="6"/>
    <n v="0.52"/>
    <n v="0.442"/>
    <n v="0.15000000000000002"/>
  </r>
  <r>
    <x v="191"/>
    <x v="12"/>
    <x v="1"/>
    <x v="15"/>
    <n v="6"/>
    <n v="0.52"/>
    <n v="0.442"/>
    <n v="0.15000000000000002"/>
  </r>
  <r>
    <x v="191"/>
    <x v="0"/>
    <x v="0"/>
    <x v="4"/>
    <n v="1024"/>
    <n v="0.15"/>
    <m/>
    <n v="1"/>
  </r>
  <r>
    <x v="191"/>
    <x v="0"/>
    <x v="0"/>
    <x v="15"/>
    <n v="6"/>
    <n v="0.52"/>
    <n v="0.442"/>
    <n v="0.15000000000000002"/>
  </r>
  <r>
    <x v="192"/>
    <x v="0"/>
    <x v="0"/>
    <x v="14"/>
    <n v="16"/>
    <n v="1.18"/>
    <n v="1.02"/>
    <n v="0.13559322033898302"/>
  </r>
  <r>
    <x v="192"/>
    <x v="0"/>
    <x v="0"/>
    <x v="14"/>
    <n v="16"/>
    <n v="1.18"/>
    <n v="1.02"/>
    <n v="0.13559322033898302"/>
  </r>
  <r>
    <x v="192"/>
    <x v="0"/>
    <x v="0"/>
    <x v="14"/>
    <n v="16"/>
    <n v="1.18"/>
    <n v="1.02"/>
    <n v="0.13559322033898302"/>
  </r>
  <r>
    <x v="192"/>
    <x v="0"/>
    <x v="0"/>
    <x v="14"/>
    <n v="16"/>
    <n v="1.18"/>
    <n v="1.02"/>
    <n v="0.13559322033898302"/>
  </r>
  <r>
    <x v="192"/>
    <x v="0"/>
    <x v="0"/>
    <x v="14"/>
    <n v="16"/>
    <n v="1.18"/>
    <n v="1.02"/>
    <n v="0.13559322033898302"/>
  </r>
  <r>
    <x v="192"/>
    <x v="0"/>
    <x v="0"/>
    <x v="14"/>
    <n v="16"/>
    <n v="1.18"/>
    <n v="1.02"/>
    <n v="0.13559322033898302"/>
  </r>
  <r>
    <x v="192"/>
    <x v="0"/>
    <x v="0"/>
    <x v="14"/>
    <n v="16"/>
    <n v="1.18"/>
    <n v="1.02"/>
    <n v="0.13559322033898302"/>
  </r>
  <r>
    <x v="192"/>
    <x v="9"/>
    <x v="1"/>
    <x v="10"/>
    <n v="24"/>
    <n v="3.1"/>
    <n v="2.7"/>
    <n v="0.12903225806451613"/>
  </r>
  <r>
    <x v="192"/>
    <x v="0"/>
    <x v="0"/>
    <x v="14"/>
    <n v="16"/>
    <n v="1.18"/>
    <n v="1.02"/>
    <n v="0.13559322033898302"/>
  </r>
  <r>
    <x v="192"/>
    <x v="0"/>
    <x v="0"/>
    <x v="10"/>
    <n v="1"/>
    <n v="9.64"/>
    <m/>
    <n v="1"/>
  </r>
  <r>
    <x v="192"/>
    <x v="0"/>
    <x v="0"/>
    <x v="4"/>
    <n v="224"/>
    <n v="2.4500000000000002"/>
    <n v="2.33"/>
    <n v="4.8979591836734726E-2"/>
  </r>
  <r>
    <x v="193"/>
    <x v="0"/>
    <x v="0"/>
    <x v="18"/>
    <n v="32"/>
    <n v="0.3"/>
    <n v="0.26300000000000001"/>
    <n v="0.12333333333333329"/>
  </r>
  <r>
    <x v="193"/>
    <x v="3"/>
    <x v="1"/>
    <x v="15"/>
    <n v="8"/>
    <n v="0.57999999999999996"/>
    <n v="0.50800000000000001"/>
    <n v="0.12413793103448267"/>
  </r>
  <r>
    <x v="193"/>
    <x v="0"/>
    <x v="0"/>
    <x v="18"/>
    <n v="32"/>
    <n v="0.3"/>
    <n v="0.26300000000000001"/>
    <n v="0.12333333333333329"/>
  </r>
  <r>
    <x v="193"/>
    <x v="3"/>
    <x v="1"/>
    <x v="15"/>
    <n v="8"/>
    <n v="0.57999999999999996"/>
    <n v="0.50800000000000001"/>
    <n v="0.12413793103448267"/>
  </r>
  <r>
    <x v="193"/>
    <x v="3"/>
    <x v="1"/>
    <x v="15"/>
    <n v="8"/>
    <n v="0.57999999999999996"/>
    <n v="0.50800000000000001"/>
    <n v="0.12413793103448267"/>
  </r>
  <r>
    <x v="193"/>
    <x v="3"/>
    <x v="1"/>
    <x v="15"/>
    <n v="8"/>
    <n v="0.57999999999999996"/>
    <n v="0.50800000000000001"/>
    <n v="0.12413793103448267"/>
  </r>
  <r>
    <x v="193"/>
    <x v="3"/>
    <x v="1"/>
    <x v="15"/>
    <n v="8"/>
    <n v="0.57999999999999996"/>
    <n v="0.50800000000000001"/>
    <n v="0.12413793103448267"/>
  </r>
  <r>
    <x v="193"/>
    <x v="0"/>
    <x v="0"/>
    <x v="18"/>
    <n v="32"/>
    <n v="0.3"/>
    <n v="0.26300000000000001"/>
    <n v="0.12333333333333329"/>
  </r>
  <r>
    <x v="193"/>
    <x v="3"/>
    <x v="1"/>
    <x v="15"/>
    <n v="8"/>
    <n v="0.57999999999999996"/>
    <n v="0.50800000000000001"/>
    <n v="0.12413793103448267"/>
  </r>
  <r>
    <x v="194"/>
    <x v="0"/>
    <x v="0"/>
    <x v="4"/>
    <n v="4"/>
    <n v="1.92"/>
    <n v="1.87"/>
    <n v="2.604166666666663E-2"/>
  </r>
  <r>
    <x v="194"/>
    <x v="3"/>
    <x v="1"/>
    <x v="18"/>
    <n v="1"/>
    <n v="0.3"/>
    <n v="0.26300000000000001"/>
    <n v="0.12333333333333329"/>
  </r>
  <r>
    <x v="195"/>
    <x v="0"/>
    <x v="0"/>
    <x v="23"/>
    <n v="60"/>
    <n v="80"/>
    <n v="50"/>
    <n v="0.375"/>
  </r>
  <r>
    <x v="195"/>
    <x v="0"/>
    <x v="0"/>
    <x v="23"/>
    <n v="60"/>
    <n v="80"/>
    <n v="50"/>
    <n v="0.375"/>
  </r>
  <r>
    <x v="195"/>
    <x v="29"/>
    <x v="3"/>
    <x v="4"/>
    <n v="8"/>
    <n v="2.15"/>
    <n v="2.0499999999999998"/>
    <n v="4.6511627906976827E-2"/>
  </r>
  <r>
    <x v="195"/>
    <x v="3"/>
    <x v="1"/>
    <x v="4"/>
    <n v="4"/>
    <n v="2.5"/>
    <n v="2.1880000000000002"/>
    <n v="0.12479999999999991"/>
  </r>
  <r>
    <x v="195"/>
    <x v="0"/>
    <x v="0"/>
    <x v="23"/>
    <n v="60"/>
    <n v="80"/>
    <n v="50"/>
    <n v="0.375"/>
  </r>
  <r>
    <x v="196"/>
    <x v="9"/>
    <x v="1"/>
    <x v="10"/>
    <n v="8"/>
    <n v="2.25"/>
    <n v="2"/>
    <n v="0.11111111111111116"/>
  </r>
  <r>
    <x v="196"/>
    <x v="9"/>
    <x v="1"/>
    <x v="10"/>
    <n v="8"/>
    <n v="2.25"/>
    <n v="2"/>
    <n v="0.11111111111111116"/>
  </r>
  <r>
    <x v="196"/>
    <x v="9"/>
    <x v="1"/>
    <x v="10"/>
    <n v="8"/>
    <n v="2.25"/>
    <n v="2"/>
    <n v="0.11111111111111116"/>
  </r>
  <r>
    <x v="196"/>
    <x v="9"/>
    <x v="1"/>
    <x v="10"/>
    <n v="8"/>
    <n v="2.25"/>
    <n v="2"/>
    <n v="0.11111111111111116"/>
  </r>
  <r>
    <x v="196"/>
    <x v="9"/>
    <x v="1"/>
    <x v="10"/>
    <n v="8"/>
    <n v="2.25"/>
    <n v="2"/>
    <n v="0.11111111111111116"/>
  </r>
  <r>
    <x v="196"/>
    <x v="9"/>
    <x v="1"/>
    <x v="10"/>
    <n v="8"/>
    <n v="2.25"/>
    <n v="2"/>
    <n v="0.11111111111111116"/>
  </r>
  <r>
    <x v="196"/>
    <x v="9"/>
    <x v="1"/>
    <x v="10"/>
    <n v="8"/>
    <n v="3.25"/>
    <n v="2.75"/>
    <n v="0.15384615384615385"/>
  </r>
  <r>
    <x v="196"/>
    <x v="9"/>
    <x v="1"/>
    <x v="10"/>
    <n v="8"/>
    <n v="3.25"/>
    <n v="2.75"/>
    <n v="0.15384615384615385"/>
  </r>
  <r>
    <x v="196"/>
    <x v="9"/>
    <x v="1"/>
    <x v="10"/>
    <n v="8"/>
    <n v="3.25"/>
    <n v="2.75"/>
    <n v="0.15384615384615385"/>
  </r>
  <r>
    <x v="196"/>
    <x v="9"/>
    <x v="1"/>
    <x v="10"/>
    <n v="8"/>
    <n v="3.25"/>
    <n v="2.75"/>
    <n v="0.15384615384615385"/>
  </r>
  <r>
    <x v="196"/>
    <x v="9"/>
    <x v="1"/>
    <x v="10"/>
    <n v="32"/>
    <n v="3.1"/>
    <n v="2.7"/>
    <n v="0.12903225806451613"/>
  </r>
  <r>
    <x v="196"/>
    <x v="9"/>
    <x v="1"/>
    <x v="10"/>
    <n v="8"/>
    <n v="3.25"/>
    <n v="2.75"/>
    <n v="0.15384615384615385"/>
  </r>
  <r>
    <x v="196"/>
    <x v="9"/>
    <x v="1"/>
    <x v="10"/>
    <n v="32"/>
    <n v="3.1"/>
    <n v="2.7"/>
    <n v="0.12903225806451613"/>
  </r>
  <r>
    <x v="196"/>
    <x v="9"/>
    <x v="1"/>
    <x v="10"/>
    <n v="8"/>
    <n v="3.25"/>
    <n v="2.75"/>
    <n v="0.15384615384615385"/>
  </r>
  <r>
    <x v="196"/>
    <x v="9"/>
    <x v="1"/>
    <x v="10"/>
    <n v="32"/>
    <n v="3.1"/>
    <n v="2.7"/>
    <n v="0.12903225806451613"/>
  </r>
  <r>
    <x v="196"/>
    <x v="9"/>
    <x v="1"/>
    <x v="10"/>
    <n v="8"/>
    <n v="3.25"/>
    <n v="2.75"/>
    <n v="0.15384615384615385"/>
  </r>
  <r>
    <x v="196"/>
    <x v="9"/>
    <x v="1"/>
    <x v="10"/>
    <n v="32"/>
    <n v="3.1"/>
    <n v="2.7"/>
    <n v="0.12903225806451613"/>
  </r>
  <r>
    <x v="196"/>
    <x v="9"/>
    <x v="1"/>
    <x v="10"/>
    <n v="8"/>
    <n v="3.25"/>
    <n v="2.75"/>
    <n v="0.15384615384615385"/>
  </r>
  <r>
    <x v="196"/>
    <x v="9"/>
    <x v="1"/>
    <x v="10"/>
    <n v="32"/>
    <n v="3.1"/>
    <n v="2.7"/>
    <n v="0.12903225806451613"/>
  </r>
  <r>
    <x v="196"/>
    <x v="9"/>
    <x v="1"/>
    <x v="10"/>
    <n v="8"/>
    <n v="3.25"/>
    <n v="2.75"/>
    <n v="0.15384615384615385"/>
  </r>
  <r>
    <x v="196"/>
    <x v="9"/>
    <x v="1"/>
    <x v="10"/>
    <n v="32"/>
    <n v="3.1"/>
    <n v="2.7"/>
    <n v="0.12903225806451613"/>
  </r>
  <r>
    <x v="197"/>
    <x v="9"/>
    <x v="1"/>
    <x v="10"/>
    <n v="8"/>
    <n v="3.25"/>
    <n v="2.75"/>
    <n v="0.15384615384615385"/>
  </r>
  <r>
    <x v="197"/>
    <x v="9"/>
    <x v="1"/>
    <x v="10"/>
    <n v="8"/>
    <n v="3.25"/>
    <n v="2.75"/>
    <n v="0.15384615384615385"/>
  </r>
  <r>
    <x v="197"/>
    <x v="9"/>
    <x v="1"/>
    <x v="10"/>
    <n v="8"/>
    <n v="3.25"/>
    <n v="2.75"/>
    <n v="0.15384615384615385"/>
  </r>
  <r>
    <x v="197"/>
    <x v="9"/>
    <x v="1"/>
    <x v="15"/>
    <n v="32"/>
    <n v="0.54"/>
    <n v="0.39"/>
    <n v="0.27777777777777779"/>
  </r>
  <r>
    <x v="197"/>
    <x v="9"/>
    <x v="1"/>
    <x v="10"/>
    <n v="8"/>
    <n v="3.25"/>
    <n v="2.75"/>
    <n v="0.15384615384615385"/>
  </r>
  <r>
    <x v="197"/>
    <x v="9"/>
    <x v="1"/>
    <x v="10"/>
    <n v="8"/>
    <n v="3.25"/>
    <n v="2.75"/>
    <n v="0.15384615384615385"/>
  </r>
  <r>
    <x v="197"/>
    <x v="9"/>
    <x v="1"/>
    <x v="10"/>
    <n v="8"/>
    <n v="3.25"/>
    <n v="2.75"/>
    <n v="0.15384615384615385"/>
  </r>
  <r>
    <x v="197"/>
    <x v="9"/>
    <x v="1"/>
    <x v="10"/>
    <n v="8"/>
    <n v="3.25"/>
    <n v="2.75"/>
    <n v="0.15384615384615385"/>
  </r>
  <r>
    <x v="197"/>
    <x v="18"/>
    <x v="7"/>
    <x v="10"/>
    <n v="40"/>
    <n v="3.1"/>
    <n v="2.7"/>
    <n v="0.12903225806451613"/>
  </r>
  <r>
    <x v="197"/>
    <x v="9"/>
    <x v="1"/>
    <x v="15"/>
    <n v="32"/>
    <n v="0.54"/>
    <n v="0.39"/>
    <n v="0.27777777777777779"/>
  </r>
  <r>
    <x v="197"/>
    <x v="18"/>
    <x v="7"/>
    <x v="10"/>
    <n v="40"/>
    <n v="2.95"/>
    <n v="2.5"/>
    <n v="0.15254237288135597"/>
  </r>
  <r>
    <x v="197"/>
    <x v="9"/>
    <x v="1"/>
    <x v="10"/>
    <n v="8"/>
    <n v="3.25"/>
    <n v="2.75"/>
    <n v="0.15384615384615385"/>
  </r>
  <r>
    <x v="198"/>
    <x v="0"/>
    <x v="0"/>
    <x v="28"/>
    <n v="8"/>
    <n v="0.32"/>
    <n v="0.28999999999999998"/>
    <n v="9.3750000000000111E-2"/>
  </r>
  <r>
    <x v="198"/>
    <x v="0"/>
    <x v="0"/>
    <x v="28"/>
    <n v="8"/>
    <n v="0.32"/>
    <n v="0.28999999999999998"/>
    <n v="9.3750000000000111E-2"/>
  </r>
  <r>
    <x v="198"/>
    <x v="0"/>
    <x v="0"/>
    <x v="28"/>
    <n v="8"/>
    <n v="0.32"/>
    <n v="0.28999999999999998"/>
    <n v="9.3750000000000111E-2"/>
  </r>
  <r>
    <x v="198"/>
    <x v="0"/>
    <x v="0"/>
    <x v="28"/>
    <n v="8"/>
    <n v="0.32"/>
    <n v="0.28999999999999998"/>
    <n v="9.3750000000000111E-2"/>
  </r>
  <r>
    <x v="198"/>
    <x v="0"/>
    <x v="0"/>
    <x v="28"/>
    <n v="8"/>
    <n v="0.32"/>
    <n v="0.28999999999999998"/>
    <n v="9.3750000000000111E-2"/>
  </r>
  <r>
    <x v="199"/>
    <x v="9"/>
    <x v="1"/>
    <x v="10"/>
    <n v="72"/>
    <n v="3.1"/>
    <n v="2.7"/>
    <n v="0.12903225806451613"/>
  </r>
  <r>
    <x v="199"/>
    <x v="9"/>
    <x v="1"/>
    <x v="10"/>
    <n v="72"/>
    <n v="3.1"/>
    <n v="2.7"/>
    <n v="0.12903225806451613"/>
  </r>
  <r>
    <x v="199"/>
    <x v="9"/>
    <x v="1"/>
    <x v="10"/>
    <n v="72"/>
    <n v="3.1"/>
    <n v="2.7"/>
    <n v="0.12903225806451613"/>
  </r>
  <r>
    <x v="199"/>
    <x v="9"/>
    <x v="1"/>
    <x v="15"/>
    <n v="8"/>
    <n v="0.65"/>
    <n v="0.56899999999999995"/>
    <n v="0.12461538461538468"/>
  </r>
  <r>
    <x v="199"/>
    <x v="9"/>
    <x v="1"/>
    <x v="10"/>
    <n v="72"/>
    <n v="3.1"/>
    <n v="2.7"/>
    <n v="0.12903225806451613"/>
  </r>
  <r>
    <x v="199"/>
    <x v="9"/>
    <x v="1"/>
    <x v="15"/>
    <n v="8"/>
    <n v="0.65"/>
    <n v="0.56899999999999995"/>
    <n v="0.12461538461538468"/>
  </r>
  <r>
    <x v="199"/>
    <x v="9"/>
    <x v="1"/>
    <x v="10"/>
    <n v="72"/>
    <n v="3.1"/>
    <n v="2.7"/>
    <n v="0.12903225806451613"/>
  </r>
  <r>
    <x v="199"/>
    <x v="9"/>
    <x v="1"/>
    <x v="15"/>
    <n v="8"/>
    <n v="0.65"/>
    <n v="0.56899999999999995"/>
    <n v="0.12461538461538468"/>
  </r>
  <r>
    <x v="199"/>
    <x v="30"/>
    <x v="1"/>
    <x v="10"/>
    <n v="72"/>
    <n v="2.5"/>
    <n v="2.1"/>
    <n v="0.15999999999999992"/>
  </r>
  <r>
    <x v="199"/>
    <x v="9"/>
    <x v="1"/>
    <x v="15"/>
    <n v="8"/>
    <n v="0.65"/>
    <n v="0.56899999999999995"/>
    <n v="0.12461538461538468"/>
  </r>
  <r>
    <x v="199"/>
    <x v="0"/>
    <x v="0"/>
    <x v="18"/>
    <n v="1"/>
    <n v="0.3"/>
    <n v="0.27"/>
    <n v="9.9999999999999867E-2"/>
  </r>
  <r>
    <x v="200"/>
    <x v="0"/>
    <x v="0"/>
    <x v="10"/>
    <n v="32"/>
    <n v="3.1"/>
    <n v="2.66"/>
    <n v="0.14193548387096777"/>
  </r>
  <r>
    <x v="200"/>
    <x v="9"/>
    <x v="1"/>
    <x v="10"/>
    <n v="16"/>
    <n v="3.1"/>
    <n v="2.7"/>
    <n v="0.12903225806451613"/>
  </r>
  <r>
    <x v="200"/>
    <x v="0"/>
    <x v="0"/>
    <x v="10"/>
    <n v="8"/>
    <n v="3.15"/>
    <n v="2.72"/>
    <n v="0.13650793650793647"/>
  </r>
  <r>
    <x v="200"/>
    <x v="0"/>
    <x v="0"/>
    <x v="10"/>
    <n v="32"/>
    <n v="3.1"/>
    <n v="2.66"/>
    <n v="0.14193548387096777"/>
  </r>
  <r>
    <x v="200"/>
    <x v="9"/>
    <x v="1"/>
    <x v="10"/>
    <n v="16"/>
    <n v="3.1"/>
    <n v="2.7"/>
    <n v="0.12903225806451613"/>
  </r>
  <r>
    <x v="200"/>
    <x v="9"/>
    <x v="1"/>
    <x v="10"/>
    <n v="8"/>
    <n v="3.15"/>
    <n v="2.72"/>
    <n v="0.13650793650793647"/>
  </r>
  <r>
    <x v="200"/>
    <x v="0"/>
    <x v="0"/>
    <x v="4"/>
    <n v="16"/>
    <n v="2.66"/>
    <n v="2.5099999999999998"/>
    <n v="5.6390977443609103E-2"/>
  </r>
  <r>
    <x v="200"/>
    <x v="9"/>
    <x v="1"/>
    <x v="10"/>
    <n v="32"/>
    <n v="3.1"/>
    <n v="2.66"/>
    <n v="0.14193548387096777"/>
  </r>
  <r>
    <x v="200"/>
    <x v="9"/>
    <x v="1"/>
    <x v="10"/>
    <n v="8"/>
    <n v="3.15"/>
    <n v="2.72"/>
    <n v="0.13650793650793647"/>
  </r>
  <r>
    <x v="200"/>
    <x v="0"/>
    <x v="0"/>
    <x v="10"/>
    <n v="32"/>
    <n v="3.1"/>
    <n v="2.66"/>
    <n v="0.14193548387096777"/>
  </r>
  <r>
    <x v="200"/>
    <x v="9"/>
    <x v="1"/>
    <x v="10"/>
    <n v="16"/>
    <n v="3.1"/>
    <n v="2.7"/>
    <n v="0.12903225806451613"/>
  </r>
  <r>
    <x v="200"/>
    <x v="9"/>
    <x v="1"/>
    <x v="10"/>
    <n v="8"/>
    <n v="3.15"/>
    <n v="2.72"/>
    <n v="0.13650793650793647"/>
  </r>
  <r>
    <x v="200"/>
    <x v="0"/>
    <x v="0"/>
    <x v="10"/>
    <n v="32"/>
    <n v="3.1"/>
    <n v="2.66"/>
    <n v="0.14193548387096777"/>
  </r>
  <r>
    <x v="200"/>
    <x v="9"/>
    <x v="1"/>
    <x v="10"/>
    <n v="16"/>
    <n v="3.1"/>
    <n v="2.7"/>
    <n v="0.12903225806451613"/>
  </r>
  <r>
    <x v="200"/>
    <x v="9"/>
    <x v="1"/>
    <x v="10"/>
    <n v="8"/>
    <n v="3.15"/>
    <n v="2.72"/>
    <n v="0.13650793650793647"/>
  </r>
  <r>
    <x v="200"/>
    <x v="0"/>
    <x v="0"/>
    <x v="10"/>
    <n v="32"/>
    <n v="3.1"/>
    <n v="2.66"/>
    <n v="0.14193548387096777"/>
  </r>
  <r>
    <x v="200"/>
    <x v="9"/>
    <x v="1"/>
    <x v="10"/>
    <n v="16"/>
    <n v="3.1"/>
    <n v="2.7"/>
    <n v="0.12903225806451613"/>
  </r>
  <r>
    <x v="200"/>
    <x v="9"/>
    <x v="1"/>
    <x v="10"/>
    <n v="8"/>
    <n v="3.15"/>
    <n v="2.72"/>
    <n v="0.13650793650793647"/>
  </r>
  <r>
    <x v="200"/>
    <x v="9"/>
    <x v="1"/>
    <x v="10"/>
    <n v="32"/>
    <n v="3.1"/>
    <n v="2.66"/>
    <n v="0.14193548387096777"/>
  </r>
  <r>
    <x v="200"/>
    <x v="9"/>
    <x v="1"/>
    <x v="10"/>
    <n v="16"/>
    <n v="3.1"/>
    <n v="2.7"/>
    <n v="0.12903225806451613"/>
  </r>
  <r>
    <x v="200"/>
    <x v="9"/>
    <x v="1"/>
    <x v="10"/>
    <n v="8"/>
    <n v="3.15"/>
    <n v="2.72"/>
    <n v="0.13650793650793647"/>
  </r>
  <r>
    <x v="200"/>
    <x v="0"/>
    <x v="0"/>
    <x v="4"/>
    <n v="16"/>
    <n v="2.66"/>
    <n v="2.5099999999999998"/>
    <n v="5.6390977443609103E-2"/>
  </r>
  <r>
    <x v="200"/>
    <x v="0"/>
    <x v="0"/>
    <x v="10"/>
    <n v="1"/>
    <n v="32"/>
    <m/>
    <n v="1"/>
  </r>
  <r>
    <x v="201"/>
    <x v="0"/>
    <x v="0"/>
    <x v="10"/>
    <n v="16"/>
    <n v="3.15"/>
    <n v="2.72"/>
    <n v="0.13650793650793647"/>
  </r>
  <r>
    <x v="201"/>
    <x v="9"/>
    <x v="1"/>
    <x v="10"/>
    <n v="8"/>
    <n v="3.1"/>
    <n v="2.7"/>
    <n v="0.12903225806451613"/>
  </r>
  <r>
    <x v="201"/>
    <x v="9"/>
    <x v="1"/>
    <x v="10"/>
    <n v="16"/>
    <n v="3.15"/>
    <n v="2.72"/>
    <n v="0.13650793650793647"/>
  </r>
  <r>
    <x v="201"/>
    <x v="9"/>
    <x v="1"/>
    <x v="10"/>
    <n v="8"/>
    <n v="3.1"/>
    <n v="2.7"/>
    <n v="0.12903225806451613"/>
  </r>
  <r>
    <x v="201"/>
    <x v="9"/>
    <x v="1"/>
    <x v="10"/>
    <n v="16"/>
    <n v="3.15"/>
    <n v="2.72"/>
    <n v="0.13650793650793647"/>
  </r>
  <r>
    <x v="201"/>
    <x v="9"/>
    <x v="1"/>
    <x v="10"/>
    <n v="8"/>
    <n v="3.1"/>
    <n v="2.7"/>
    <n v="0.12903225806451613"/>
  </r>
  <r>
    <x v="201"/>
    <x v="9"/>
    <x v="1"/>
    <x v="10"/>
    <n v="16"/>
    <n v="3.15"/>
    <n v="2.72"/>
    <n v="0.13650793650793647"/>
  </r>
  <r>
    <x v="201"/>
    <x v="9"/>
    <x v="1"/>
    <x v="10"/>
    <n v="8"/>
    <n v="3.1"/>
    <n v="2.7"/>
    <n v="0.12903225806451613"/>
  </r>
  <r>
    <x v="201"/>
    <x v="9"/>
    <x v="1"/>
    <x v="10"/>
    <n v="16"/>
    <n v="3.15"/>
    <n v="2.72"/>
    <n v="0.13650793650793647"/>
  </r>
  <r>
    <x v="201"/>
    <x v="9"/>
    <x v="1"/>
    <x v="10"/>
    <n v="8"/>
    <n v="3.1"/>
    <n v="2.7"/>
    <n v="0.12903225806451613"/>
  </r>
  <r>
    <x v="201"/>
    <x v="9"/>
    <x v="1"/>
    <x v="10"/>
    <n v="16"/>
    <n v="3.15"/>
    <n v="2.72"/>
    <n v="0.13650793650793647"/>
  </r>
  <r>
    <x v="201"/>
    <x v="9"/>
    <x v="1"/>
    <x v="10"/>
    <n v="8"/>
    <n v="3.1"/>
    <n v="2.7"/>
    <n v="0.12903225806451613"/>
  </r>
  <r>
    <x v="201"/>
    <x v="9"/>
    <x v="1"/>
    <x v="10"/>
    <n v="16"/>
    <n v="3.15"/>
    <n v="2.72"/>
    <n v="0.13650793650793647"/>
  </r>
  <r>
    <x v="201"/>
    <x v="9"/>
    <x v="1"/>
    <x v="10"/>
    <n v="8"/>
    <n v="3.1"/>
    <n v="2.7"/>
    <n v="0.12903225806451613"/>
  </r>
  <r>
    <x v="202"/>
    <x v="9"/>
    <x v="1"/>
    <x v="10"/>
    <n v="16"/>
    <n v="3.1"/>
    <n v="2.7"/>
    <n v="0.12903225806451613"/>
  </r>
  <r>
    <x v="202"/>
    <x v="9"/>
    <x v="1"/>
    <x v="10"/>
    <n v="16"/>
    <n v="3.1"/>
    <n v="2.7"/>
    <n v="0.12903225806451613"/>
  </r>
  <r>
    <x v="202"/>
    <x v="9"/>
    <x v="1"/>
    <x v="10"/>
    <n v="16"/>
    <n v="3.1"/>
    <n v="2.7"/>
    <n v="0.12903225806451613"/>
  </r>
  <r>
    <x v="202"/>
    <x v="9"/>
    <x v="1"/>
    <x v="10"/>
    <n v="24"/>
    <n v="3.1"/>
    <n v="2.7"/>
    <n v="0.12903225806451613"/>
  </r>
  <r>
    <x v="202"/>
    <x v="9"/>
    <x v="1"/>
    <x v="10"/>
    <n v="24"/>
    <n v="3.1"/>
    <n v="2.7"/>
    <n v="0.12903225806451613"/>
  </r>
  <r>
    <x v="202"/>
    <x v="9"/>
    <x v="1"/>
    <x v="10"/>
    <n v="24"/>
    <n v="3.1"/>
    <n v="2.7"/>
    <n v="0.12903225806451613"/>
  </r>
  <r>
    <x v="202"/>
    <x v="9"/>
    <x v="1"/>
    <x v="10"/>
    <n v="48"/>
    <n v="3.1"/>
    <n v="2.7"/>
    <n v="0.12903225806451613"/>
  </r>
  <r>
    <x v="202"/>
    <x v="9"/>
    <x v="1"/>
    <x v="10"/>
    <n v="24"/>
    <n v="3.2"/>
    <n v="2.7"/>
    <n v="0.15625"/>
  </r>
  <r>
    <x v="203"/>
    <x v="0"/>
    <x v="0"/>
    <x v="13"/>
    <n v="1"/>
    <n v="1700"/>
    <n v="1500"/>
    <n v="0.11764705882352944"/>
  </r>
  <r>
    <x v="203"/>
    <x v="0"/>
    <x v="0"/>
    <x v="13"/>
    <n v="1"/>
    <n v="1700"/>
    <n v="1500"/>
    <n v="0.11764705882352944"/>
  </r>
  <r>
    <x v="203"/>
    <x v="12"/>
    <x v="1"/>
    <x v="13"/>
    <n v="1"/>
    <n v="1700"/>
    <n v="1500"/>
    <n v="0.11764705882352944"/>
  </r>
  <r>
    <x v="203"/>
    <x v="9"/>
    <x v="1"/>
    <x v="10"/>
    <n v="56"/>
    <n v="3.1"/>
    <n v="2.7"/>
    <n v="0.12903225806451613"/>
  </r>
  <r>
    <x v="203"/>
    <x v="9"/>
    <x v="1"/>
    <x v="10"/>
    <n v="8"/>
    <n v="3.1"/>
    <n v="2.7"/>
    <n v="0.12903225806451613"/>
  </r>
  <r>
    <x v="203"/>
    <x v="9"/>
    <x v="1"/>
    <x v="10"/>
    <n v="56"/>
    <n v="3.1"/>
    <n v="2.7"/>
    <n v="0.12903225806451613"/>
  </r>
  <r>
    <x v="203"/>
    <x v="9"/>
    <x v="1"/>
    <x v="10"/>
    <n v="8"/>
    <n v="3.1"/>
    <n v="2.7"/>
    <n v="0.12903225806451613"/>
  </r>
  <r>
    <x v="203"/>
    <x v="0"/>
    <x v="0"/>
    <x v="13"/>
    <n v="1"/>
    <n v="2.33"/>
    <n v="2.0550000000000002"/>
    <n v="0.11802575107296132"/>
  </r>
  <r>
    <x v="203"/>
    <x v="9"/>
    <x v="1"/>
    <x v="10"/>
    <n v="56"/>
    <n v="3.1"/>
    <n v="2.7"/>
    <n v="0.12903225806451613"/>
  </r>
  <r>
    <x v="203"/>
    <x v="9"/>
    <x v="1"/>
    <x v="10"/>
    <n v="8"/>
    <n v="3.1"/>
    <n v="2.7"/>
    <n v="0.12903225806451613"/>
  </r>
  <r>
    <x v="203"/>
    <x v="9"/>
    <x v="1"/>
    <x v="10"/>
    <n v="56"/>
    <n v="3.1"/>
    <n v="2.7"/>
    <n v="0.12903225806451613"/>
  </r>
  <r>
    <x v="203"/>
    <x v="9"/>
    <x v="1"/>
    <x v="10"/>
    <n v="8"/>
    <n v="3.1"/>
    <n v="2.7"/>
    <n v="0.12903225806451613"/>
  </r>
  <r>
    <x v="203"/>
    <x v="9"/>
    <x v="1"/>
    <x v="10"/>
    <n v="56"/>
    <n v="3.1"/>
    <n v="2.7"/>
    <n v="0.12903225806451613"/>
  </r>
  <r>
    <x v="203"/>
    <x v="9"/>
    <x v="1"/>
    <x v="10"/>
    <n v="8"/>
    <n v="3.1"/>
    <n v="2.7"/>
    <n v="0.12903225806451613"/>
  </r>
  <r>
    <x v="203"/>
    <x v="9"/>
    <x v="1"/>
    <x v="10"/>
    <n v="56"/>
    <n v="3.1"/>
    <n v="2.7"/>
    <n v="0.12903225806451613"/>
  </r>
  <r>
    <x v="203"/>
    <x v="9"/>
    <x v="1"/>
    <x v="10"/>
    <n v="8"/>
    <n v="3.1"/>
    <n v="2.7"/>
    <n v="0.12903225806451613"/>
  </r>
  <r>
    <x v="203"/>
    <x v="4"/>
    <x v="3"/>
    <x v="28"/>
    <n v="8"/>
    <n v="0.32"/>
    <n v="0.28999999999999998"/>
    <n v="9.3750000000000111E-2"/>
  </r>
  <r>
    <x v="203"/>
    <x v="9"/>
    <x v="1"/>
    <x v="10"/>
    <n v="56"/>
    <n v="3.2"/>
    <n v="2.7"/>
    <n v="0.15625"/>
  </r>
  <r>
    <x v="203"/>
    <x v="0"/>
    <x v="0"/>
    <x v="13"/>
    <n v="1"/>
    <n v="2.3290000000000002"/>
    <n v="2.0550000000000002"/>
    <n v="0.11764705882352944"/>
  </r>
  <r>
    <x v="203"/>
    <x v="0"/>
    <x v="0"/>
    <x v="18"/>
    <n v="1"/>
    <n v="0.3"/>
    <n v="0.26300000000000001"/>
    <n v="0.12333333333333329"/>
  </r>
  <r>
    <x v="203"/>
    <x v="9"/>
    <x v="1"/>
    <x v="10"/>
    <n v="8"/>
    <n v="3.2"/>
    <n v="2.7"/>
    <n v="0.15625"/>
  </r>
  <r>
    <x v="203"/>
    <x v="9"/>
    <x v="1"/>
    <x v="10"/>
    <n v="8"/>
    <n v="3.1"/>
    <n v="2.7"/>
    <n v="0.12903225806451613"/>
  </r>
  <r>
    <x v="204"/>
    <x v="9"/>
    <x v="1"/>
    <x v="10"/>
    <n v="8"/>
    <n v="3.15"/>
    <n v="2.72"/>
    <n v="0.13650793650793647"/>
  </r>
  <r>
    <x v="204"/>
    <x v="9"/>
    <x v="1"/>
    <x v="10"/>
    <n v="8"/>
    <n v="3.15"/>
    <n v="2.72"/>
    <n v="0.13650793650793647"/>
  </r>
  <r>
    <x v="204"/>
    <x v="9"/>
    <x v="1"/>
    <x v="10"/>
    <n v="8"/>
    <n v="3.15"/>
    <n v="2.7"/>
    <n v="0.14285714285714279"/>
  </r>
  <r>
    <x v="204"/>
    <x v="9"/>
    <x v="1"/>
    <x v="10"/>
    <n v="8"/>
    <n v="3.15"/>
    <n v="2.72"/>
    <n v="0.13650793650793647"/>
  </r>
  <r>
    <x v="204"/>
    <x v="9"/>
    <x v="1"/>
    <x v="10"/>
    <n v="8"/>
    <n v="3.2"/>
    <n v="2.7"/>
    <n v="0.15625"/>
  </r>
  <r>
    <x v="204"/>
    <x v="9"/>
    <x v="1"/>
    <x v="10"/>
    <n v="8"/>
    <n v="3.15"/>
    <n v="2.72"/>
    <n v="0.13650793650793647"/>
  </r>
  <r>
    <x v="204"/>
    <x v="9"/>
    <x v="1"/>
    <x v="10"/>
    <n v="8"/>
    <n v="3.2"/>
    <n v="2.7"/>
    <n v="0.15625"/>
  </r>
  <r>
    <x v="204"/>
    <x v="9"/>
    <x v="1"/>
    <x v="10"/>
    <n v="8"/>
    <n v="3.15"/>
    <n v="2.72"/>
    <n v="0.13650793650793647"/>
  </r>
  <r>
    <x v="204"/>
    <x v="9"/>
    <x v="1"/>
    <x v="10"/>
    <n v="8"/>
    <n v="3.2"/>
    <n v="2.7"/>
    <n v="0.15625"/>
  </r>
  <r>
    <x v="204"/>
    <x v="9"/>
    <x v="1"/>
    <x v="10"/>
    <n v="8"/>
    <n v="3.15"/>
    <n v="2.72"/>
    <n v="0.13650793650793647"/>
  </r>
  <r>
    <x v="204"/>
    <x v="9"/>
    <x v="1"/>
    <x v="10"/>
    <n v="8"/>
    <n v="3.2"/>
    <n v="2.7"/>
    <n v="0.15625"/>
  </r>
  <r>
    <x v="204"/>
    <x v="9"/>
    <x v="1"/>
    <x v="10"/>
    <n v="8"/>
    <n v="3.15"/>
    <n v="2.72"/>
    <n v="0.13650793650793647"/>
  </r>
  <r>
    <x v="205"/>
    <x v="0"/>
    <x v="0"/>
    <x v="15"/>
    <n v="8"/>
    <n v="0.5"/>
    <n v="0.44"/>
    <n v="0.12"/>
  </r>
  <r>
    <x v="205"/>
    <x v="0"/>
    <x v="0"/>
    <x v="15"/>
    <n v="8"/>
    <n v="0.5"/>
    <n v="0.44"/>
    <n v="0.12"/>
  </r>
  <r>
    <x v="205"/>
    <x v="0"/>
    <x v="0"/>
    <x v="15"/>
    <n v="8"/>
    <n v="0.5"/>
    <n v="0.44"/>
    <n v="0.12"/>
  </r>
  <r>
    <x v="205"/>
    <x v="0"/>
    <x v="0"/>
    <x v="15"/>
    <n v="8"/>
    <n v="0.5"/>
    <n v="0.44"/>
    <n v="0.12"/>
  </r>
  <r>
    <x v="205"/>
    <x v="0"/>
    <x v="0"/>
    <x v="15"/>
    <n v="8"/>
    <n v="0.5"/>
    <n v="0.44"/>
    <n v="0.12"/>
  </r>
  <r>
    <x v="205"/>
    <x v="12"/>
    <x v="1"/>
    <x v="15"/>
    <n v="8"/>
    <n v="0.5"/>
    <n v="0.44"/>
    <n v="0.12"/>
  </r>
  <r>
    <x v="205"/>
    <x v="0"/>
    <x v="0"/>
    <x v="15"/>
    <n v="8"/>
    <n v="0.5"/>
    <n v="0.44"/>
    <n v="0.12"/>
  </r>
  <r>
    <x v="205"/>
    <x v="0"/>
    <x v="0"/>
    <x v="15"/>
    <n v="8"/>
    <n v="0.5"/>
    <n v="0.44"/>
    <n v="0.12"/>
  </r>
  <r>
    <x v="205"/>
    <x v="0"/>
    <x v="0"/>
    <x v="15"/>
    <n v="8"/>
    <n v="0.5"/>
    <n v="0.44"/>
    <n v="0.12"/>
  </r>
  <r>
    <x v="205"/>
    <x v="0"/>
    <x v="0"/>
    <x v="4"/>
    <n v="104"/>
    <n v="2.5"/>
    <n v="2.36"/>
    <n v="5.600000000000005E-2"/>
  </r>
  <r>
    <x v="205"/>
    <x v="0"/>
    <x v="0"/>
    <x v="15"/>
    <n v="8"/>
    <n v="0.5"/>
    <n v="0.44"/>
    <n v="0.12"/>
  </r>
  <r>
    <x v="205"/>
    <x v="18"/>
    <x v="7"/>
    <x v="10"/>
    <n v="48"/>
    <n v="2.95"/>
    <n v="2.5"/>
    <n v="0.15254237288135597"/>
  </r>
  <r>
    <x v="205"/>
    <x v="18"/>
    <x v="7"/>
    <x v="10"/>
    <n v="48"/>
    <n v="2.95"/>
    <n v="2.5"/>
    <n v="0.15254237288135597"/>
  </r>
  <r>
    <x v="205"/>
    <x v="30"/>
    <x v="1"/>
    <x v="10"/>
    <n v="48"/>
    <n v="2.5"/>
    <n v="2.1"/>
    <n v="0.15999999999999992"/>
  </r>
  <r>
    <x v="205"/>
    <x v="12"/>
    <x v="1"/>
    <x v="4"/>
    <n v="104"/>
    <n v="2.5"/>
    <n v="2.36"/>
    <n v="5.600000000000005E-2"/>
  </r>
  <r>
    <x v="205"/>
    <x v="9"/>
    <x v="1"/>
    <x v="4"/>
    <n v="16"/>
    <n v="2.4500000000000002"/>
    <n v="2.2400000000000002"/>
    <n v="8.5714285714285743E-2"/>
  </r>
  <r>
    <x v="205"/>
    <x v="31"/>
    <x v="7"/>
    <x v="10"/>
    <n v="48"/>
    <n v="2.95"/>
    <n v="2.5"/>
    <n v="0.15254237288135597"/>
  </r>
  <r>
    <x v="205"/>
    <x v="12"/>
    <x v="1"/>
    <x v="15"/>
    <n v="8"/>
    <n v="0.5"/>
    <n v="0.44"/>
    <n v="0.12"/>
  </r>
  <r>
    <x v="206"/>
    <x v="0"/>
    <x v="0"/>
    <x v="15"/>
    <n v="12"/>
    <n v="0.52"/>
    <n v="0.442"/>
    <n v="0.15000000000000002"/>
  </r>
  <r>
    <x v="206"/>
    <x v="0"/>
    <x v="0"/>
    <x v="15"/>
    <n v="12"/>
    <n v="0.52"/>
    <n v="0.442"/>
    <n v="0.15000000000000002"/>
  </r>
  <r>
    <x v="206"/>
    <x v="12"/>
    <x v="1"/>
    <x v="15"/>
    <n v="12"/>
    <n v="0.52"/>
    <n v="0.442"/>
    <n v="0.15000000000000002"/>
  </r>
  <r>
    <x v="206"/>
    <x v="12"/>
    <x v="1"/>
    <x v="15"/>
    <n v="12"/>
    <n v="0.52"/>
    <n v="0.442"/>
    <n v="0.15000000000000002"/>
  </r>
  <r>
    <x v="206"/>
    <x v="0"/>
    <x v="0"/>
    <x v="15"/>
    <n v="12"/>
    <n v="0.52"/>
    <n v="0.442"/>
    <n v="0.15000000000000002"/>
  </r>
  <r>
    <x v="206"/>
    <x v="0"/>
    <x v="0"/>
    <x v="15"/>
    <n v="12"/>
    <n v="0.52"/>
    <n v="0.442"/>
    <n v="0.15000000000000002"/>
  </r>
  <r>
    <x v="206"/>
    <x v="12"/>
    <x v="1"/>
    <x v="15"/>
    <n v="12"/>
    <n v="0.52"/>
    <n v="0.442"/>
    <n v="0.15000000000000002"/>
  </r>
  <r>
    <x v="206"/>
    <x v="0"/>
    <x v="0"/>
    <x v="15"/>
    <n v="12"/>
    <n v="0.52"/>
    <n v="0.442"/>
    <n v="0.15000000000000002"/>
  </r>
  <r>
    <x v="206"/>
    <x v="12"/>
    <x v="1"/>
    <x v="15"/>
    <n v="12"/>
    <n v="0.52"/>
    <n v="0.442"/>
    <n v="0.15000000000000002"/>
  </r>
  <r>
    <x v="206"/>
    <x v="0"/>
    <x v="0"/>
    <x v="15"/>
    <n v="12"/>
    <n v="0.52"/>
    <n v="0.442"/>
    <n v="0.15000000000000002"/>
  </r>
  <r>
    <x v="206"/>
    <x v="7"/>
    <x v="6"/>
    <x v="29"/>
    <n v="8"/>
    <n v="0.95"/>
    <m/>
    <n v="1"/>
  </r>
  <r>
    <x v="206"/>
    <x v="0"/>
    <x v="0"/>
    <x v="15"/>
    <n v="6"/>
    <n v="0.52"/>
    <n v="0.442"/>
    <n v="0.15000000000000002"/>
  </r>
  <r>
    <x v="206"/>
    <x v="7"/>
    <x v="6"/>
    <x v="29"/>
    <n v="8"/>
    <n v="0.95"/>
    <m/>
    <n v="1"/>
  </r>
  <r>
    <x v="207"/>
    <x v="9"/>
    <x v="1"/>
    <x v="10"/>
    <n v="32"/>
    <n v="3.1"/>
    <n v="2.66"/>
    <n v="0.14193548387096777"/>
  </r>
  <r>
    <x v="207"/>
    <x v="9"/>
    <x v="1"/>
    <x v="10"/>
    <n v="8"/>
    <n v="3.15"/>
    <n v="2.72"/>
    <n v="0.13650793650793647"/>
  </r>
  <r>
    <x v="207"/>
    <x v="12"/>
    <x v="1"/>
    <x v="10"/>
    <n v="8"/>
    <n v="3.3"/>
    <n v="3"/>
    <n v="9.0909090909090828E-2"/>
  </r>
  <r>
    <x v="208"/>
    <x v="9"/>
    <x v="1"/>
    <x v="10"/>
    <n v="16"/>
    <n v="3.15"/>
    <n v="2.72"/>
    <n v="0.13650793650793647"/>
  </r>
  <r>
    <x v="208"/>
    <x v="9"/>
    <x v="1"/>
    <x v="10"/>
    <n v="24"/>
    <n v="3.2"/>
    <n v="2.7"/>
    <n v="0.15625"/>
  </r>
  <r>
    <x v="209"/>
    <x v="12"/>
    <x v="1"/>
    <x v="14"/>
    <n v="8"/>
    <n v="1.05"/>
    <n v="1"/>
    <n v="4.7619047619047672E-2"/>
  </r>
  <r>
    <x v="210"/>
    <x v="9"/>
    <x v="1"/>
    <x v="10"/>
    <n v="56"/>
    <n v="3.2"/>
    <n v="2.7"/>
    <n v="0.15625"/>
  </r>
  <r>
    <x v="210"/>
    <x v="9"/>
    <x v="1"/>
    <x v="15"/>
    <n v="96"/>
    <n v="0.65"/>
    <n v="0.56899999999999995"/>
    <n v="0.12461538461538468"/>
  </r>
  <r>
    <x v="210"/>
    <x v="9"/>
    <x v="1"/>
    <x v="10"/>
    <n v="8"/>
    <n v="3.15"/>
    <n v="2.72"/>
    <n v="0.13650793650793647"/>
  </r>
  <r>
    <x v="210"/>
    <x v="0"/>
    <x v="0"/>
    <x v="2"/>
    <m/>
    <n v="2.4500000000000002"/>
    <n v="2.33"/>
    <n v="4.8979591836734726E-2"/>
  </r>
  <r>
    <x v="211"/>
    <x v="31"/>
    <x v="7"/>
    <x v="10"/>
    <n v="48"/>
    <n v="2.95"/>
    <n v="2.5"/>
    <n v="0.15254237288135597"/>
  </r>
  <r>
    <x v="212"/>
    <x v="9"/>
    <x v="1"/>
    <x v="15"/>
    <n v="32"/>
    <n v="0.57999999999999996"/>
    <n v="0.50800000000000001"/>
    <n v="0.12413793103448267"/>
  </r>
  <r>
    <x v="212"/>
    <x v="9"/>
    <x v="1"/>
    <x v="15"/>
    <n v="40"/>
    <n v="0.57999999999999996"/>
    <n v="0.50800000000000001"/>
    <n v="0.12413793103448267"/>
  </r>
  <r>
    <x v="212"/>
    <x v="9"/>
    <x v="1"/>
    <x v="10"/>
    <n v="72"/>
    <n v="3.1"/>
    <n v="2.7"/>
    <n v="0.12903225806451613"/>
  </r>
  <r>
    <x v="212"/>
    <x v="9"/>
    <x v="1"/>
    <x v="15"/>
    <n v="32"/>
    <n v="0.57999999999999996"/>
    <n v="0.50800000000000001"/>
    <n v="0.12413793103448267"/>
  </r>
  <r>
    <x v="212"/>
    <x v="9"/>
    <x v="1"/>
    <x v="15"/>
    <n v="40"/>
    <n v="0.57999999999999996"/>
    <n v="0.50800000000000001"/>
    <n v="0.12413793103448267"/>
  </r>
  <r>
    <x v="212"/>
    <x v="9"/>
    <x v="1"/>
    <x v="10"/>
    <n v="72"/>
    <n v="3.1"/>
    <n v="2.7"/>
    <n v="0.12903225806451613"/>
  </r>
  <r>
    <x v="213"/>
    <x v="9"/>
    <x v="1"/>
    <x v="10"/>
    <n v="8"/>
    <n v="3.15"/>
    <n v="2.72"/>
    <n v="0.13650793650793647"/>
  </r>
  <r>
    <x v="213"/>
    <x v="9"/>
    <x v="1"/>
    <x v="10"/>
    <n v="32"/>
    <n v="3.1"/>
    <n v="2.66"/>
    <n v="0.14193548387096777"/>
  </r>
  <r>
    <x v="213"/>
    <x v="9"/>
    <x v="1"/>
    <x v="10"/>
    <n v="16"/>
    <n v="3.15"/>
    <n v="2.72"/>
    <n v="0.13650793650793647"/>
  </r>
  <r>
    <x v="213"/>
    <x v="12"/>
    <x v="1"/>
    <x v="4"/>
    <n v="16"/>
    <n v="2.25"/>
    <n v="1.9"/>
    <n v="0.15555555555555556"/>
  </r>
  <r>
    <x v="213"/>
    <x v="9"/>
    <x v="1"/>
    <x v="10"/>
    <n v="56"/>
    <n v="3.2"/>
    <n v="2.7"/>
    <n v="0.15625"/>
  </r>
  <r>
    <x v="213"/>
    <x v="12"/>
    <x v="1"/>
    <x v="15"/>
    <n v="8"/>
    <n v="0.65"/>
    <n v="0.55300000000000005"/>
    <n v="0.14923076923076917"/>
  </r>
  <r>
    <x v="213"/>
    <x v="12"/>
    <x v="1"/>
    <x v="25"/>
    <n v="16"/>
    <n v="0.5"/>
    <n v="0.47"/>
    <n v="6.0000000000000053E-2"/>
  </r>
  <r>
    <x v="214"/>
    <x v="9"/>
    <x v="1"/>
    <x v="10"/>
    <n v="24"/>
    <n v="3.2"/>
    <n v="2.7"/>
    <n v="0.15625"/>
  </r>
  <r>
    <x v="215"/>
    <x v="9"/>
    <x v="1"/>
    <x v="10"/>
    <n v="8"/>
    <n v="3.15"/>
    <n v="2.72"/>
    <n v="0.13650793650793647"/>
  </r>
  <r>
    <x v="216"/>
    <x v="31"/>
    <x v="7"/>
    <x v="10"/>
    <n v="48"/>
    <n v="2.95"/>
    <n v="2.5"/>
    <n v="0.15254237288135597"/>
  </r>
  <r>
    <x v="217"/>
    <x v="7"/>
    <x v="6"/>
    <x v="4"/>
    <n v="1024"/>
    <n v="2.66"/>
    <n v="2.5099999999999998"/>
    <n v="5.6390977443609103E-2"/>
  </r>
  <r>
    <x v="217"/>
    <x v="12"/>
    <x v="1"/>
    <x v="15"/>
    <n v="6"/>
    <n v="0.52"/>
    <n v="0.442"/>
    <n v="0.15000000000000002"/>
  </r>
  <r>
    <x v="217"/>
    <x v="9"/>
    <x v="1"/>
    <x v="10"/>
    <n v="24"/>
    <n v="2.7"/>
    <n v="2.35"/>
    <n v="0.12962962962962965"/>
  </r>
  <r>
    <x v="218"/>
    <x v="7"/>
    <x v="6"/>
    <x v="15"/>
    <n v="48"/>
    <n v="0.28000000000000003"/>
    <n v="0.26"/>
    <n v="7.1428571428571508E-2"/>
  </r>
  <r>
    <x v="218"/>
    <x v="7"/>
    <x v="6"/>
    <x v="15"/>
    <n v="48"/>
    <n v="0.28000000000000003"/>
    <n v="0.26"/>
    <n v="7.1428571428571508E-2"/>
  </r>
  <r>
    <x v="219"/>
    <x v="9"/>
    <x v="1"/>
    <x v="10"/>
    <n v="32"/>
    <n v="3.1"/>
    <n v="2.66"/>
    <n v="0.14193548387096777"/>
  </r>
  <r>
    <x v="219"/>
    <x v="9"/>
    <x v="1"/>
    <x v="10"/>
    <n v="8"/>
    <n v="3.15"/>
    <n v="2.72"/>
    <n v="0.13650793650793647"/>
  </r>
  <r>
    <x v="219"/>
    <x v="9"/>
    <x v="1"/>
    <x v="10"/>
    <n v="16"/>
    <n v="3.15"/>
    <n v="2.72"/>
    <n v="0.13650793650793647"/>
  </r>
  <r>
    <x v="219"/>
    <x v="9"/>
    <x v="1"/>
    <x v="18"/>
    <n v="32"/>
    <n v="0.3"/>
    <n v="0.26300000000000001"/>
    <n v="0.12333333333333329"/>
  </r>
  <r>
    <x v="219"/>
    <x v="9"/>
    <x v="1"/>
    <x v="10"/>
    <n v="8"/>
    <n v="3.3"/>
    <n v="2.9"/>
    <n v="0.12121212121212122"/>
  </r>
  <r>
    <x v="219"/>
    <x v="9"/>
    <x v="1"/>
    <x v="10"/>
    <n v="8"/>
    <n v="3.3"/>
    <n v="2.9"/>
    <n v="0.12121212121212122"/>
  </r>
  <r>
    <x v="220"/>
    <x v="9"/>
    <x v="1"/>
    <x v="10"/>
    <n v="8"/>
    <n v="3.3"/>
    <n v="2.9"/>
    <n v="0.12121212121212122"/>
  </r>
  <r>
    <x v="220"/>
    <x v="9"/>
    <x v="1"/>
    <x v="10"/>
    <n v="8"/>
    <n v="3.15"/>
    <n v="2.72"/>
    <n v="0.13650793650793647"/>
  </r>
  <r>
    <x v="220"/>
    <x v="9"/>
    <x v="1"/>
    <x v="10"/>
    <n v="8"/>
    <n v="3.3"/>
    <n v="2.9"/>
    <n v="0.12121212121212122"/>
  </r>
  <r>
    <x v="220"/>
    <x v="9"/>
    <x v="1"/>
    <x v="15"/>
    <n v="16"/>
    <n v="0.65"/>
    <n v="0.56899999999999995"/>
    <n v="0.12461538461538468"/>
  </r>
  <r>
    <x v="220"/>
    <x v="9"/>
    <x v="1"/>
    <x v="15"/>
    <n v="32"/>
    <n v="0.54"/>
    <n v="0.39"/>
    <n v="0.27777777777777779"/>
  </r>
  <r>
    <x v="220"/>
    <x v="0"/>
    <x v="0"/>
    <x v="17"/>
    <n v="1"/>
    <n v="2.33"/>
    <m/>
    <n v="1"/>
  </r>
  <r>
    <x v="221"/>
    <x v="12"/>
    <x v="1"/>
    <x v="10"/>
    <n v="8"/>
    <n v="2.6"/>
    <n v="2.4"/>
    <n v="7.6923076923076983E-2"/>
  </r>
  <r>
    <x v="221"/>
    <x v="6"/>
    <x v="5"/>
    <x v="10"/>
    <n v="8"/>
    <n v="2.6"/>
    <n v="2.4"/>
    <n v="7.6923076923076983E-2"/>
  </r>
  <r>
    <x v="222"/>
    <x v="0"/>
    <x v="0"/>
    <x v="28"/>
    <n v="8"/>
    <n v="0.35"/>
    <n v="0.32"/>
    <n v="8.5714285714285632E-2"/>
  </r>
  <r>
    <x v="222"/>
    <x v="9"/>
    <x v="1"/>
    <x v="10"/>
    <n v="32"/>
    <n v="3.1"/>
    <n v="2.66"/>
    <n v="0.14193548387096777"/>
  </r>
  <r>
    <x v="222"/>
    <x v="9"/>
    <x v="1"/>
    <x v="10"/>
    <n v="8"/>
    <n v="3.15"/>
    <n v="2.72"/>
    <n v="0.13650793650793647"/>
  </r>
  <r>
    <x v="222"/>
    <x v="9"/>
    <x v="1"/>
    <x v="18"/>
    <n v="40"/>
    <n v="0.34"/>
    <n v="0.29799999999999999"/>
    <n v="0.123529411764706"/>
  </r>
  <r>
    <x v="222"/>
    <x v="0"/>
    <x v="0"/>
    <x v="28"/>
    <n v="8"/>
    <n v="0.32"/>
    <n v="0.28999999999999998"/>
    <n v="9.3750000000000111E-2"/>
  </r>
  <r>
    <x v="222"/>
    <x v="9"/>
    <x v="1"/>
    <x v="15"/>
    <n v="16"/>
    <n v="0.57999999999999996"/>
    <n v="0.50800000000000001"/>
    <n v="0.12413793103448267"/>
  </r>
  <r>
    <x v="222"/>
    <x v="9"/>
    <x v="1"/>
    <x v="18"/>
    <n v="40"/>
    <n v="0.34"/>
    <n v="0.29799999999999999"/>
    <n v="0.123529411764706"/>
  </r>
  <r>
    <x v="222"/>
    <x v="9"/>
    <x v="1"/>
    <x v="15"/>
    <n v="16"/>
    <n v="0.57999999999999996"/>
    <n v="0.50800000000000001"/>
    <n v="0.12413793103448267"/>
  </r>
  <r>
    <x v="222"/>
    <x v="9"/>
    <x v="1"/>
    <x v="10"/>
    <n v="8"/>
    <n v="3.3"/>
    <n v="2.9"/>
    <n v="0.12121212121212122"/>
  </r>
  <r>
    <x v="222"/>
    <x v="9"/>
    <x v="1"/>
    <x v="10"/>
    <n v="8"/>
    <n v="3.3"/>
    <n v="2.9"/>
    <n v="0.12121212121212122"/>
  </r>
  <r>
    <x v="223"/>
    <x v="0"/>
    <x v="0"/>
    <x v="10"/>
    <n v="256"/>
    <n v="2.1"/>
    <n v="2.1"/>
    <n v="0"/>
  </r>
  <r>
    <x v="223"/>
    <x v="6"/>
    <x v="5"/>
    <x v="10"/>
    <n v="256"/>
    <n v="2.1"/>
    <n v="2.1"/>
    <n v="0"/>
  </r>
  <r>
    <x v="224"/>
    <x v="12"/>
    <x v="1"/>
    <x v="10"/>
    <n v="8"/>
    <n v="3.1"/>
    <n v="2.66"/>
    <n v="0.14193548387096777"/>
  </r>
  <r>
    <x v="224"/>
    <x v="4"/>
    <x v="3"/>
    <x v="14"/>
    <n v="8"/>
    <n v="1.32"/>
    <n v="1.1399999999999999"/>
    <n v="0.13636363636363646"/>
  </r>
  <r>
    <x v="224"/>
    <x v="4"/>
    <x v="3"/>
    <x v="23"/>
    <n v="42"/>
    <n v="35"/>
    <n v="30"/>
    <n v="0.1428571428571429"/>
  </r>
  <r>
    <x v="224"/>
    <x v="31"/>
    <x v="7"/>
    <x v="15"/>
    <n v="8"/>
    <n v="0.62"/>
    <n v="0.54300000000000004"/>
    <n v="0.12419354838709673"/>
  </r>
  <r>
    <x v="224"/>
    <x v="12"/>
    <x v="1"/>
    <x v="20"/>
    <n v="8"/>
    <n v="1.05"/>
    <n v="0.91900000000000004"/>
    <n v="0.12476190476190474"/>
  </r>
  <r>
    <x v="224"/>
    <x v="31"/>
    <x v="7"/>
    <x v="10"/>
    <n v="16"/>
    <n v="2.85"/>
    <n v="2.5"/>
    <n v="0.1228070175438597"/>
  </r>
  <r>
    <x v="224"/>
    <x v="31"/>
    <x v="7"/>
    <x v="15"/>
    <n v="8"/>
    <n v="0.62"/>
    <n v="0.54300000000000004"/>
    <n v="0.12419354838709673"/>
  </r>
  <r>
    <x v="224"/>
    <x v="31"/>
    <x v="7"/>
    <x v="10"/>
    <n v="16"/>
    <n v="2.85"/>
    <n v="2.5"/>
    <n v="0.1228070175438597"/>
  </r>
  <r>
    <x v="224"/>
    <x v="12"/>
    <x v="1"/>
    <x v="15"/>
    <n v="24"/>
    <n v="0.65"/>
    <n v="0.55300000000000005"/>
    <n v="0.14923076923076917"/>
  </r>
  <r>
    <x v="225"/>
    <x v="0"/>
    <x v="0"/>
    <x v="23"/>
    <n v="50"/>
    <n v="60"/>
    <n v="50"/>
    <n v="0.16666666666666663"/>
  </r>
  <r>
    <x v="225"/>
    <x v="12"/>
    <x v="1"/>
    <x v="10"/>
    <n v="32"/>
    <n v="2.4500000000000002"/>
    <n v="2.4"/>
    <n v="2.0408163265306256E-2"/>
  </r>
  <r>
    <x v="226"/>
    <x v="12"/>
    <x v="1"/>
    <x v="14"/>
    <n v="16"/>
    <n v="1.45"/>
    <n v="1.35"/>
    <n v="6.8965517241379226E-2"/>
  </r>
  <r>
    <x v="226"/>
    <x v="7"/>
    <x v="6"/>
    <x v="4"/>
    <n v="48"/>
    <n v="1.83"/>
    <n v="1.78"/>
    <n v="2.732240437158473E-2"/>
  </r>
  <r>
    <x v="226"/>
    <x v="12"/>
    <x v="1"/>
    <x v="18"/>
    <n v="2"/>
    <n v="0.32"/>
    <n v="0.28000000000000003"/>
    <n v="0.12499999999999989"/>
  </r>
  <r>
    <x v="226"/>
    <x v="12"/>
    <x v="1"/>
    <x v="14"/>
    <n v="16"/>
    <n v="1.45"/>
    <n v="1.35"/>
    <n v="6.8965517241379226E-2"/>
  </r>
  <r>
    <x v="226"/>
    <x v="7"/>
    <x v="6"/>
    <x v="4"/>
    <n v="48"/>
    <n v="1.83"/>
    <n v="1.78"/>
    <n v="2.732240437158473E-2"/>
  </r>
  <r>
    <x v="226"/>
    <x v="12"/>
    <x v="1"/>
    <x v="10"/>
    <n v="8"/>
    <n v="3.2"/>
    <n v="2.72"/>
    <n v="0.15000000000000002"/>
  </r>
  <r>
    <x v="226"/>
    <x v="12"/>
    <x v="1"/>
    <x v="18"/>
    <n v="1"/>
    <n v="0.32"/>
    <n v="0.28000000000000003"/>
    <n v="0.12499999999999989"/>
  </r>
  <r>
    <x v="226"/>
    <x v="12"/>
    <x v="1"/>
    <x v="10"/>
    <n v="8"/>
    <n v="3.2"/>
    <n v="2.72"/>
    <n v="0.15000000000000002"/>
  </r>
  <r>
    <x v="226"/>
    <x v="12"/>
    <x v="1"/>
    <x v="15"/>
    <n v="8"/>
    <n v="0.5"/>
    <n v="0.44"/>
    <n v="0.12"/>
  </r>
  <r>
    <x v="227"/>
    <x v="4"/>
    <x v="3"/>
    <x v="4"/>
    <n v="4"/>
    <n v="1.92"/>
    <n v="1.87"/>
    <n v="2.604166666666663E-2"/>
  </r>
  <r>
    <x v="227"/>
    <x v="4"/>
    <x v="3"/>
    <x v="4"/>
    <n v="8"/>
    <n v="2.15"/>
    <n v="2.0499999999999998"/>
    <n v="4.6511627906976827E-2"/>
  </r>
  <r>
    <x v="227"/>
    <x v="4"/>
    <x v="3"/>
    <x v="28"/>
    <n v="8"/>
    <n v="0.32"/>
    <n v="0.28999999999999998"/>
    <n v="9.3750000000000111E-2"/>
  </r>
  <r>
    <x v="227"/>
    <x v="9"/>
    <x v="1"/>
    <x v="10"/>
    <n v="16"/>
    <n v="3.15"/>
    <n v="2.72"/>
    <n v="0.13650793650793647"/>
  </r>
  <r>
    <x v="227"/>
    <x v="9"/>
    <x v="1"/>
    <x v="15"/>
    <n v="8"/>
    <n v="0.57999999999999996"/>
    <n v="0.49299999999999999"/>
    <n v="0.14999999999999991"/>
  </r>
  <r>
    <x v="227"/>
    <x v="9"/>
    <x v="1"/>
    <x v="15"/>
    <n v="8"/>
    <n v="0.65"/>
    <n v="0.56899999999999995"/>
    <n v="0.12461538461538468"/>
  </r>
  <r>
    <x v="227"/>
    <x v="7"/>
    <x v="6"/>
    <x v="4"/>
    <n v="16"/>
    <n v="2.66"/>
    <n v="2.5099999999999998"/>
    <n v="5.6390977443609103E-2"/>
  </r>
  <r>
    <x v="227"/>
    <x v="9"/>
    <x v="1"/>
    <x v="10"/>
    <n v="8"/>
    <n v="3.3"/>
    <n v="2.9"/>
    <n v="0.12121212121212122"/>
  </r>
  <r>
    <x v="227"/>
    <x v="9"/>
    <x v="1"/>
    <x v="10"/>
    <n v="8"/>
    <n v="3.15"/>
    <n v="2.72"/>
    <n v="0.13650793650793647"/>
  </r>
  <r>
    <x v="227"/>
    <x v="9"/>
    <x v="1"/>
    <x v="10"/>
    <n v="8"/>
    <n v="3.3"/>
    <n v="2.9"/>
    <n v="0.12121212121212122"/>
  </r>
  <r>
    <x v="227"/>
    <x v="9"/>
    <x v="1"/>
    <x v="15"/>
    <n v="16"/>
    <n v="0.62"/>
    <n v="0.54300000000000004"/>
    <n v="0.12419354838709673"/>
  </r>
  <r>
    <x v="227"/>
    <x v="0"/>
    <x v="0"/>
    <x v="13"/>
    <n v="1"/>
    <n v="1700"/>
    <n v="1500"/>
    <n v="0.11764705882352944"/>
  </r>
  <r>
    <x v="227"/>
    <x v="9"/>
    <x v="1"/>
    <x v="10"/>
    <n v="32"/>
    <n v="3.1"/>
    <n v="2.66"/>
    <n v="0.14193548387096777"/>
  </r>
  <r>
    <x v="227"/>
    <x v="9"/>
    <x v="1"/>
    <x v="10"/>
    <n v="8"/>
    <n v="3.15"/>
    <n v="2.72"/>
    <n v="0.13650793650793647"/>
  </r>
  <r>
    <x v="227"/>
    <x v="7"/>
    <x v="6"/>
    <x v="4"/>
    <n v="4"/>
    <n v="1.92"/>
    <n v="1.87"/>
    <n v="2.604166666666663E-2"/>
  </r>
  <r>
    <x v="227"/>
    <x v="9"/>
    <x v="1"/>
    <x v="10"/>
    <n v="8"/>
    <n v="3.3"/>
    <n v="2.9"/>
    <n v="0.12121212121212122"/>
  </r>
  <r>
    <x v="227"/>
    <x v="9"/>
    <x v="1"/>
    <x v="10"/>
    <n v="8"/>
    <n v="3.3"/>
    <n v="2.9"/>
    <n v="0.12121212121212122"/>
  </r>
  <r>
    <x v="227"/>
    <x v="12"/>
    <x v="1"/>
    <x v="25"/>
    <n v="8"/>
    <n v="0.78"/>
    <n v="0.68"/>
    <n v="0.12820512820512819"/>
  </r>
  <r>
    <x v="227"/>
    <x v="12"/>
    <x v="1"/>
    <x v="15"/>
    <n v="12"/>
    <n v="0.52"/>
    <n v="0.442"/>
    <n v="0.15000000000000002"/>
  </r>
  <r>
    <x v="227"/>
    <x v="7"/>
    <x v="6"/>
    <x v="29"/>
    <n v="8"/>
    <n v="0.95"/>
    <m/>
    <n v="1"/>
  </r>
  <r>
    <x v="227"/>
    <x v="0"/>
    <x v="0"/>
    <x v="18"/>
    <n v="8"/>
    <n v="0.35"/>
    <n v="0.30599999999999999"/>
    <n v="0.12571428571428567"/>
  </r>
  <r>
    <x v="227"/>
    <x v="9"/>
    <x v="1"/>
    <x v="10"/>
    <n v="16"/>
    <n v="3.15"/>
    <n v="2.72"/>
    <n v="0.13650793650793647"/>
  </r>
  <r>
    <x v="227"/>
    <x v="9"/>
    <x v="1"/>
    <x v="15"/>
    <n v="8"/>
    <n v="0.57999999999999996"/>
    <n v="0.49299999999999999"/>
    <n v="0.14999999999999991"/>
  </r>
  <r>
    <x v="228"/>
    <x v="12"/>
    <x v="1"/>
    <x v="15"/>
    <n v="8"/>
    <n v="0.7"/>
    <n v="0.59"/>
    <n v="0.15714285714285714"/>
  </r>
  <r>
    <x v="228"/>
    <x v="12"/>
    <x v="1"/>
    <x v="15"/>
    <n v="8"/>
    <n v="0.65"/>
    <n v="0.56899999999999995"/>
    <n v="0.12461538461538468"/>
  </r>
  <r>
    <x v="229"/>
    <x v="9"/>
    <x v="1"/>
    <x v="15"/>
    <n v="40"/>
    <n v="0.57999999999999996"/>
    <n v="0.50800000000000001"/>
    <n v="0.12413793103448267"/>
  </r>
  <r>
    <x v="229"/>
    <x v="9"/>
    <x v="1"/>
    <x v="15"/>
    <n v="32"/>
    <n v="0.57999999999999996"/>
    <n v="0.50800000000000001"/>
    <n v="0.12413793103448267"/>
  </r>
  <r>
    <x v="229"/>
    <x v="9"/>
    <x v="1"/>
    <x v="10"/>
    <n v="72"/>
    <n v="3.1"/>
    <n v="2.7"/>
    <n v="0.12903225806451613"/>
  </r>
  <r>
    <x v="229"/>
    <x v="9"/>
    <x v="1"/>
    <x v="15"/>
    <n v="56"/>
    <n v="0.57999999999999996"/>
    <n v="0.50800000000000001"/>
    <n v="0.12413793103448267"/>
  </r>
  <r>
    <x v="229"/>
    <x v="9"/>
    <x v="1"/>
    <x v="15"/>
    <n v="32"/>
    <n v="0.57999999999999996"/>
    <n v="0.50800000000000001"/>
    <n v="0.12413793103448267"/>
  </r>
  <r>
    <x v="229"/>
    <x v="9"/>
    <x v="1"/>
    <x v="10"/>
    <n v="72"/>
    <n v="3.1"/>
    <n v="2.7"/>
    <n v="0.12903225806451613"/>
  </r>
  <r>
    <x v="229"/>
    <x v="9"/>
    <x v="1"/>
    <x v="15"/>
    <n v="56"/>
    <n v="0.57999999999999996"/>
    <n v="0.50800000000000001"/>
    <n v="0.12413793103448267"/>
  </r>
  <r>
    <x v="229"/>
    <x v="9"/>
    <x v="1"/>
    <x v="15"/>
    <n v="32"/>
    <n v="0.57999999999999996"/>
    <n v="0.50800000000000001"/>
    <n v="0.12413793103448267"/>
  </r>
  <r>
    <x v="229"/>
    <x v="9"/>
    <x v="1"/>
    <x v="10"/>
    <n v="72"/>
    <n v="2.95"/>
    <n v="2.5"/>
    <n v="0.15254237288135597"/>
  </r>
  <r>
    <x v="229"/>
    <x v="9"/>
    <x v="1"/>
    <x v="15"/>
    <n v="56"/>
    <n v="0.57999999999999996"/>
    <n v="0.50800000000000001"/>
    <n v="0.12413793103448267"/>
  </r>
  <r>
    <x v="229"/>
    <x v="9"/>
    <x v="1"/>
    <x v="15"/>
    <n v="32"/>
    <n v="0.57999999999999996"/>
    <n v="0.50800000000000001"/>
    <n v="0.12413793103448267"/>
  </r>
  <r>
    <x v="230"/>
    <x v="7"/>
    <x v="6"/>
    <x v="20"/>
    <n v="80"/>
    <n v="0.93"/>
    <n v="0.87"/>
    <n v="6.4516129032258118E-2"/>
  </r>
  <r>
    <x v="230"/>
    <x v="7"/>
    <x v="6"/>
    <x v="20"/>
    <n v="80"/>
    <n v="0.93"/>
    <n v="0.87"/>
    <n v="6.4516129032258118E-2"/>
  </r>
  <r>
    <x v="230"/>
    <x v="31"/>
    <x v="7"/>
    <x v="10"/>
    <n v="32"/>
    <n v="2.95"/>
    <n v="2.5"/>
    <n v="0.15254237288135597"/>
  </r>
  <r>
    <x v="230"/>
    <x v="31"/>
    <x v="7"/>
    <x v="10"/>
    <n v="8"/>
    <n v="2.95"/>
    <n v="2.5"/>
    <n v="0.15254237288135597"/>
  </r>
  <r>
    <x v="230"/>
    <x v="31"/>
    <x v="7"/>
    <x v="10"/>
    <n v="16"/>
    <n v="2.95"/>
    <n v="2.5"/>
    <n v="0.15254237288135597"/>
  </r>
  <r>
    <x v="230"/>
    <x v="31"/>
    <x v="7"/>
    <x v="10"/>
    <n v="72"/>
    <n v="2.95"/>
    <n v="2.5"/>
    <n v="0.15254237288135597"/>
  </r>
  <r>
    <x v="230"/>
    <x v="31"/>
    <x v="7"/>
    <x v="10"/>
    <n v="32"/>
    <n v="2.95"/>
    <n v="2.5"/>
    <n v="0.15254237288135597"/>
  </r>
  <r>
    <x v="230"/>
    <x v="31"/>
    <x v="7"/>
    <x v="10"/>
    <n v="8"/>
    <n v="2.95"/>
    <n v="2.5"/>
    <n v="0.15254237288135597"/>
  </r>
  <r>
    <x v="230"/>
    <x v="31"/>
    <x v="7"/>
    <x v="10"/>
    <n v="88"/>
    <n v="2.95"/>
    <n v="2.5"/>
    <n v="0.15254237288135597"/>
  </r>
  <r>
    <x v="230"/>
    <x v="31"/>
    <x v="7"/>
    <x v="10"/>
    <n v="16"/>
    <n v="2.95"/>
    <n v="2.5"/>
    <n v="0.15254237288135597"/>
  </r>
  <r>
    <x v="230"/>
    <x v="31"/>
    <x v="7"/>
    <x v="10"/>
    <n v="32"/>
    <n v="2.95"/>
    <n v="2.5"/>
    <n v="0.15254237288135597"/>
  </r>
  <r>
    <x v="230"/>
    <x v="31"/>
    <x v="7"/>
    <x v="10"/>
    <n v="8"/>
    <n v="2.95"/>
    <n v="2.5"/>
    <n v="0.15254237288135597"/>
  </r>
  <r>
    <x v="230"/>
    <x v="31"/>
    <x v="7"/>
    <x v="15"/>
    <n v="8"/>
    <n v="0.62"/>
    <n v="0.54300000000000004"/>
    <n v="0.12419354838709673"/>
  </r>
  <r>
    <x v="230"/>
    <x v="9"/>
    <x v="1"/>
    <x v="10"/>
    <n v="8"/>
    <n v="3.3"/>
    <n v="2.9"/>
    <n v="0.12121212121212122"/>
  </r>
  <r>
    <x v="230"/>
    <x v="9"/>
    <x v="1"/>
    <x v="10"/>
    <n v="8"/>
    <n v="3.15"/>
    <n v="2.72"/>
    <n v="0.13650793650793647"/>
  </r>
  <r>
    <x v="230"/>
    <x v="0"/>
    <x v="0"/>
    <x v="20"/>
    <n v="80"/>
    <n v="0.93"/>
    <n v="0.87"/>
    <n v="6.4516129032258118E-2"/>
  </r>
  <r>
    <x v="230"/>
    <x v="31"/>
    <x v="7"/>
    <x v="10"/>
    <n v="8"/>
    <n v="2.85"/>
    <n v="2.5"/>
    <n v="0.1228070175438597"/>
  </r>
  <r>
    <x v="230"/>
    <x v="9"/>
    <x v="1"/>
    <x v="15"/>
    <n v="16"/>
    <n v="0.62"/>
    <n v="0.54300000000000004"/>
    <n v="0.12419354838709673"/>
  </r>
  <r>
    <x v="230"/>
    <x v="31"/>
    <x v="7"/>
    <x v="10"/>
    <n v="16"/>
    <n v="2.7"/>
    <n v="2.35"/>
    <n v="0.12962962962962965"/>
  </r>
  <r>
    <x v="230"/>
    <x v="31"/>
    <x v="7"/>
    <x v="10"/>
    <n v="16"/>
    <n v="2.7"/>
    <n v="2.35"/>
    <n v="0.12962962962962965"/>
  </r>
  <r>
    <x v="230"/>
    <x v="31"/>
    <x v="7"/>
    <x v="10"/>
    <n v="88"/>
    <n v="2.7"/>
    <n v="2.35"/>
    <n v="0.12962962962962965"/>
  </r>
  <r>
    <x v="231"/>
    <x v="12"/>
    <x v="1"/>
    <x v="4"/>
    <n v="48"/>
    <n v="3"/>
    <n v="2.9"/>
    <n v="3.3333333333333326E-2"/>
  </r>
  <r>
    <x v="231"/>
    <x v="9"/>
    <x v="1"/>
    <x v="10"/>
    <n v="32"/>
    <n v="3.1"/>
    <n v="2.66"/>
    <n v="0.14193548387096777"/>
  </r>
  <r>
    <x v="231"/>
    <x v="4"/>
    <x v="3"/>
    <x v="10"/>
    <n v="16"/>
    <n v="2.35"/>
    <n v="2.25"/>
    <n v="4.2553191489361764E-2"/>
  </r>
  <r>
    <x v="231"/>
    <x v="9"/>
    <x v="1"/>
    <x v="10"/>
    <n v="72"/>
    <n v="2.5"/>
    <n v="2.1"/>
    <n v="0.15999999999999992"/>
  </r>
  <r>
    <x v="231"/>
    <x v="9"/>
    <x v="1"/>
    <x v="10"/>
    <n v="8"/>
    <n v="3.15"/>
    <n v="2.72"/>
    <n v="0.13650793650793647"/>
  </r>
  <r>
    <x v="232"/>
    <x v="12"/>
    <x v="1"/>
    <x v="2"/>
    <n v="1"/>
    <n v="0.22"/>
    <n v="0.2"/>
    <n v="9.0909090909090828E-2"/>
  </r>
  <r>
    <x v="232"/>
    <x v="12"/>
    <x v="1"/>
    <x v="4"/>
    <n v="104"/>
    <n v="2.5"/>
    <n v="2.36"/>
    <n v="5.600000000000005E-2"/>
  </r>
  <r>
    <x v="232"/>
    <x v="12"/>
    <x v="1"/>
    <x v="10"/>
    <n v="8"/>
    <n v="3.1"/>
    <n v="2.66"/>
    <n v="0.14193548387096777"/>
  </r>
  <r>
    <x v="232"/>
    <x v="12"/>
    <x v="1"/>
    <x v="4"/>
    <n v="104"/>
    <n v="2.5"/>
    <n v="2.36"/>
    <n v="5.600000000000005E-2"/>
  </r>
  <r>
    <x v="232"/>
    <x v="12"/>
    <x v="1"/>
    <x v="18"/>
    <n v="3"/>
    <n v="0.22"/>
    <n v="0.2"/>
    <n v="9.0909090909090828E-2"/>
  </r>
  <r>
    <x v="232"/>
    <x v="12"/>
    <x v="1"/>
    <x v="25"/>
    <n v="16"/>
    <n v="0.5"/>
    <n v="0.47"/>
    <n v="6.0000000000000053E-2"/>
  </r>
  <r>
    <x v="232"/>
    <x v="12"/>
    <x v="1"/>
    <x v="4"/>
    <n v="24"/>
    <n v="2.2999999999999998"/>
    <n v="1.95"/>
    <n v="0.15217391304347816"/>
  </r>
  <r>
    <x v="232"/>
    <x v="31"/>
    <x v="7"/>
    <x v="10"/>
    <n v="32"/>
    <n v="2.5"/>
    <n v="2.1"/>
    <n v="0.15999999999999992"/>
  </r>
  <r>
    <x v="232"/>
    <x v="31"/>
    <x v="7"/>
    <x v="10"/>
    <n v="32"/>
    <n v="3.1"/>
    <n v="2.7"/>
    <n v="0.12903225806451613"/>
  </r>
  <r>
    <x v="232"/>
    <x v="31"/>
    <x v="7"/>
    <x v="10"/>
    <n v="8"/>
    <n v="2.85"/>
    <n v="2.5"/>
    <n v="0.1228070175438597"/>
  </r>
  <r>
    <x v="233"/>
    <x v="12"/>
    <x v="1"/>
    <x v="18"/>
    <n v="8"/>
    <n v="0.32"/>
    <n v="0.28000000000000003"/>
    <n v="0.12499999999999989"/>
  </r>
  <r>
    <x v="233"/>
    <x v="12"/>
    <x v="1"/>
    <x v="4"/>
    <n v="32"/>
    <n v="2.25"/>
    <n v="1.9"/>
    <n v="0.15555555555555556"/>
  </r>
  <r>
    <x v="234"/>
    <x v="31"/>
    <x v="7"/>
    <x v="10"/>
    <n v="24"/>
    <n v="2.85"/>
    <n v="2.5"/>
    <n v="0.1228070175438597"/>
  </r>
  <r>
    <x v="234"/>
    <x v="31"/>
    <x v="7"/>
    <x v="10"/>
    <n v="8"/>
    <n v="2.95"/>
    <n v="2.5"/>
    <n v="0.15254237288135597"/>
  </r>
  <r>
    <x v="234"/>
    <x v="31"/>
    <x v="7"/>
    <x v="10"/>
    <n v="8"/>
    <n v="2.95"/>
    <n v="2.5"/>
    <n v="0.15254237288135597"/>
  </r>
  <r>
    <x v="234"/>
    <x v="31"/>
    <x v="7"/>
    <x v="10"/>
    <n v="8"/>
    <n v="2.95"/>
    <n v="2.5"/>
    <n v="0.15254237288135597"/>
  </r>
  <r>
    <x v="234"/>
    <x v="31"/>
    <x v="7"/>
    <x v="10"/>
    <n v="8"/>
    <n v="2.7"/>
    <n v="2.35"/>
    <n v="0.12962962962962965"/>
  </r>
  <r>
    <x v="234"/>
    <x v="31"/>
    <x v="7"/>
    <x v="10"/>
    <n v="8"/>
    <n v="2.95"/>
    <n v="2.5"/>
    <n v="0.15254237288135597"/>
  </r>
  <r>
    <x v="234"/>
    <x v="31"/>
    <x v="7"/>
    <x v="10"/>
    <n v="8"/>
    <n v="2.7"/>
    <n v="2.35"/>
    <n v="0.12962962962962965"/>
  </r>
  <r>
    <x v="234"/>
    <x v="4"/>
    <x v="3"/>
    <x v="2"/>
    <n v="42"/>
    <n v="35"/>
    <n v="30"/>
    <n v="0.1428571428571429"/>
  </r>
  <r>
    <x v="234"/>
    <x v="31"/>
    <x v="7"/>
    <x v="10"/>
    <n v="88"/>
    <n v="2.7"/>
    <n v="2.35"/>
    <n v="0.12962962962962965"/>
  </r>
  <r>
    <x v="234"/>
    <x v="9"/>
    <x v="1"/>
    <x v="10"/>
    <n v="16"/>
    <n v="2.7"/>
    <n v="2.35"/>
    <n v="0.12962962962962965"/>
  </r>
  <r>
    <x v="234"/>
    <x v="31"/>
    <x v="7"/>
    <x v="10"/>
    <n v="8"/>
    <n v="2.7"/>
    <n v="2.35"/>
    <n v="0.12962962962962965"/>
  </r>
  <r>
    <x v="234"/>
    <x v="31"/>
    <x v="7"/>
    <x v="10"/>
    <n v="16"/>
    <n v="2.7"/>
    <n v="2.35"/>
    <n v="0.12962962962962965"/>
  </r>
  <r>
    <x v="234"/>
    <x v="31"/>
    <x v="7"/>
    <x v="15"/>
    <n v="8"/>
    <n v="0.62"/>
    <n v="0.54300000000000004"/>
    <n v="0.12419354838709673"/>
  </r>
  <r>
    <x v="234"/>
    <x v="4"/>
    <x v="3"/>
    <x v="14"/>
    <n v="8"/>
    <n v="1.32"/>
    <n v="1.1399999999999999"/>
    <n v="0.13636363636363646"/>
  </r>
  <r>
    <x v="234"/>
    <x v="9"/>
    <x v="1"/>
    <x v="15"/>
    <n v="16"/>
    <n v="0.62"/>
    <n v="0.54300000000000004"/>
    <n v="0.12419354838709673"/>
  </r>
  <r>
    <x v="235"/>
    <x v="12"/>
    <x v="1"/>
    <x v="4"/>
    <n v="8"/>
    <n v="2.25"/>
    <n v="1.95"/>
    <n v="0.1333333333333333"/>
  </r>
  <r>
    <x v="235"/>
    <x v="7"/>
    <x v="6"/>
    <x v="4"/>
    <n v="1024"/>
    <n v="2.66"/>
    <n v="2.5099999999999998"/>
    <n v="5.6390977443609103E-2"/>
  </r>
  <r>
    <x v="235"/>
    <x v="12"/>
    <x v="1"/>
    <x v="15"/>
    <n v="8"/>
    <n v="0.65"/>
    <n v="0.55300000000000005"/>
    <n v="0.14923076923076917"/>
  </r>
  <r>
    <x v="236"/>
    <x v="9"/>
    <x v="1"/>
    <x v="10"/>
    <n v="8"/>
    <n v="3.3"/>
    <n v="2.9"/>
    <n v="0.12121212121212122"/>
  </r>
  <r>
    <x v="236"/>
    <x v="9"/>
    <x v="1"/>
    <x v="10"/>
    <n v="8"/>
    <n v="3.3"/>
    <n v="2.9"/>
    <n v="0.12121212121212122"/>
  </r>
  <r>
    <x v="236"/>
    <x v="9"/>
    <x v="1"/>
    <x v="10"/>
    <n v="8"/>
    <n v="3.3"/>
    <n v="2.9"/>
    <n v="0.12121212121212122"/>
  </r>
  <r>
    <x v="236"/>
    <x v="9"/>
    <x v="1"/>
    <x v="10"/>
    <n v="8"/>
    <n v="3.3"/>
    <n v="2.9"/>
    <n v="0.12121212121212122"/>
  </r>
  <r>
    <x v="236"/>
    <x v="12"/>
    <x v="1"/>
    <x v="15"/>
    <n v="6"/>
    <n v="0.52"/>
    <n v="0.442"/>
    <n v="0.15000000000000002"/>
  </r>
  <r>
    <x v="236"/>
    <x v="9"/>
    <x v="1"/>
    <x v="10"/>
    <n v="8"/>
    <n v="3.3"/>
    <n v="2.9"/>
    <n v="0.12121212121212122"/>
  </r>
  <r>
    <x v="237"/>
    <x v="12"/>
    <x v="1"/>
    <x v="25"/>
    <n v="8"/>
    <n v="0.78"/>
    <n v="0.68"/>
    <n v="0.12820512820512819"/>
  </r>
  <r>
    <x v="237"/>
    <x v="9"/>
    <x v="1"/>
    <x v="4"/>
    <n v="128"/>
    <n v="2.2999999999999998"/>
    <n v="2.1"/>
    <n v="8.6956521739130377E-2"/>
  </r>
  <r>
    <x v="237"/>
    <x v="9"/>
    <x v="1"/>
    <x v="4"/>
    <n v="128"/>
    <n v="2.2999999999999998"/>
    <n v="2.1"/>
    <n v="8.6956521739130377E-2"/>
  </r>
  <r>
    <x v="237"/>
    <x v="12"/>
    <x v="1"/>
    <x v="25"/>
    <n v="8"/>
    <n v="0.78"/>
    <n v="0.68"/>
    <n v="0.12820512820512819"/>
  </r>
  <r>
    <x v="237"/>
    <x v="9"/>
    <x v="1"/>
    <x v="4"/>
    <n v="128"/>
    <n v="2.2999999999999998"/>
    <n v="2.1"/>
    <n v="8.6956521739130377E-2"/>
  </r>
  <r>
    <x v="237"/>
    <x v="0"/>
    <x v="0"/>
    <x v="10"/>
    <n v="2"/>
    <n v="2.85"/>
    <n v="2.7"/>
    <n v="5.2631578947368363E-2"/>
  </r>
  <r>
    <x v="238"/>
    <x v="7"/>
    <x v="6"/>
    <x v="14"/>
    <n v="64"/>
    <n v="1.85"/>
    <n v="1.62"/>
    <n v="0.12432432432432428"/>
  </r>
  <r>
    <x v="238"/>
    <x v="9"/>
    <x v="1"/>
    <x v="10"/>
    <n v="8"/>
    <n v="3.3"/>
    <n v="2.9"/>
    <n v="0.12121212121212122"/>
  </r>
  <r>
    <x v="238"/>
    <x v="9"/>
    <x v="1"/>
    <x v="10"/>
    <n v="8"/>
    <n v="3.3"/>
    <n v="2.9"/>
    <n v="0.12121212121212122"/>
  </r>
  <r>
    <x v="238"/>
    <x v="7"/>
    <x v="6"/>
    <x v="14"/>
    <n v="64"/>
    <n v="1.85"/>
    <n v="1.62"/>
    <n v="0.12432432432432428"/>
  </r>
  <r>
    <x v="239"/>
    <x v="12"/>
    <x v="1"/>
    <x v="15"/>
    <n v="24"/>
    <n v="0.65"/>
    <n v="0.55300000000000005"/>
    <n v="0.14923076923076917"/>
  </r>
  <r>
    <x v="240"/>
    <x v="12"/>
    <x v="1"/>
    <x v="15"/>
    <n v="390"/>
    <n v="0.32"/>
    <n v="0.26"/>
    <n v="0.1875"/>
  </r>
  <r>
    <x v="240"/>
    <x v="12"/>
    <x v="1"/>
    <x v="4"/>
    <n v="24"/>
    <n v="2.4"/>
    <n v="2.1"/>
    <n v="0.12499999999999989"/>
  </r>
  <r>
    <x v="240"/>
    <x v="12"/>
    <x v="1"/>
    <x v="15"/>
    <n v="390"/>
    <n v="0.32"/>
    <n v="0.26"/>
    <n v="0.1875"/>
  </r>
  <r>
    <x v="240"/>
    <x v="12"/>
    <x v="1"/>
    <x v="10"/>
    <n v="32"/>
    <n v="2.4500000000000002"/>
    <n v="2.4"/>
    <n v="2.0408163265306256E-2"/>
  </r>
  <r>
    <x v="240"/>
    <x v="0"/>
    <x v="0"/>
    <x v="15"/>
    <n v="390"/>
    <n v="0.32"/>
    <n v="0.26"/>
    <n v="0.1875"/>
  </r>
  <r>
    <x v="240"/>
    <x v="12"/>
    <x v="1"/>
    <x v="18"/>
    <n v="8"/>
    <n v="0.22"/>
    <n v="0.2"/>
    <n v="9.0909090909090828E-2"/>
  </r>
  <r>
    <x v="240"/>
    <x v="12"/>
    <x v="1"/>
    <x v="14"/>
    <n v="16"/>
    <n v="1.6"/>
    <n v="1.5"/>
    <n v="6.25E-2"/>
  </r>
  <r>
    <x v="240"/>
    <x v="12"/>
    <x v="1"/>
    <x v="4"/>
    <n v="24"/>
    <n v="2.4"/>
    <n v="2.1"/>
    <n v="0.12499999999999989"/>
  </r>
  <r>
    <x v="241"/>
    <x v="12"/>
    <x v="1"/>
    <x v="2"/>
    <n v="12"/>
    <n v="0.52"/>
    <n v="0.442"/>
    <n v="0.15000000000000002"/>
  </r>
  <r>
    <x v="241"/>
    <x v="7"/>
    <x v="6"/>
    <x v="29"/>
    <n v="8"/>
    <n v="0.95"/>
    <m/>
    <n v="1"/>
  </r>
  <r>
    <x v="242"/>
    <x v="0"/>
    <x v="0"/>
    <x v="18"/>
    <n v="2"/>
    <n v="0.32"/>
    <n v="0.28000000000000003"/>
    <n v="0.12499999999999989"/>
  </r>
  <r>
    <x v="242"/>
    <x v="0"/>
    <x v="0"/>
    <x v="25"/>
    <n v="8"/>
    <n v="0.65"/>
    <n v="0.56399999999999995"/>
    <n v="0.13230769230769246"/>
  </r>
  <r>
    <x v="242"/>
    <x v="0"/>
    <x v="0"/>
    <x v="18"/>
    <n v="8"/>
    <n v="0.35"/>
    <n v="0.30599999999999999"/>
    <n v="0.12571428571428567"/>
  </r>
  <r>
    <x v="243"/>
    <x v="9"/>
    <x v="1"/>
    <x v="15"/>
    <n v="16"/>
    <n v="0.62"/>
    <n v="0.54300000000000004"/>
    <n v="0.12419354838709673"/>
  </r>
  <r>
    <x v="243"/>
    <x v="9"/>
    <x v="1"/>
    <x v="4"/>
    <n v="8"/>
    <n v="2.2999999999999998"/>
    <n v="1.95"/>
    <n v="0.15217391304347816"/>
  </r>
  <r>
    <x v="243"/>
    <x v="9"/>
    <x v="1"/>
    <x v="15"/>
    <n v="16"/>
    <n v="0.62"/>
    <n v="0.54300000000000004"/>
    <n v="0.12419354838709673"/>
  </r>
  <r>
    <x v="243"/>
    <x v="9"/>
    <x v="1"/>
    <x v="15"/>
    <n v="16"/>
    <n v="0.62"/>
    <n v="0.54300000000000004"/>
    <n v="0.12419354838709673"/>
  </r>
  <r>
    <x v="243"/>
    <x v="9"/>
    <x v="1"/>
    <x v="4"/>
    <n v="8"/>
    <n v="2.2999999999999998"/>
    <n v="1.95"/>
    <n v="0.15217391304347816"/>
  </r>
  <r>
    <x v="244"/>
    <x v="12"/>
    <x v="1"/>
    <x v="15"/>
    <n v="8"/>
    <n v="0.65"/>
    <n v="0.56899999999999995"/>
    <n v="0.12461538461538468"/>
  </r>
  <r>
    <x v="244"/>
    <x v="12"/>
    <x v="1"/>
    <x v="15"/>
    <n v="8"/>
    <n v="0.7"/>
    <n v="0.59"/>
    <n v="0.15714285714285714"/>
  </r>
  <r>
    <x v="244"/>
    <x v="12"/>
    <x v="1"/>
    <x v="15"/>
    <n v="8"/>
    <n v="0.65"/>
    <n v="0.56899999999999995"/>
    <n v="0.12461538461538468"/>
  </r>
  <r>
    <x v="244"/>
    <x v="7"/>
    <x v="6"/>
    <x v="4"/>
    <n v="1024"/>
    <n v="2.66"/>
    <n v="2.5099999999999998"/>
    <n v="5.6390977443609103E-2"/>
  </r>
  <r>
    <x v="245"/>
    <x v="9"/>
    <x v="1"/>
    <x v="10"/>
    <n v="8"/>
    <n v="3.15"/>
    <n v="2.72"/>
    <n v="0.13650793650793647"/>
  </r>
  <r>
    <x v="245"/>
    <x v="9"/>
    <x v="1"/>
    <x v="10"/>
    <n v="8"/>
    <n v="3.15"/>
    <n v="2.72"/>
    <n v="0.13650793650793647"/>
  </r>
  <r>
    <x v="245"/>
    <x v="9"/>
    <x v="1"/>
    <x v="10"/>
    <n v="8"/>
    <n v="3.15"/>
    <n v="2.72"/>
    <n v="0.13650793650793647"/>
  </r>
  <r>
    <x v="245"/>
    <x v="9"/>
    <x v="1"/>
    <x v="10"/>
    <n v="8"/>
    <n v="3.15"/>
    <n v="2.72"/>
    <n v="0.13650793650793647"/>
  </r>
  <r>
    <x v="245"/>
    <x v="9"/>
    <x v="1"/>
    <x v="10"/>
    <n v="8"/>
    <n v="3.15"/>
    <n v="2.72"/>
    <n v="0.13650793650793647"/>
  </r>
  <r>
    <x v="245"/>
    <x v="9"/>
    <x v="1"/>
    <x v="10"/>
    <n v="8"/>
    <n v="3.15"/>
    <n v="2.72"/>
    <n v="0.13650793650793647"/>
  </r>
  <r>
    <x v="245"/>
    <x v="9"/>
    <x v="1"/>
    <x v="10"/>
    <n v="8"/>
    <n v="3.15"/>
    <n v="2.72"/>
    <n v="0.13650793650793647"/>
  </r>
  <r>
    <x v="245"/>
    <x v="9"/>
    <x v="1"/>
    <x v="10"/>
    <n v="8"/>
    <n v="3.15"/>
    <n v="2.72"/>
    <n v="0.13650793650793647"/>
  </r>
  <r>
    <x v="246"/>
    <x v="7"/>
    <x v="6"/>
    <x v="20"/>
    <n v="80"/>
    <n v="0.93"/>
    <n v="0.87"/>
    <n v="6.4516129032258118E-2"/>
  </r>
  <r>
    <x v="247"/>
    <x v="12"/>
    <x v="1"/>
    <x v="4"/>
    <n v="48"/>
    <n v="3"/>
    <n v="2.9"/>
    <n v="3.3333333333333326E-2"/>
  </r>
  <r>
    <x v="247"/>
    <x v="12"/>
    <x v="1"/>
    <x v="15"/>
    <n v="12"/>
    <n v="0.55000000000000004"/>
    <n v="0.46800000000000003"/>
    <n v="0.14909090909090916"/>
  </r>
  <r>
    <x v="247"/>
    <x v="9"/>
    <x v="1"/>
    <x v="15"/>
    <n v="40"/>
    <n v="0.62"/>
    <n v="0.54300000000000004"/>
    <n v="0.12419354838709673"/>
  </r>
  <r>
    <x v="248"/>
    <x v="9"/>
    <x v="1"/>
    <x v="10"/>
    <n v="8"/>
    <n v="3.15"/>
    <n v="2.72"/>
    <n v="0.13650793650793647"/>
  </r>
  <r>
    <x v="249"/>
    <x v="0"/>
    <x v="0"/>
    <x v="15"/>
    <n v="8"/>
    <n v="0.5"/>
    <n v="0.44"/>
    <n v="0.12"/>
  </r>
  <r>
    <x v="249"/>
    <x v="0"/>
    <x v="0"/>
    <x v="15"/>
    <n v="8"/>
    <n v="0.5"/>
    <n v="0.44"/>
    <n v="0.12"/>
  </r>
  <r>
    <x v="249"/>
    <x v="12"/>
    <x v="1"/>
    <x v="15"/>
    <n v="8"/>
    <n v="0.7"/>
    <n v="0.59"/>
    <n v="0.15714285714285714"/>
  </r>
  <r>
    <x v="250"/>
    <x v="7"/>
    <x v="6"/>
    <x v="4"/>
    <n v="224"/>
    <n v="2.5"/>
    <n v="2.2999999999999998"/>
    <n v="8.0000000000000071E-2"/>
  </r>
  <r>
    <x v="250"/>
    <x v="7"/>
    <x v="6"/>
    <x v="4"/>
    <n v="224"/>
    <n v="2.5"/>
    <n v="2.33"/>
    <n v="6.7999999999999949E-2"/>
  </r>
  <r>
    <x v="250"/>
    <x v="12"/>
    <x v="1"/>
    <x v="15"/>
    <n v="8"/>
    <n v="0.65"/>
    <n v="0.56899999999999995"/>
    <n v="0.12461538461538468"/>
  </r>
  <r>
    <x v="250"/>
    <x v="12"/>
    <x v="1"/>
    <x v="15"/>
    <n v="8"/>
    <n v="0.65"/>
    <n v="0.56899999999999995"/>
    <n v="0.12461538461538468"/>
  </r>
  <r>
    <x v="250"/>
    <x v="27"/>
    <x v="12"/>
    <x v="4"/>
    <n v="128"/>
    <n v="2.5"/>
    <n v="2.36"/>
    <n v="5.600000000000005E-2"/>
  </r>
  <r>
    <x v="250"/>
    <x v="0"/>
    <x v="0"/>
    <x v="4"/>
    <n v="224"/>
    <n v="2.5"/>
    <n v="2.33"/>
    <n v="6.7999999999999949E-2"/>
  </r>
  <r>
    <x v="250"/>
    <x v="12"/>
    <x v="1"/>
    <x v="15"/>
    <n v="8"/>
    <n v="0.65"/>
    <n v="0.56899999999999995"/>
    <n v="0.12461538461538468"/>
  </r>
  <r>
    <x v="251"/>
    <x v="7"/>
    <x v="6"/>
    <x v="14"/>
    <n v="16"/>
    <n v="1.18"/>
    <n v="1.02"/>
    <n v="0.13559322033898302"/>
  </r>
  <r>
    <x v="251"/>
    <x v="7"/>
    <x v="6"/>
    <x v="14"/>
    <n v="16"/>
    <n v="1.18"/>
    <n v="1.02"/>
    <n v="0.13559322033898302"/>
  </r>
  <r>
    <x v="251"/>
    <x v="9"/>
    <x v="1"/>
    <x v="15"/>
    <n v="90"/>
    <n v="0.56000000000000005"/>
    <n v="0.47599999999999998"/>
    <n v="0.15000000000000013"/>
  </r>
  <r>
    <x v="251"/>
    <x v="9"/>
    <x v="1"/>
    <x v="30"/>
    <n v="8"/>
    <n v="1.1200000000000001"/>
    <n v="0.95199999999999996"/>
    <n v="0.15000000000000013"/>
  </r>
  <r>
    <x v="251"/>
    <x v="7"/>
    <x v="6"/>
    <x v="14"/>
    <n v="16"/>
    <n v="1.18"/>
    <n v="1.02"/>
    <n v="0.13559322033898302"/>
  </r>
  <r>
    <x v="251"/>
    <x v="9"/>
    <x v="1"/>
    <x v="30"/>
    <n v="8"/>
    <n v="1.1200000000000001"/>
    <n v="1"/>
    <n v="0.10714285714285721"/>
  </r>
  <r>
    <x v="251"/>
    <x v="9"/>
    <x v="1"/>
    <x v="15"/>
    <n v="96"/>
    <n v="0.56000000000000005"/>
    <n v="0.47599999999999998"/>
    <n v="0.15000000000000013"/>
  </r>
  <r>
    <x v="251"/>
    <x v="12"/>
    <x v="1"/>
    <x v="15"/>
    <n v="8"/>
    <n v="0.62"/>
    <n v="0.54300000000000004"/>
    <n v="0.12419354838709673"/>
  </r>
  <r>
    <x v="252"/>
    <x v="7"/>
    <x v="6"/>
    <x v="15"/>
    <n v="48"/>
    <n v="0.28000000000000003"/>
    <n v="0.26"/>
    <n v="7.1428571428571508E-2"/>
  </r>
  <r>
    <x v="252"/>
    <x v="6"/>
    <x v="5"/>
    <x v="10"/>
    <n v="8"/>
    <n v="2.5"/>
    <n v="2.4"/>
    <n v="4.0000000000000036E-2"/>
  </r>
  <r>
    <x v="252"/>
    <x v="7"/>
    <x v="6"/>
    <x v="15"/>
    <n v="48"/>
    <n v="0.28000000000000003"/>
    <n v="0.26"/>
    <n v="7.1428571428571508E-2"/>
  </r>
  <r>
    <x v="252"/>
    <x v="0"/>
    <x v="0"/>
    <x v="15"/>
    <n v="48"/>
    <n v="0.28000000000000003"/>
    <n v="0.26"/>
    <n v="7.1428571428571508E-2"/>
  </r>
  <r>
    <x v="253"/>
    <x v="0"/>
    <x v="0"/>
    <x v="4"/>
    <n v="32"/>
    <n v="2.15"/>
    <n v="1.9"/>
    <n v="0.11627906976744184"/>
  </r>
  <r>
    <x v="253"/>
    <x v="4"/>
    <x v="3"/>
    <x v="28"/>
    <n v="8"/>
    <n v="0.32"/>
    <n v="0.28999999999999998"/>
    <n v="9.3750000000000111E-2"/>
  </r>
  <r>
    <x v="253"/>
    <x v="0"/>
    <x v="0"/>
    <x v="4"/>
    <n v="32"/>
    <n v="2.15"/>
    <n v="1.9"/>
    <n v="0.11627906976744184"/>
  </r>
  <r>
    <x v="253"/>
    <x v="0"/>
    <x v="0"/>
    <x v="4"/>
    <n v="8"/>
    <n v="2.15"/>
    <n v="1.9"/>
    <n v="0.11627906976744184"/>
  </r>
  <r>
    <x v="253"/>
    <x v="12"/>
    <x v="1"/>
    <x v="10"/>
    <n v="8"/>
    <n v="3.2"/>
    <n v="2.72"/>
    <n v="0.15000000000000002"/>
  </r>
  <r>
    <x v="253"/>
    <x v="0"/>
    <x v="0"/>
    <x v="4"/>
    <n v="8"/>
    <n v="2.25"/>
    <n v="1.95"/>
    <n v="0.1333333333333333"/>
  </r>
  <r>
    <x v="253"/>
    <x v="0"/>
    <x v="0"/>
    <x v="4"/>
    <n v="8"/>
    <n v="2.25"/>
    <n v="1.95"/>
    <n v="0.1333333333333333"/>
  </r>
  <r>
    <x v="253"/>
    <x v="12"/>
    <x v="1"/>
    <x v="10"/>
    <n v="8"/>
    <n v="3.2"/>
    <n v="2.72"/>
    <n v="0.15000000000000002"/>
  </r>
  <r>
    <x v="253"/>
    <x v="4"/>
    <x v="3"/>
    <x v="28"/>
    <n v="8"/>
    <n v="0.32"/>
    <n v="0.28999999999999998"/>
    <n v="9.3750000000000111E-2"/>
  </r>
  <r>
    <x v="253"/>
    <x v="12"/>
    <x v="1"/>
    <x v="20"/>
    <n v="8"/>
    <n v="1.05"/>
    <n v="0.91900000000000004"/>
    <n v="0.12476190476190474"/>
  </r>
  <r>
    <x v="253"/>
    <x v="0"/>
    <x v="0"/>
    <x v="4"/>
    <n v="8"/>
    <n v="2.25"/>
    <n v="1.95"/>
    <n v="0.1333333333333333"/>
  </r>
  <r>
    <x v="254"/>
    <x v="0"/>
    <x v="0"/>
    <x v="23"/>
    <n v="60"/>
    <n v="80"/>
    <n v="50"/>
    <n v="0.375"/>
  </r>
  <r>
    <x v="254"/>
    <x v="0"/>
    <x v="0"/>
    <x v="4"/>
    <n v="4"/>
    <n v="1.92"/>
    <n v="1.87"/>
    <n v="2.604166666666663E-2"/>
  </r>
  <r>
    <x v="254"/>
    <x v="12"/>
    <x v="1"/>
    <x v="2"/>
    <n v="16"/>
    <n v="2.15"/>
    <n v="2.0499999999999998"/>
    <n v="4.6511627906976827E-2"/>
  </r>
  <r>
    <x v="254"/>
    <x v="12"/>
    <x v="1"/>
    <x v="10"/>
    <n v="32"/>
    <n v="3.2"/>
    <n v="2.72"/>
    <n v="0.15000000000000002"/>
  </r>
  <r>
    <x v="254"/>
    <x v="4"/>
    <x v="3"/>
    <x v="4"/>
    <n v="16"/>
    <n v="2.15"/>
    <n v="2.0499999999999998"/>
    <n v="4.6511627906976827E-2"/>
  </r>
  <r>
    <x v="254"/>
    <x v="0"/>
    <x v="0"/>
    <x v="4"/>
    <n v="4"/>
    <n v="1.92"/>
    <n v="1.87"/>
    <n v="2.604166666666663E-2"/>
  </r>
  <r>
    <x v="254"/>
    <x v="12"/>
    <x v="1"/>
    <x v="10"/>
    <n v="32"/>
    <n v="3.2"/>
    <n v="2.72"/>
    <n v="0.15000000000000002"/>
  </r>
  <r>
    <x v="254"/>
    <x v="12"/>
    <x v="1"/>
    <x v="18"/>
    <n v="8"/>
    <n v="0.22"/>
    <n v="0.2"/>
    <n v="9.0909090909090828E-2"/>
  </r>
  <r>
    <x v="254"/>
    <x v="0"/>
    <x v="0"/>
    <x v="23"/>
    <n v="60"/>
    <n v="80"/>
    <n v="50"/>
    <n v="0.375"/>
  </r>
  <r>
    <x v="255"/>
    <x v="12"/>
    <x v="1"/>
    <x v="18"/>
    <n v="8"/>
    <n v="0.3"/>
    <n v="0.26300000000000001"/>
    <n v="0.12333333333333329"/>
  </r>
  <r>
    <x v="255"/>
    <x v="0"/>
    <x v="0"/>
    <x v="4"/>
    <n v="4"/>
    <n v="2.2000000000000002"/>
    <n v="2.1"/>
    <n v="4.5454545454545525E-2"/>
  </r>
  <r>
    <x v="255"/>
    <x v="7"/>
    <x v="6"/>
    <x v="10"/>
    <n v="8"/>
    <n v="2.4"/>
    <n v="2.2999999999999998"/>
    <n v="4.1666666666666741E-2"/>
  </r>
  <r>
    <x v="255"/>
    <x v="7"/>
    <x v="6"/>
    <x v="14"/>
    <n v="64"/>
    <n v="1.85"/>
    <n v="1.62"/>
    <n v="0.12432432432432428"/>
  </r>
  <r>
    <x v="255"/>
    <x v="12"/>
    <x v="1"/>
    <x v="4"/>
    <n v="4"/>
    <n v="2.2000000000000002"/>
    <n v="2.1"/>
    <n v="4.5454545454545525E-2"/>
  </r>
  <r>
    <x v="255"/>
    <x v="12"/>
    <x v="1"/>
    <x v="18"/>
    <n v="8"/>
    <n v="0.3"/>
    <n v="0.26300000000000001"/>
    <n v="0.12333333333333329"/>
  </r>
  <r>
    <x v="256"/>
    <x v="0"/>
    <x v="0"/>
    <x v="28"/>
    <n v="8"/>
    <n v="0.35"/>
    <n v="0.32"/>
    <n v="8.5714285714285632E-2"/>
  </r>
  <r>
    <x v="256"/>
    <x v="0"/>
    <x v="0"/>
    <x v="28"/>
    <n v="8"/>
    <n v="0.35"/>
    <n v="0.32"/>
    <n v="8.5714285714285632E-2"/>
  </r>
  <r>
    <x v="257"/>
    <x v="12"/>
    <x v="1"/>
    <x v="10"/>
    <n v="8"/>
    <n v="3"/>
    <n v="2.7"/>
    <n v="9.9999999999999978E-2"/>
  </r>
  <r>
    <x v="257"/>
    <x v="9"/>
    <x v="1"/>
    <x v="10"/>
    <n v="8"/>
    <n v="3.5"/>
    <n v="3.2"/>
    <n v="8.5714285714285632E-2"/>
  </r>
  <r>
    <x v="257"/>
    <x v="12"/>
    <x v="1"/>
    <x v="10"/>
    <n v="8"/>
    <n v="3"/>
    <n v="2.7"/>
    <n v="9.9999999999999978E-2"/>
  </r>
  <r>
    <x v="258"/>
    <x v="7"/>
    <x v="6"/>
    <x v="4"/>
    <n v="4"/>
    <n v="1.92"/>
    <n v="1.87"/>
    <n v="2.604166666666663E-2"/>
  </r>
  <r>
    <x v="258"/>
    <x v="9"/>
    <x v="1"/>
    <x v="15"/>
    <n v="48"/>
    <n v="0.62"/>
    <n v="0.54300000000000004"/>
    <n v="0.12419354838709673"/>
  </r>
  <r>
    <x v="258"/>
    <x v="9"/>
    <x v="1"/>
    <x v="15"/>
    <n v="96"/>
    <n v="0.56000000000000005"/>
    <n v="0.47599999999999998"/>
    <n v="0.15000000000000013"/>
  </r>
  <r>
    <x v="258"/>
    <x v="9"/>
    <x v="1"/>
    <x v="15"/>
    <n v="40"/>
    <n v="0.65"/>
    <n v="0.56999999999999995"/>
    <n v="0.12307692307692319"/>
  </r>
  <r>
    <x v="258"/>
    <x v="7"/>
    <x v="6"/>
    <x v="4"/>
    <n v="4"/>
    <n v="1.92"/>
    <n v="1.87"/>
    <n v="2.604166666666663E-2"/>
  </r>
  <r>
    <x v="258"/>
    <x v="9"/>
    <x v="1"/>
    <x v="15"/>
    <n v="48"/>
    <n v="0.62"/>
    <n v="0.54300000000000004"/>
    <n v="0.12419354838709673"/>
  </r>
  <r>
    <x v="258"/>
    <x v="9"/>
    <x v="1"/>
    <x v="15"/>
    <n v="96"/>
    <n v="0.56000000000000005"/>
    <n v="0.47599999999999998"/>
    <n v="0.15000000000000013"/>
  </r>
  <r>
    <x v="258"/>
    <x v="9"/>
    <x v="1"/>
    <x v="15"/>
    <n v="40"/>
    <n v="0.65"/>
    <n v="0.56999999999999995"/>
    <n v="0.12307692307692319"/>
  </r>
  <r>
    <x v="259"/>
    <x v="0"/>
    <x v="0"/>
    <x v="4"/>
    <n v="1008"/>
    <n v="2.61"/>
    <n v="2.5030000000000001"/>
    <n v="4.0996168582375425E-2"/>
  </r>
  <r>
    <x v="259"/>
    <x v="7"/>
    <x v="6"/>
    <x v="4"/>
    <n v="16"/>
    <n v="2.66"/>
    <n v="2.5099999999999998"/>
    <n v="5.6390977443609103E-2"/>
  </r>
  <r>
    <x v="259"/>
    <x v="7"/>
    <x v="6"/>
    <x v="4"/>
    <n v="16"/>
    <n v="2.66"/>
    <n v="2.5099999999999998"/>
    <n v="5.6390977443609103E-2"/>
  </r>
  <r>
    <x v="259"/>
    <x v="11"/>
    <x v="8"/>
    <x v="4"/>
    <n v="1008"/>
    <n v="2.61"/>
    <n v="2.5030000000000001"/>
    <n v="4.0996168582375425E-2"/>
  </r>
  <r>
    <x v="259"/>
    <x v="12"/>
    <x v="1"/>
    <x v="14"/>
    <n v="48"/>
    <n v="1.6"/>
    <n v="1.5"/>
    <n v="6.25E-2"/>
  </r>
  <r>
    <x v="259"/>
    <x v="12"/>
    <x v="1"/>
    <x v="4"/>
    <n v="8"/>
    <n v="2.5"/>
    <n v="2.2000000000000002"/>
    <n v="0.11999999999999988"/>
  </r>
  <r>
    <x v="259"/>
    <x v="12"/>
    <x v="1"/>
    <x v="4"/>
    <n v="24"/>
    <n v="2.4"/>
    <n v="2.1"/>
    <n v="0.12499999999999989"/>
  </r>
  <r>
    <x v="260"/>
    <x v="6"/>
    <x v="5"/>
    <x v="31"/>
    <n v="8"/>
    <n v="1.39"/>
    <n v="1.19"/>
    <n v="0.14388489208633093"/>
  </r>
  <r>
    <x v="261"/>
    <x v="6"/>
    <x v="5"/>
    <x v="10"/>
    <n v="16"/>
    <n v="2.6"/>
    <n v="2.4"/>
    <n v="7.6923076923076983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C4A69-C3E5-46ED-A45F-D212206EB89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114" firstHeaderRow="0" firstDataRow="1" firstDataCol="1"/>
  <pivotFields count="11">
    <pivotField numFmtId="165" showAll="0">
      <items count="263"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33">
        <item x="10"/>
        <item x="8"/>
        <item x="26"/>
        <item x="7"/>
        <item x="14"/>
        <item x="2"/>
        <item x="21"/>
        <item x="30"/>
        <item x="11"/>
        <item x="17"/>
        <item x="22"/>
        <item x="6"/>
        <item x="5"/>
        <item x="16"/>
        <item x="4"/>
        <item x="29"/>
        <item x="23"/>
        <item x="27"/>
        <item x="15"/>
        <item x="13"/>
        <item x="25"/>
        <item x="18"/>
        <item x="31"/>
        <item x="12"/>
        <item x="20"/>
        <item x="1"/>
        <item x="19"/>
        <item x="24"/>
        <item x="28"/>
        <item x="3"/>
        <item x="9"/>
        <item x="0"/>
        <item t="default"/>
      </items>
    </pivotField>
    <pivotField axis="axisRow" dataField="1" showAll="0" countASubtotal="1">
      <items count="14">
        <item x="2"/>
        <item x="6"/>
        <item x="9"/>
        <item x="10"/>
        <item x="8"/>
        <item x="5"/>
        <item x="4"/>
        <item x="3"/>
        <item x="11"/>
        <item x="12"/>
        <item x="7"/>
        <item x="0"/>
        <item x="1"/>
        <item t="countA"/>
      </items>
    </pivotField>
    <pivotField axis="axisRow" showAll="0">
      <items count="33">
        <item x="18"/>
        <item x="15"/>
        <item x="5"/>
        <item x="14"/>
        <item x="29"/>
        <item x="26"/>
        <item x="31"/>
        <item x="27"/>
        <item x="21"/>
        <item x="30"/>
        <item x="25"/>
        <item x="8"/>
        <item x="13"/>
        <item x="17"/>
        <item x="4"/>
        <item x="10"/>
        <item x="20"/>
        <item x="24"/>
        <item x="3"/>
        <item x="6"/>
        <item x="11"/>
        <item x="1"/>
        <item x="9"/>
        <item x="0"/>
        <item x="22"/>
        <item x="16"/>
        <item x="7"/>
        <item x="19"/>
        <item x="12"/>
        <item x="23"/>
        <item x="28"/>
        <item x="2"/>
        <item t="default"/>
      </items>
    </pivotField>
    <pivotField dataField="1" showAll="0"/>
    <pivotField numFmtId="164" showAll="0"/>
    <pivotField dataField="1" showAll="0"/>
    <pivotField numFmtId="166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2"/>
    <field x="3"/>
  </rowFields>
  <rowItems count="111">
    <i>
      <x/>
    </i>
    <i r="1">
      <x/>
    </i>
    <i r="1">
      <x v="1"/>
    </i>
    <i r="1">
      <x v="2"/>
    </i>
    <i r="1">
      <x v="3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28"/>
    </i>
    <i r="1">
      <x v="29"/>
    </i>
    <i r="1">
      <x v="31"/>
    </i>
    <i>
      <x v="1"/>
    </i>
    <i r="1">
      <x v="1"/>
    </i>
    <i r="1">
      <x v="2"/>
    </i>
    <i r="1">
      <x v="3"/>
    </i>
    <i r="1">
      <x v="4"/>
    </i>
    <i r="1">
      <x v="5"/>
    </i>
    <i r="1">
      <x v="8"/>
    </i>
    <i r="1">
      <x v="11"/>
    </i>
    <i r="1">
      <x v="14"/>
    </i>
    <i r="1">
      <x v="15"/>
    </i>
    <i r="1">
      <x v="16"/>
    </i>
    <i>
      <x v="2"/>
    </i>
    <i r="1">
      <x v="15"/>
    </i>
    <i>
      <x v="3"/>
    </i>
    <i r="1">
      <x v="15"/>
    </i>
    <i>
      <x v="4"/>
    </i>
    <i r="1">
      <x v="11"/>
    </i>
    <i r="1">
      <x v="14"/>
    </i>
    <i>
      <x v="5"/>
    </i>
    <i r="1">
      <x v="1"/>
    </i>
    <i r="1">
      <x v="2"/>
    </i>
    <i r="1">
      <x v="3"/>
    </i>
    <i r="1">
      <x v="6"/>
    </i>
    <i r="1">
      <x v="11"/>
    </i>
    <i r="1">
      <x v="12"/>
    </i>
    <i r="1">
      <x v="15"/>
    </i>
    <i r="1">
      <x v="16"/>
    </i>
    <i r="1">
      <x v="31"/>
    </i>
    <i>
      <x v="6"/>
    </i>
    <i r="1">
      <x v="2"/>
    </i>
    <i r="1">
      <x v="31"/>
    </i>
    <i>
      <x v="7"/>
    </i>
    <i r="1">
      <x v="2"/>
    </i>
    <i r="1">
      <x v="3"/>
    </i>
    <i r="1">
      <x v="8"/>
    </i>
    <i r="1">
      <x v="14"/>
    </i>
    <i r="1">
      <x v="15"/>
    </i>
    <i r="1">
      <x v="29"/>
    </i>
    <i r="1">
      <x v="30"/>
    </i>
    <i r="1">
      <x v="31"/>
    </i>
    <i>
      <x v="8"/>
    </i>
    <i r="1">
      <x v="14"/>
    </i>
    <i>
      <x v="9"/>
    </i>
    <i r="1">
      <x v="14"/>
    </i>
    <i>
      <x v="10"/>
    </i>
    <i r="1">
      <x v="1"/>
    </i>
    <i r="1">
      <x v="2"/>
    </i>
    <i r="1">
      <x v="11"/>
    </i>
    <i r="1">
      <x v="15"/>
    </i>
    <i r="1">
      <x v="18"/>
    </i>
    <i r="1">
      <x v="31"/>
    </i>
    <i>
      <x v="11"/>
    </i>
    <i r="1">
      <x/>
    </i>
    <i r="1">
      <x v="1"/>
    </i>
    <i r="1">
      <x v="3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9"/>
    </i>
    <i r="1">
      <x v="30"/>
    </i>
    <i r="1">
      <x v="31"/>
    </i>
    <i>
      <x v="12"/>
    </i>
    <i r="1">
      <x/>
    </i>
    <i r="1">
      <x v="1"/>
    </i>
    <i r="1">
      <x v="2"/>
    </i>
    <i r="1">
      <x v="3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3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erm_Fixed" fld="2" subtotal="count" baseField="0" baseItem="0"/>
    <dataField name="Average of  Supplier GPU/ Hr " fld="6" subtotal="average" baseField="3" baseItem="30"/>
    <dataField name="Average of GPUs/Quant" fld="4" subtotal="average" baseField="3" baseItem="11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C1DCB9-D342-4FDF-81EF-CB928E1B9E72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9"/>
  <sheetViews>
    <sheetView showGridLines="0" tabSelected="1" workbookViewId="0">
      <selection activeCell="F16" sqref="F16"/>
    </sheetView>
  </sheetViews>
  <sheetFormatPr defaultRowHeight="15" zeroHeight="1" outlineLevelCol="1" x14ac:dyDescent="0.25"/>
  <cols>
    <col min="1" max="1" width="20" style="3" customWidth="1"/>
    <col min="2" max="2" width="15.7109375" hidden="1" customWidth="1" outlineLevel="1"/>
    <col min="3" max="3" width="15.7109375" customWidth="1" collapsed="1"/>
    <col min="4" max="4" width="25.7109375" style="5" customWidth="1"/>
    <col min="5" max="7" width="15.7109375" customWidth="1"/>
  </cols>
  <sheetData>
    <row r="1" spans="1:10" s="6" customFormat="1" x14ac:dyDescent="0.25">
      <c r="A1" s="8" t="s">
        <v>0</v>
      </c>
      <c r="B1" s="7" t="s">
        <v>1</v>
      </c>
      <c r="C1" s="7" t="s">
        <v>69</v>
      </c>
      <c r="D1" s="9" t="s">
        <v>2</v>
      </c>
      <c r="E1" s="7" t="s">
        <v>3</v>
      </c>
      <c r="F1" s="7" t="s">
        <v>4</v>
      </c>
      <c r="G1" s="7" t="s">
        <v>5</v>
      </c>
      <c r="H1" s="6" t="s">
        <v>84</v>
      </c>
    </row>
    <row r="2" spans="1:10" x14ac:dyDescent="0.25">
      <c r="A2" s="4">
        <v>45793</v>
      </c>
      <c r="B2" t="s">
        <v>17</v>
      </c>
      <c r="C2" t="str">
        <f>_xlfn.IFNA(VLOOKUP($B2,ref!$B$2:$C$34,2,FALSE),"NA")</f>
        <v>6 Month</v>
      </c>
      <c r="D2" s="5" t="s">
        <v>10</v>
      </c>
      <c r="E2">
        <v>1024</v>
      </c>
      <c r="F2" s="1">
        <v>2.66</v>
      </c>
      <c r="G2" s="1">
        <v>2.5099999999999998</v>
      </c>
      <c r="H2" s="10">
        <f>1-(G2/F2)</f>
        <v>5.6390977443609103E-2</v>
      </c>
      <c r="J2">
        <f>AVERAGE(E2:E143)</f>
        <v>294.63380281690144</v>
      </c>
    </row>
    <row r="3" spans="1:10" x14ac:dyDescent="0.25">
      <c r="A3" s="4">
        <v>45793</v>
      </c>
      <c r="B3" t="s">
        <v>17</v>
      </c>
      <c r="C3" t="str">
        <f>_xlfn.IFNA(VLOOKUP($B3,ref!$B$2:$C$34,2,FALSE),"NA")</f>
        <v>6 Month</v>
      </c>
      <c r="D3" s="5" t="s">
        <v>10</v>
      </c>
      <c r="E3">
        <v>1024</v>
      </c>
      <c r="F3" s="1">
        <v>2.66</v>
      </c>
      <c r="G3" s="1">
        <v>2.5099999999999998</v>
      </c>
      <c r="H3" s="10">
        <f t="shared" ref="H3:H66" si="0">1-(G3/F3)</f>
        <v>5.6390977443609103E-2</v>
      </c>
    </row>
    <row r="4" spans="1:10" x14ac:dyDescent="0.25">
      <c r="A4" s="4">
        <v>45793</v>
      </c>
      <c r="B4" t="s">
        <v>17</v>
      </c>
      <c r="C4" t="str">
        <f>_xlfn.IFNA(VLOOKUP($B4,ref!$B$2:$C$34,2,FALSE),"NA")</f>
        <v>6 Month</v>
      </c>
      <c r="D4" s="5" t="s">
        <v>10</v>
      </c>
      <c r="E4">
        <v>1024</v>
      </c>
      <c r="F4" s="1">
        <v>2.66</v>
      </c>
      <c r="G4" s="1">
        <v>2.5099999999999998</v>
      </c>
      <c r="H4" s="10">
        <f t="shared" si="0"/>
        <v>5.6390977443609103E-2</v>
      </c>
    </row>
    <row r="5" spans="1:10" x14ac:dyDescent="0.25">
      <c r="A5" s="4">
        <v>45793</v>
      </c>
      <c r="B5" t="s">
        <v>17</v>
      </c>
      <c r="C5" t="str">
        <f>_xlfn.IFNA(VLOOKUP($B5,ref!$B$2:$C$34,2,FALSE),"NA")</f>
        <v>6 Month</v>
      </c>
      <c r="D5" s="5" t="s">
        <v>10</v>
      </c>
      <c r="E5">
        <v>1024</v>
      </c>
      <c r="F5" s="1">
        <v>2.66</v>
      </c>
      <c r="G5" s="1">
        <v>2.5099999999999998</v>
      </c>
      <c r="H5" s="10">
        <f t="shared" si="0"/>
        <v>5.6390977443609103E-2</v>
      </c>
    </row>
    <row r="6" spans="1:10" x14ac:dyDescent="0.25">
      <c r="A6" s="4">
        <v>45793</v>
      </c>
      <c r="B6" t="s">
        <v>17</v>
      </c>
      <c r="C6" t="str">
        <f>_xlfn.IFNA(VLOOKUP($B6,ref!$B$2:$C$34,2,FALSE),"NA")</f>
        <v>6 Month</v>
      </c>
      <c r="D6" s="5" t="s">
        <v>10</v>
      </c>
      <c r="E6">
        <v>1024</v>
      </c>
      <c r="F6" s="1">
        <v>2.66</v>
      </c>
      <c r="G6" s="1">
        <v>2.5099999999999998</v>
      </c>
      <c r="H6" s="10">
        <f t="shared" si="0"/>
        <v>5.6390977443609103E-2</v>
      </c>
    </row>
    <row r="7" spans="1:10" x14ac:dyDescent="0.25">
      <c r="A7" s="4">
        <v>45793</v>
      </c>
      <c r="B7" t="s">
        <v>33</v>
      </c>
      <c r="C7" t="str">
        <f>_xlfn.IFNA(VLOOKUP($B7,ref!$B$2:$C$34,2,FALSE),"NA")</f>
        <v>12 Month</v>
      </c>
      <c r="D7" s="5" t="s">
        <v>10</v>
      </c>
      <c r="E7">
        <v>1024</v>
      </c>
      <c r="F7" s="1">
        <v>2.66</v>
      </c>
      <c r="G7" s="1">
        <v>2.5099999999999998</v>
      </c>
      <c r="H7" s="10">
        <f t="shared" si="0"/>
        <v>5.6390977443609103E-2</v>
      </c>
    </row>
    <row r="8" spans="1:10" x14ac:dyDescent="0.25">
      <c r="A8" s="4">
        <v>45764</v>
      </c>
      <c r="C8" t="str">
        <f>_xlfn.IFNA(VLOOKUP($B8,ref!$B$2:$C$34,2,FALSE),"NA")</f>
        <v>NA</v>
      </c>
      <c r="D8" s="5" t="s">
        <v>10</v>
      </c>
      <c r="E8">
        <v>1024</v>
      </c>
      <c r="F8" s="1">
        <v>0.15</v>
      </c>
      <c r="H8" s="10">
        <f t="shared" si="0"/>
        <v>1</v>
      </c>
    </row>
    <row r="9" spans="1:10" x14ac:dyDescent="0.25">
      <c r="A9" s="4">
        <v>45733</v>
      </c>
      <c r="B9" t="s">
        <v>9</v>
      </c>
      <c r="C9" t="str">
        <f>_xlfn.IFNA(VLOOKUP($B9,ref!$B$2:$C$34,2,FALSE),"NA")</f>
        <v>12 Month</v>
      </c>
      <c r="D9" s="5" t="s">
        <v>10</v>
      </c>
      <c r="E9">
        <v>1024</v>
      </c>
      <c r="F9" s="1">
        <v>2.66</v>
      </c>
      <c r="G9" s="1">
        <v>2.5099999999999998</v>
      </c>
      <c r="H9" s="10">
        <f t="shared" si="0"/>
        <v>5.6390977443609103E-2</v>
      </c>
    </row>
    <row r="10" spans="1:10" x14ac:dyDescent="0.25">
      <c r="A10" s="4">
        <v>45705</v>
      </c>
      <c r="B10" t="s">
        <v>9</v>
      </c>
      <c r="C10" t="str">
        <f>_xlfn.IFNA(VLOOKUP($B10,ref!$B$2:$C$34,2,FALSE),"NA")</f>
        <v>12 Month</v>
      </c>
      <c r="D10" s="5" t="s">
        <v>10</v>
      </c>
      <c r="E10">
        <v>1024</v>
      </c>
      <c r="F10" s="1">
        <v>2.66</v>
      </c>
      <c r="G10" s="1">
        <v>2.5099999999999998</v>
      </c>
      <c r="H10" s="10">
        <f t="shared" si="0"/>
        <v>5.6390977443609103E-2</v>
      </c>
    </row>
    <row r="11" spans="1:10" x14ac:dyDescent="0.25">
      <c r="A11" s="4">
        <v>45684</v>
      </c>
      <c r="B11" t="s">
        <v>9</v>
      </c>
      <c r="C11" t="str">
        <f>_xlfn.IFNA(VLOOKUP($B11,ref!$B$2:$C$34,2,FALSE),"NA")</f>
        <v>12 Month</v>
      </c>
      <c r="D11" s="5" t="s">
        <v>10</v>
      </c>
      <c r="E11">
        <v>1024</v>
      </c>
      <c r="F11" s="1">
        <v>2.66</v>
      </c>
      <c r="G11" s="1">
        <v>2.5099999999999998</v>
      </c>
      <c r="H11" s="10">
        <f t="shared" si="0"/>
        <v>5.6390977443609103E-2</v>
      </c>
    </row>
    <row r="12" spans="1:10" x14ac:dyDescent="0.25">
      <c r="A12" s="4">
        <v>45839</v>
      </c>
      <c r="B12" t="s">
        <v>11</v>
      </c>
      <c r="C12" t="str">
        <f>_xlfn.IFNA(VLOOKUP($B12,ref!$B$2:$C$34,2,FALSE),"NA")</f>
        <v>24 Month</v>
      </c>
      <c r="D12" s="5" t="s">
        <v>10</v>
      </c>
      <c r="E12">
        <v>1008</v>
      </c>
      <c r="F12" s="1">
        <v>2.12</v>
      </c>
      <c r="G12" s="1">
        <v>2.12</v>
      </c>
      <c r="H12" s="10">
        <f t="shared" si="0"/>
        <v>0</v>
      </c>
    </row>
    <row r="13" spans="1:10" x14ac:dyDescent="0.25">
      <c r="A13" s="4">
        <v>45839</v>
      </c>
      <c r="B13" t="s">
        <v>11</v>
      </c>
      <c r="C13" t="str">
        <f>_xlfn.IFNA(VLOOKUP($B13,ref!$B$2:$C$34,2,FALSE),"NA")</f>
        <v>24 Month</v>
      </c>
      <c r="D13" s="5" t="s">
        <v>10</v>
      </c>
      <c r="E13">
        <v>1008</v>
      </c>
      <c r="F13" s="1">
        <v>2.61</v>
      </c>
      <c r="G13" s="1">
        <v>2.5299999999999998</v>
      </c>
      <c r="H13" s="10">
        <f t="shared" si="0"/>
        <v>3.0651340996168619E-2</v>
      </c>
    </row>
    <row r="14" spans="1:10" x14ac:dyDescent="0.25">
      <c r="A14" s="4">
        <v>45839</v>
      </c>
      <c r="B14" t="s">
        <v>11</v>
      </c>
      <c r="C14" t="str">
        <f>_xlfn.IFNA(VLOOKUP($B14,ref!$B$2:$C$34,2,FALSE),"NA")</f>
        <v>24 Month</v>
      </c>
      <c r="D14" s="5" t="s">
        <v>10</v>
      </c>
      <c r="E14">
        <v>1008</v>
      </c>
      <c r="F14" s="1">
        <v>2.12</v>
      </c>
      <c r="G14" s="1">
        <v>2.12</v>
      </c>
      <c r="H14" s="10">
        <f t="shared" si="0"/>
        <v>0</v>
      </c>
    </row>
    <row r="15" spans="1:10" x14ac:dyDescent="0.25">
      <c r="A15" s="4">
        <v>45839</v>
      </c>
      <c r="B15" t="s">
        <v>11</v>
      </c>
      <c r="C15" t="str">
        <f>_xlfn.IFNA(VLOOKUP($B15,ref!$B$2:$C$34,2,FALSE),"NA")</f>
        <v>24 Month</v>
      </c>
      <c r="D15" s="5" t="s">
        <v>10</v>
      </c>
      <c r="E15">
        <v>1008</v>
      </c>
      <c r="F15" s="1">
        <v>2.61</v>
      </c>
      <c r="G15" s="1">
        <v>2.5299999999999998</v>
      </c>
      <c r="H15" s="10">
        <f t="shared" si="0"/>
        <v>3.0651340996168619E-2</v>
      </c>
    </row>
    <row r="16" spans="1:10" x14ac:dyDescent="0.25">
      <c r="A16" s="4">
        <v>45839</v>
      </c>
      <c r="B16" t="s">
        <v>11</v>
      </c>
      <c r="C16" t="str">
        <f>_xlfn.IFNA(VLOOKUP($B16,ref!$B$2:$C$34,2,FALSE),"NA")</f>
        <v>24 Month</v>
      </c>
      <c r="D16" s="5" t="s">
        <v>10</v>
      </c>
      <c r="E16">
        <v>1008</v>
      </c>
      <c r="F16" s="1">
        <v>2.61</v>
      </c>
      <c r="G16" s="1">
        <v>2.5299999999999998</v>
      </c>
      <c r="H16" s="10">
        <f t="shared" si="0"/>
        <v>3.0651340996168619E-2</v>
      </c>
    </row>
    <row r="17" spans="1:8" x14ac:dyDescent="0.25">
      <c r="A17" s="4">
        <v>45839</v>
      </c>
      <c r="B17" t="s">
        <v>11</v>
      </c>
      <c r="C17" t="str">
        <f>_xlfn.IFNA(VLOOKUP($B17,ref!$B$2:$C$34,2,FALSE),"NA")</f>
        <v>24 Month</v>
      </c>
      <c r="D17" s="5" t="s">
        <v>10</v>
      </c>
      <c r="E17">
        <v>1008</v>
      </c>
      <c r="F17" s="1">
        <v>2.61</v>
      </c>
      <c r="G17" s="1">
        <v>2.5299999999999998</v>
      </c>
      <c r="H17" s="10">
        <f t="shared" si="0"/>
        <v>3.0651340996168619E-2</v>
      </c>
    </row>
    <row r="18" spans="1:8" x14ac:dyDescent="0.25">
      <c r="A18" s="4">
        <v>45839</v>
      </c>
      <c r="B18" t="s">
        <v>11</v>
      </c>
      <c r="C18" t="str">
        <f>_xlfn.IFNA(VLOOKUP($B18,ref!$B$2:$C$34,2,FALSE),"NA")</f>
        <v>24 Month</v>
      </c>
      <c r="D18" s="5" t="s">
        <v>10</v>
      </c>
      <c r="E18">
        <v>1008</v>
      </c>
      <c r="F18" s="1">
        <v>2.61</v>
      </c>
      <c r="G18" s="1">
        <v>2.5299999999999998</v>
      </c>
      <c r="H18" s="10">
        <f t="shared" si="0"/>
        <v>3.0651340996168619E-2</v>
      </c>
    </row>
    <row r="19" spans="1:8" x14ac:dyDescent="0.25">
      <c r="A19" s="4">
        <v>45839</v>
      </c>
      <c r="B19" t="s">
        <v>11</v>
      </c>
      <c r="C19" t="str">
        <f>_xlfn.IFNA(VLOOKUP($B19,ref!$B$2:$C$34,2,FALSE),"NA")</f>
        <v>24 Month</v>
      </c>
      <c r="D19" s="5" t="s">
        <v>10</v>
      </c>
      <c r="E19">
        <v>1008</v>
      </c>
      <c r="F19" s="1">
        <v>2.61</v>
      </c>
      <c r="G19" s="1">
        <v>2.5299999999999998</v>
      </c>
      <c r="H19" s="10">
        <f t="shared" si="0"/>
        <v>3.0651340996168619E-2</v>
      </c>
    </row>
    <row r="20" spans="1:8" x14ac:dyDescent="0.25">
      <c r="A20" s="4">
        <v>45778</v>
      </c>
      <c r="C20" t="str">
        <f>_xlfn.IFNA(VLOOKUP($B20,ref!$B$2:$C$34,2,FALSE),"NA")</f>
        <v>NA</v>
      </c>
      <c r="D20" s="5" t="s">
        <v>10</v>
      </c>
      <c r="E20">
        <v>1008</v>
      </c>
      <c r="F20" s="1">
        <v>2.61</v>
      </c>
      <c r="G20" s="1">
        <v>2.5030000000000001</v>
      </c>
      <c r="H20" s="10">
        <f t="shared" si="0"/>
        <v>4.0996168582375425E-2</v>
      </c>
    </row>
    <row r="21" spans="1:8" x14ac:dyDescent="0.25">
      <c r="A21" s="4">
        <v>45658</v>
      </c>
      <c r="C21" t="str">
        <f>_xlfn.IFNA(VLOOKUP($B21,ref!$B$2:$C$34,2,FALSE),"NA")</f>
        <v>NA</v>
      </c>
      <c r="D21" s="5" t="s">
        <v>10</v>
      </c>
      <c r="E21">
        <v>1008</v>
      </c>
      <c r="F21" s="1">
        <v>2.61</v>
      </c>
      <c r="G21" s="1">
        <v>2.5030000000000001</v>
      </c>
      <c r="H21" s="10">
        <f t="shared" si="0"/>
        <v>4.0996168582375425E-2</v>
      </c>
    </row>
    <row r="22" spans="1:8" x14ac:dyDescent="0.25">
      <c r="A22" s="4">
        <v>45658</v>
      </c>
      <c r="B22" t="s">
        <v>11</v>
      </c>
      <c r="C22" t="str">
        <f>_xlfn.IFNA(VLOOKUP($B22,ref!$B$2:$C$34,2,FALSE),"NA")</f>
        <v>24 Month</v>
      </c>
      <c r="D22" s="5" t="s">
        <v>10</v>
      </c>
      <c r="E22">
        <v>1008</v>
      </c>
      <c r="F22" s="1">
        <v>2.61</v>
      </c>
      <c r="G22" s="1">
        <v>2.5030000000000001</v>
      </c>
      <c r="H22" s="10">
        <f t="shared" si="0"/>
        <v>4.0996168582375425E-2</v>
      </c>
    </row>
    <row r="23" spans="1:8" x14ac:dyDescent="0.25">
      <c r="A23" s="4">
        <v>45991</v>
      </c>
      <c r="C23" t="str">
        <f>_xlfn.IFNA(VLOOKUP($B23,ref!$B$2:$C$34,2,FALSE),"NA")</f>
        <v>NA</v>
      </c>
      <c r="D23" s="5" t="s">
        <v>10</v>
      </c>
      <c r="E23">
        <v>512</v>
      </c>
      <c r="F23" s="1">
        <v>1.3</v>
      </c>
      <c r="G23" s="1">
        <v>1.25</v>
      </c>
      <c r="H23" s="10">
        <f t="shared" si="0"/>
        <v>3.8461538461538547E-2</v>
      </c>
    </row>
    <row r="24" spans="1:8" x14ac:dyDescent="0.25">
      <c r="A24" s="4">
        <v>45808</v>
      </c>
      <c r="B24" t="s">
        <v>31</v>
      </c>
      <c r="C24" t="str">
        <f>_xlfn.IFNA(VLOOKUP($B24,ref!$B$2:$C$34,2,FALSE),"NA")</f>
        <v>1 Month</v>
      </c>
      <c r="D24" s="5" t="s">
        <v>10</v>
      </c>
      <c r="E24">
        <v>512</v>
      </c>
      <c r="F24" s="1">
        <v>1.3</v>
      </c>
      <c r="G24" s="1">
        <v>1.25</v>
      </c>
      <c r="H24" s="10">
        <f t="shared" si="0"/>
        <v>3.8461538461538547E-2</v>
      </c>
    </row>
    <row r="25" spans="1:8" x14ac:dyDescent="0.25">
      <c r="A25" s="4">
        <v>45778</v>
      </c>
      <c r="B25" t="s">
        <v>9</v>
      </c>
      <c r="C25" t="str">
        <f>_xlfn.IFNA(VLOOKUP($B25,ref!$B$2:$C$34,2,FALSE),"NA")</f>
        <v>12 Month</v>
      </c>
      <c r="D25" s="5">
        <v>4090</v>
      </c>
      <c r="E25">
        <v>390</v>
      </c>
      <c r="F25" s="1">
        <v>0.32</v>
      </c>
      <c r="G25" s="1">
        <v>0.26</v>
      </c>
      <c r="H25" s="10">
        <f t="shared" si="0"/>
        <v>0.1875</v>
      </c>
    </row>
    <row r="26" spans="1:8" x14ac:dyDescent="0.25">
      <c r="A26" s="4">
        <v>45778</v>
      </c>
      <c r="B26" t="s">
        <v>9</v>
      </c>
      <c r="C26" t="str">
        <f>_xlfn.IFNA(VLOOKUP($B26,ref!$B$2:$C$34,2,FALSE),"NA")</f>
        <v>12 Month</v>
      </c>
      <c r="D26" s="5">
        <v>4090</v>
      </c>
      <c r="E26">
        <v>390</v>
      </c>
      <c r="F26" s="1">
        <v>0.32</v>
      </c>
      <c r="G26" s="1">
        <v>0.26</v>
      </c>
      <c r="H26" s="10">
        <f t="shared" si="0"/>
        <v>0.1875</v>
      </c>
    </row>
    <row r="27" spans="1:8" x14ac:dyDescent="0.25">
      <c r="A27" s="4">
        <v>45778</v>
      </c>
      <c r="B27" t="s">
        <v>9</v>
      </c>
      <c r="C27" t="str">
        <f>_xlfn.IFNA(VLOOKUP($B27,ref!$B$2:$C$34,2,FALSE),"NA")</f>
        <v>12 Month</v>
      </c>
      <c r="D27" s="5">
        <v>4090</v>
      </c>
      <c r="E27">
        <v>390</v>
      </c>
      <c r="F27" s="1">
        <v>0.32</v>
      </c>
      <c r="G27" s="1">
        <v>0.26</v>
      </c>
      <c r="H27" s="10">
        <f t="shared" si="0"/>
        <v>0.1875</v>
      </c>
    </row>
    <row r="28" spans="1:8" x14ac:dyDescent="0.25">
      <c r="A28" s="4">
        <v>45689</v>
      </c>
      <c r="B28" t="s">
        <v>12</v>
      </c>
      <c r="C28" t="str">
        <f>_xlfn.IFNA(VLOOKUP($B28,ref!$B$2:$C$34,2,FALSE),"NA")</f>
        <v>Spot</v>
      </c>
      <c r="D28" s="5">
        <v>4090</v>
      </c>
      <c r="E28">
        <v>390</v>
      </c>
      <c r="F28" s="1">
        <v>0.32</v>
      </c>
      <c r="G28" s="1">
        <v>0.26</v>
      </c>
      <c r="H28" s="10">
        <f t="shared" si="0"/>
        <v>0.1875</v>
      </c>
    </row>
    <row r="29" spans="1:8" x14ac:dyDescent="0.25">
      <c r="A29" s="4">
        <v>45689</v>
      </c>
      <c r="B29" t="s">
        <v>12</v>
      </c>
      <c r="C29" t="str">
        <f>_xlfn.IFNA(VLOOKUP($B29,ref!$B$2:$C$34,2,FALSE),"NA")</f>
        <v>Spot</v>
      </c>
      <c r="D29" s="5">
        <v>4090</v>
      </c>
      <c r="E29">
        <v>390</v>
      </c>
      <c r="F29" s="1">
        <v>0.32</v>
      </c>
      <c r="G29" s="1">
        <v>0.26</v>
      </c>
      <c r="H29" s="10">
        <f t="shared" si="0"/>
        <v>0.1875</v>
      </c>
    </row>
    <row r="30" spans="1:8" x14ac:dyDescent="0.25">
      <c r="A30" s="4">
        <v>45689</v>
      </c>
      <c r="C30" t="str">
        <f>_xlfn.IFNA(VLOOKUP($B30,ref!$B$2:$C$34,2,FALSE),"NA")</f>
        <v>NA</v>
      </c>
      <c r="D30" s="5">
        <v>4090</v>
      </c>
      <c r="E30">
        <v>390</v>
      </c>
      <c r="F30" s="1">
        <v>0.32</v>
      </c>
      <c r="G30" s="1">
        <v>0.26</v>
      </c>
      <c r="H30" s="10">
        <f t="shared" si="0"/>
        <v>0.1875</v>
      </c>
    </row>
    <row r="31" spans="1:8" x14ac:dyDescent="0.25">
      <c r="A31" s="4">
        <v>45799</v>
      </c>
      <c r="B31" t="s">
        <v>6</v>
      </c>
      <c r="C31" t="str">
        <f>_xlfn.IFNA(VLOOKUP($B31,ref!$B$2:$C$34,2,FALSE),"NA")</f>
        <v>3 Month</v>
      </c>
      <c r="D31" s="5" t="s">
        <v>7</v>
      </c>
      <c r="E31">
        <v>384</v>
      </c>
      <c r="F31" s="1">
        <v>1.75</v>
      </c>
      <c r="G31" s="1">
        <v>1.5</v>
      </c>
      <c r="H31" s="10">
        <f t="shared" si="0"/>
        <v>0.1428571428571429</v>
      </c>
    </row>
    <row r="32" spans="1:8" x14ac:dyDescent="0.25">
      <c r="A32" s="4">
        <v>46066</v>
      </c>
      <c r="B32" t="s">
        <v>17</v>
      </c>
      <c r="C32" t="str">
        <f>_xlfn.IFNA(VLOOKUP($B32,ref!$B$2:$C$34,2,FALSE),"NA")</f>
        <v>6 Month</v>
      </c>
      <c r="D32" s="5" t="s">
        <v>10</v>
      </c>
      <c r="E32">
        <v>352</v>
      </c>
      <c r="F32" s="1">
        <v>1.42</v>
      </c>
      <c r="G32" s="1">
        <v>1.25</v>
      </c>
      <c r="H32" s="10">
        <f t="shared" si="0"/>
        <v>0.11971830985915488</v>
      </c>
    </row>
    <row r="33" spans="1:8" x14ac:dyDescent="0.25">
      <c r="A33" s="4">
        <v>46044</v>
      </c>
      <c r="B33" t="s">
        <v>31</v>
      </c>
      <c r="C33" t="str">
        <f>_xlfn.IFNA(VLOOKUP($B33,ref!$B$2:$C$34,2,FALSE),"NA")</f>
        <v>1 Month</v>
      </c>
      <c r="D33" s="5" t="s">
        <v>46</v>
      </c>
      <c r="E33">
        <v>336</v>
      </c>
      <c r="F33" s="1">
        <v>1.63</v>
      </c>
      <c r="G33" s="1">
        <v>1.3149999999999999</v>
      </c>
      <c r="H33" s="10">
        <f t="shared" si="0"/>
        <v>0.19325153374233128</v>
      </c>
    </row>
    <row r="34" spans="1:8" x14ac:dyDescent="0.25">
      <c r="A34" s="4">
        <v>46034</v>
      </c>
      <c r="B34">
        <v>43739719591</v>
      </c>
      <c r="C34" t="str">
        <f>_xlfn.IFNA(VLOOKUP($B34,ref!$B$2:$C$34,2,FALSE),"NA")</f>
        <v>Misc</v>
      </c>
      <c r="D34" s="5" t="s">
        <v>46</v>
      </c>
      <c r="E34">
        <v>256</v>
      </c>
      <c r="F34" s="1">
        <v>2.8</v>
      </c>
      <c r="G34" s="1">
        <v>2.6</v>
      </c>
      <c r="H34" s="10">
        <f t="shared" si="0"/>
        <v>7.1428571428571286E-2</v>
      </c>
    </row>
    <row r="35" spans="1:8" x14ac:dyDescent="0.25">
      <c r="A35" s="4">
        <v>46034</v>
      </c>
      <c r="B35" t="s">
        <v>11</v>
      </c>
      <c r="C35" t="str">
        <f>_xlfn.IFNA(VLOOKUP($B35,ref!$B$2:$C$34,2,FALSE),"NA")</f>
        <v>24 Month</v>
      </c>
      <c r="D35" s="5" t="s">
        <v>46</v>
      </c>
      <c r="E35">
        <v>256</v>
      </c>
      <c r="F35" s="1">
        <v>2.8</v>
      </c>
      <c r="G35" s="1">
        <v>2.6</v>
      </c>
      <c r="H35" s="10">
        <f t="shared" si="0"/>
        <v>7.1428571428571286E-2</v>
      </c>
    </row>
    <row r="36" spans="1:8" x14ac:dyDescent="0.25">
      <c r="A36" s="4">
        <v>45767</v>
      </c>
      <c r="B36" t="s">
        <v>6</v>
      </c>
      <c r="C36" t="str">
        <f>_xlfn.IFNA(VLOOKUP($B36,ref!$B$2:$C$34,2,FALSE),"NA")</f>
        <v>3 Month</v>
      </c>
      <c r="D36" s="5" t="s">
        <v>7</v>
      </c>
      <c r="E36">
        <v>256</v>
      </c>
      <c r="F36" s="1">
        <v>2.35</v>
      </c>
      <c r="G36" s="1">
        <v>2.1</v>
      </c>
      <c r="H36" s="10">
        <f t="shared" si="0"/>
        <v>0.1063829787234043</v>
      </c>
    </row>
    <row r="37" spans="1:8" x14ac:dyDescent="0.25">
      <c r="A37" s="4">
        <v>45767</v>
      </c>
      <c r="B37" t="s">
        <v>6</v>
      </c>
      <c r="C37" t="str">
        <f>_xlfn.IFNA(VLOOKUP($B37,ref!$B$2:$C$34,2,FALSE),"NA")</f>
        <v>3 Month</v>
      </c>
      <c r="E37">
        <v>256</v>
      </c>
      <c r="F37" s="1">
        <v>0.25</v>
      </c>
      <c r="H37" s="10">
        <f t="shared" si="0"/>
        <v>1</v>
      </c>
    </row>
    <row r="38" spans="1:8" x14ac:dyDescent="0.25">
      <c r="A38" s="4">
        <v>45723</v>
      </c>
      <c r="C38" t="str">
        <f>_xlfn.IFNA(VLOOKUP($B38,ref!$B$2:$C$34,2,FALSE),"NA")</f>
        <v>NA</v>
      </c>
      <c r="D38" s="5" t="s">
        <v>7</v>
      </c>
      <c r="E38">
        <v>256</v>
      </c>
      <c r="F38" s="1">
        <v>2.1</v>
      </c>
      <c r="G38" s="1">
        <v>2.1</v>
      </c>
      <c r="H38" s="10">
        <f t="shared" si="0"/>
        <v>0</v>
      </c>
    </row>
    <row r="39" spans="1:8" x14ac:dyDescent="0.25">
      <c r="A39" s="4">
        <v>45723</v>
      </c>
      <c r="B39" t="s">
        <v>6</v>
      </c>
      <c r="C39" t="str">
        <f>_xlfn.IFNA(VLOOKUP($B39,ref!$B$2:$C$34,2,FALSE),"NA")</f>
        <v>3 Month</v>
      </c>
      <c r="D39" s="5" t="s">
        <v>7</v>
      </c>
      <c r="E39">
        <v>256</v>
      </c>
      <c r="F39" s="1">
        <v>2.1</v>
      </c>
      <c r="G39" s="1">
        <v>2.1</v>
      </c>
      <c r="H39" s="10">
        <f t="shared" si="0"/>
        <v>0</v>
      </c>
    </row>
    <row r="40" spans="1:8" x14ac:dyDescent="0.25">
      <c r="A40" s="4">
        <v>45905</v>
      </c>
      <c r="B40" t="s">
        <v>14</v>
      </c>
      <c r="C40" t="str">
        <f>_xlfn.IFNA(VLOOKUP($B40,ref!$B$2:$C$34,2,FALSE),"NA")</f>
        <v>Spot</v>
      </c>
      <c r="D40" s="5" t="s">
        <v>7</v>
      </c>
      <c r="E40">
        <v>224</v>
      </c>
      <c r="F40" s="1">
        <v>1.75</v>
      </c>
      <c r="G40" s="1">
        <v>1.6</v>
      </c>
      <c r="H40" s="10">
        <f t="shared" si="0"/>
        <v>8.5714285714285632E-2</v>
      </c>
    </row>
    <row r="41" spans="1:8" x14ac:dyDescent="0.25">
      <c r="A41" s="4">
        <v>45763</v>
      </c>
      <c r="C41" t="str">
        <f>_xlfn.IFNA(VLOOKUP($B41,ref!$B$2:$C$34,2,FALSE),"NA")</f>
        <v>NA</v>
      </c>
      <c r="D41" s="5" t="s">
        <v>10</v>
      </c>
      <c r="E41">
        <v>224</v>
      </c>
      <c r="F41" s="1">
        <v>2.4500000000000002</v>
      </c>
      <c r="G41" s="1">
        <v>2.33</v>
      </c>
      <c r="H41" s="10">
        <f t="shared" si="0"/>
        <v>4.8979591836734726E-2</v>
      </c>
    </row>
    <row r="42" spans="1:8" x14ac:dyDescent="0.25">
      <c r="A42" s="4">
        <v>45674</v>
      </c>
      <c r="B42" t="s">
        <v>9</v>
      </c>
      <c r="C42" t="str">
        <f>_xlfn.IFNA(VLOOKUP($B42,ref!$B$2:$C$34,2,FALSE),"NA")</f>
        <v>12 Month</v>
      </c>
      <c r="D42" s="5" t="s">
        <v>10</v>
      </c>
      <c r="E42">
        <v>224</v>
      </c>
      <c r="F42" s="1">
        <v>2.5</v>
      </c>
      <c r="G42" s="1">
        <v>2.2999999999999998</v>
      </c>
      <c r="H42" s="10">
        <f t="shared" si="0"/>
        <v>8.0000000000000071E-2</v>
      </c>
    </row>
    <row r="43" spans="1:8" x14ac:dyDescent="0.25">
      <c r="A43" s="4">
        <v>45674</v>
      </c>
      <c r="B43" t="s">
        <v>9</v>
      </c>
      <c r="C43" t="str">
        <f>_xlfn.IFNA(VLOOKUP($B43,ref!$B$2:$C$34,2,FALSE),"NA")</f>
        <v>12 Month</v>
      </c>
      <c r="D43" s="5" t="s">
        <v>10</v>
      </c>
      <c r="E43">
        <v>224</v>
      </c>
      <c r="F43" s="1">
        <v>2.5</v>
      </c>
      <c r="G43" s="1">
        <v>2.33</v>
      </c>
      <c r="H43" s="10">
        <f t="shared" si="0"/>
        <v>6.7999999999999949E-2</v>
      </c>
    </row>
    <row r="44" spans="1:8" x14ac:dyDescent="0.25">
      <c r="A44" s="4">
        <v>45674</v>
      </c>
      <c r="C44" t="str">
        <f>_xlfn.IFNA(VLOOKUP($B44,ref!$B$2:$C$34,2,FALSE),"NA")</f>
        <v>NA</v>
      </c>
      <c r="D44" s="5" t="s">
        <v>10</v>
      </c>
      <c r="E44">
        <v>224</v>
      </c>
      <c r="F44" s="1">
        <v>2.5</v>
      </c>
      <c r="G44" s="1">
        <v>2.33</v>
      </c>
      <c r="H44" s="10">
        <f t="shared" si="0"/>
        <v>6.7999999999999949E-2</v>
      </c>
    </row>
    <row r="45" spans="1:8" x14ac:dyDescent="0.25">
      <c r="A45" s="4">
        <v>46024</v>
      </c>
      <c r="B45" t="s">
        <v>31</v>
      </c>
      <c r="C45" t="str">
        <f>_xlfn.IFNA(VLOOKUP($B45,ref!$B$2:$C$34,2,FALSE),"NA")</f>
        <v>1 Month</v>
      </c>
      <c r="D45" s="5" t="s">
        <v>46</v>
      </c>
      <c r="E45">
        <v>200</v>
      </c>
      <c r="F45" s="1">
        <v>3.5</v>
      </c>
      <c r="G45" s="1">
        <v>3.4</v>
      </c>
      <c r="H45" s="10">
        <f t="shared" si="0"/>
        <v>2.8571428571428581E-2</v>
      </c>
    </row>
    <row r="46" spans="1:8" x14ac:dyDescent="0.25">
      <c r="A46" s="4">
        <v>45785</v>
      </c>
      <c r="B46" t="s">
        <v>6</v>
      </c>
      <c r="C46" t="str">
        <f>_xlfn.IFNA(VLOOKUP($B46,ref!$B$2:$C$34,2,FALSE),"NA")</f>
        <v>3 Month</v>
      </c>
      <c r="D46" s="5">
        <v>4090</v>
      </c>
      <c r="E46">
        <v>200</v>
      </c>
      <c r="F46" s="1">
        <v>0.57999999999999996</v>
      </c>
      <c r="G46" s="1">
        <v>0.50800000000000001</v>
      </c>
      <c r="H46" s="10">
        <f t="shared" si="0"/>
        <v>0.12413793103448267</v>
      </c>
    </row>
    <row r="47" spans="1:8" x14ac:dyDescent="0.25">
      <c r="A47" s="4">
        <v>45785</v>
      </c>
      <c r="B47" t="s">
        <v>6</v>
      </c>
      <c r="C47" t="str">
        <f>_xlfn.IFNA(VLOOKUP($B47,ref!$B$2:$C$34,2,FALSE),"NA")</f>
        <v>3 Month</v>
      </c>
      <c r="D47" s="5">
        <v>4090</v>
      </c>
      <c r="E47">
        <v>200</v>
      </c>
      <c r="F47" s="1">
        <v>0.57999999999999996</v>
      </c>
      <c r="G47" s="1">
        <v>0.50800000000000001</v>
      </c>
      <c r="H47" s="10">
        <f t="shared" si="0"/>
        <v>0.12413793103448267</v>
      </c>
    </row>
    <row r="48" spans="1:8" x14ac:dyDescent="0.25">
      <c r="A48" s="4">
        <v>45785</v>
      </c>
      <c r="B48" t="s">
        <v>6</v>
      </c>
      <c r="C48" t="str">
        <f>_xlfn.IFNA(VLOOKUP($B48,ref!$B$2:$C$34,2,FALSE),"NA")</f>
        <v>3 Month</v>
      </c>
      <c r="D48" s="5">
        <v>4090</v>
      </c>
      <c r="E48">
        <v>200</v>
      </c>
      <c r="F48" s="1">
        <v>0.57999999999999996</v>
      </c>
      <c r="G48" s="1">
        <v>0.50800000000000001</v>
      </c>
      <c r="H48" s="10">
        <f t="shared" si="0"/>
        <v>0.12413793103448267</v>
      </c>
    </row>
    <row r="49" spans="1:8" x14ac:dyDescent="0.25">
      <c r="A49" s="4">
        <v>45769</v>
      </c>
      <c r="B49" t="s">
        <v>6</v>
      </c>
      <c r="C49" t="str">
        <f>_xlfn.IFNA(VLOOKUP($B49,ref!$B$2:$C$34,2,FALSE),"NA")</f>
        <v>3 Month</v>
      </c>
      <c r="D49" s="5">
        <v>4090</v>
      </c>
      <c r="E49">
        <v>200</v>
      </c>
      <c r="F49" s="1">
        <v>0.57999999999999996</v>
      </c>
      <c r="G49" s="1">
        <v>0.50800000000000001</v>
      </c>
      <c r="H49" s="10">
        <f t="shared" si="0"/>
        <v>0.12413793103448267</v>
      </c>
    </row>
    <row r="50" spans="1:8" x14ac:dyDescent="0.25">
      <c r="A50" s="4">
        <v>45805</v>
      </c>
      <c r="B50" t="s">
        <v>14</v>
      </c>
      <c r="C50" t="str">
        <f>_xlfn.IFNA(VLOOKUP($B50,ref!$B$2:$C$34,2,FALSE),"NA")</f>
        <v>Spot</v>
      </c>
      <c r="D50" s="5" t="s">
        <v>7</v>
      </c>
      <c r="E50">
        <v>176</v>
      </c>
      <c r="F50" s="1">
        <v>3.1</v>
      </c>
      <c r="G50" s="1">
        <v>2.7</v>
      </c>
      <c r="H50" s="10">
        <f t="shared" si="0"/>
        <v>0.12903225806451613</v>
      </c>
    </row>
    <row r="51" spans="1:8" x14ac:dyDescent="0.25">
      <c r="A51" s="4">
        <v>46057</v>
      </c>
      <c r="B51" t="s">
        <v>9</v>
      </c>
      <c r="C51" t="str">
        <f>_xlfn.IFNA(VLOOKUP($B51,ref!$B$2:$C$34,2,FALSE),"NA")</f>
        <v>12 Month</v>
      </c>
      <c r="D51" s="5" t="s">
        <v>46</v>
      </c>
      <c r="E51">
        <v>168</v>
      </c>
      <c r="F51" s="1">
        <v>3.15</v>
      </c>
      <c r="G51" s="1">
        <v>3.05</v>
      </c>
      <c r="H51" s="10">
        <f t="shared" si="0"/>
        <v>3.1746031746031744E-2</v>
      </c>
    </row>
    <row r="52" spans="1:8" x14ac:dyDescent="0.25">
      <c r="A52" s="4">
        <v>46008</v>
      </c>
      <c r="B52" t="s">
        <v>31</v>
      </c>
      <c r="C52" t="str">
        <f>_xlfn.IFNA(VLOOKUP($B52,ref!$B$2:$C$34,2,FALSE),"NA")</f>
        <v>1 Month</v>
      </c>
      <c r="D52" s="5" t="s">
        <v>7</v>
      </c>
      <c r="E52">
        <v>160</v>
      </c>
      <c r="F52" s="1">
        <v>2.1</v>
      </c>
      <c r="G52" s="1">
        <v>1.8</v>
      </c>
      <c r="H52" s="10">
        <f t="shared" si="0"/>
        <v>0.1428571428571429</v>
      </c>
    </row>
    <row r="53" spans="1:8" x14ac:dyDescent="0.25">
      <c r="A53" s="4">
        <v>46008</v>
      </c>
      <c r="B53" t="s">
        <v>31</v>
      </c>
      <c r="C53" t="str">
        <f>_xlfn.IFNA(VLOOKUP($B53,ref!$B$2:$C$34,2,FALSE),"NA")</f>
        <v>1 Month</v>
      </c>
      <c r="D53" s="5" t="s">
        <v>7</v>
      </c>
      <c r="E53">
        <v>160</v>
      </c>
      <c r="F53" s="1">
        <v>2.1</v>
      </c>
      <c r="G53" s="1">
        <v>1.8</v>
      </c>
      <c r="H53" s="10">
        <f t="shared" si="0"/>
        <v>0.1428571428571429</v>
      </c>
    </row>
    <row r="54" spans="1:8" x14ac:dyDescent="0.25">
      <c r="A54" s="4">
        <v>46008</v>
      </c>
      <c r="B54" t="s">
        <v>31</v>
      </c>
      <c r="C54" t="str">
        <f>_xlfn.IFNA(VLOOKUP($B54,ref!$B$2:$C$34,2,FALSE),"NA")</f>
        <v>1 Month</v>
      </c>
      <c r="D54" s="5" t="s">
        <v>7</v>
      </c>
      <c r="E54">
        <v>160</v>
      </c>
      <c r="F54" s="1">
        <v>2.1</v>
      </c>
      <c r="G54" s="1">
        <v>1.8</v>
      </c>
      <c r="H54" s="10">
        <f t="shared" si="0"/>
        <v>0.1428571428571429</v>
      </c>
    </row>
    <row r="55" spans="1:8" x14ac:dyDescent="0.25">
      <c r="A55" s="4">
        <v>45957</v>
      </c>
      <c r="B55" t="s">
        <v>27</v>
      </c>
      <c r="C55" t="str">
        <f>_xlfn.IFNA(VLOOKUP($B55,ref!$B$2:$C$34,2,FALSE),"NA")</f>
        <v>Misc</v>
      </c>
      <c r="D55" s="5" t="s">
        <v>7</v>
      </c>
      <c r="E55">
        <v>160</v>
      </c>
      <c r="F55" s="1">
        <v>1.45</v>
      </c>
      <c r="G55" s="1">
        <v>1.3</v>
      </c>
      <c r="H55" s="10">
        <f t="shared" si="0"/>
        <v>0.10344827586206895</v>
      </c>
    </row>
    <row r="56" spans="1:8" x14ac:dyDescent="0.25">
      <c r="A56" s="4">
        <v>45957</v>
      </c>
      <c r="B56" t="s">
        <v>27</v>
      </c>
      <c r="C56" t="str">
        <f>_xlfn.IFNA(VLOOKUP($B56,ref!$B$2:$C$34,2,FALSE),"NA")</f>
        <v>Misc</v>
      </c>
      <c r="D56" s="5" t="s">
        <v>7</v>
      </c>
      <c r="E56">
        <v>160</v>
      </c>
      <c r="F56" s="1">
        <v>1.45</v>
      </c>
      <c r="G56" s="1">
        <v>1.3</v>
      </c>
      <c r="H56" s="10">
        <f t="shared" si="0"/>
        <v>0.10344827586206895</v>
      </c>
    </row>
    <row r="57" spans="1:8" x14ac:dyDescent="0.25">
      <c r="A57" s="4">
        <v>45957</v>
      </c>
      <c r="B57" t="s">
        <v>27</v>
      </c>
      <c r="C57" t="str">
        <f>_xlfn.IFNA(VLOOKUP($B57,ref!$B$2:$C$34,2,FALSE),"NA")</f>
        <v>Misc</v>
      </c>
      <c r="D57" s="5" t="s">
        <v>7</v>
      </c>
      <c r="E57">
        <v>160</v>
      </c>
      <c r="F57" s="1">
        <v>1.45</v>
      </c>
      <c r="G57" s="1">
        <v>1.3</v>
      </c>
      <c r="H57" s="10">
        <f t="shared" si="0"/>
        <v>0.10344827586206895</v>
      </c>
    </row>
    <row r="58" spans="1:8" x14ac:dyDescent="0.25">
      <c r="A58" s="4">
        <v>45921</v>
      </c>
      <c r="B58" t="s">
        <v>35</v>
      </c>
      <c r="C58" t="str">
        <f>_xlfn.IFNA(VLOOKUP($B58,ref!$B$2:$C$34,2,FALSE),"NA")</f>
        <v>Misc</v>
      </c>
      <c r="D58" s="5" t="s">
        <v>7</v>
      </c>
      <c r="E58">
        <v>160</v>
      </c>
      <c r="F58" s="1">
        <v>1.2</v>
      </c>
      <c r="G58" s="1">
        <v>1.1000000000000001</v>
      </c>
      <c r="H58" s="10">
        <f t="shared" si="0"/>
        <v>8.3333333333333259E-2</v>
      </c>
    </row>
    <row r="59" spans="1:8" x14ac:dyDescent="0.25">
      <c r="A59" s="4">
        <v>45809</v>
      </c>
      <c r="B59" t="s">
        <v>31</v>
      </c>
      <c r="C59" t="str">
        <f>_xlfn.IFNA(VLOOKUP($B59,ref!$B$2:$C$34,2,FALSE),"NA")</f>
        <v>1 Month</v>
      </c>
      <c r="D59" s="5" t="s">
        <v>7</v>
      </c>
      <c r="E59">
        <v>160</v>
      </c>
      <c r="F59" s="1">
        <v>2.25</v>
      </c>
      <c r="G59" s="1">
        <v>2.1</v>
      </c>
      <c r="H59" s="10">
        <f t="shared" si="0"/>
        <v>6.6666666666666652E-2</v>
      </c>
    </row>
    <row r="60" spans="1:8" x14ac:dyDescent="0.25">
      <c r="A60" s="4">
        <v>45809</v>
      </c>
      <c r="B60" t="s">
        <v>31</v>
      </c>
      <c r="C60" t="str">
        <f>_xlfn.IFNA(VLOOKUP($B60,ref!$B$2:$C$34,2,FALSE),"NA")</f>
        <v>1 Month</v>
      </c>
      <c r="D60" s="5" t="s">
        <v>7</v>
      </c>
      <c r="E60">
        <v>160</v>
      </c>
      <c r="F60" s="1">
        <v>2.25</v>
      </c>
      <c r="G60" s="1">
        <v>2.1</v>
      </c>
      <c r="H60" s="10">
        <f t="shared" si="0"/>
        <v>6.6666666666666652E-2</v>
      </c>
    </row>
    <row r="61" spans="1:8" x14ac:dyDescent="0.25">
      <c r="A61" s="4">
        <v>45809</v>
      </c>
      <c r="B61" t="s">
        <v>31</v>
      </c>
      <c r="C61" t="str">
        <f>_xlfn.IFNA(VLOOKUP($B61,ref!$B$2:$C$34,2,FALSE),"NA")</f>
        <v>1 Month</v>
      </c>
      <c r="D61" s="5" t="s">
        <v>7</v>
      </c>
      <c r="E61">
        <v>160</v>
      </c>
      <c r="F61" s="1">
        <v>2.25</v>
      </c>
      <c r="G61" s="1">
        <v>2.1</v>
      </c>
      <c r="H61" s="10">
        <f t="shared" si="0"/>
        <v>6.6666666666666652E-2</v>
      </c>
    </row>
    <row r="62" spans="1:8" x14ac:dyDescent="0.25">
      <c r="A62" s="4">
        <v>45809</v>
      </c>
      <c r="B62" t="s">
        <v>31</v>
      </c>
      <c r="C62" t="str">
        <f>_xlfn.IFNA(VLOOKUP($B62,ref!$B$2:$C$34,2,FALSE),"NA")</f>
        <v>1 Month</v>
      </c>
      <c r="D62" s="5" t="s">
        <v>7</v>
      </c>
      <c r="E62">
        <v>160</v>
      </c>
      <c r="F62" s="1">
        <v>2.25</v>
      </c>
      <c r="G62" s="1">
        <v>2.1</v>
      </c>
      <c r="H62" s="10">
        <f t="shared" si="0"/>
        <v>6.6666666666666652E-2</v>
      </c>
    </row>
    <row r="63" spans="1:8" x14ac:dyDescent="0.25">
      <c r="A63" s="4">
        <v>45803</v>
      </c>
      <c r="B63" t="s">
        <v>6</v>
      </c>
      <c r="C63" t="str">
        <f>_xlfn.IFNA(VLOOKUP($B63,ref!$B$2:$C$34,2,FALSE),"NA")</f>
        <v>3 Month</v>
      </c>
      <c r="D63" s="5" t="s">
        <v>7</v>
      </c>
      <c r="E63">
        <v>160</v>
      </c>
      <c r="F63" s="1">
        <v>2.35</v>
      </c>
      <c r="G63" s="1">
        <v>1.5</v>
      </c>
      <c r="H63" s="10">
        <f t="shared" si="0"/>
        <v>0.36170212765957455</v>
      </c>
    </row>
    <row r="64" spans="1:8" x14ac:dyDescent="0.25">
      <c r="A64" s="4">
        <v>45803</v>
      </c>
      <c r="B64" t="s">
        <v>6</v>
      </c>
      <c r="C64" t="str">
        <f>_xlfn.IFNA(VLOOKUP($B64,ref!$B$2:$C$34,2,FALSE),"NA")</f>
        <v>3 Month</v>
      </c>
      <c r="D64" s="5" t="s">
        <v>7</v>
      </c>
      <c r="E64">
        <v>160</v>
      </c>
      <c r="F64" s="1">
        <v>2.35</v>
      </c>
      <c r="G64" s="1">
        <v>1.5</v>
      </c>
      <c r="H64" s="10">
        <f t="shared" si="0"/>
        <v>0.36170212765957455</v>
      </c>
    </row>
    <row r="65" spans="1:8" x14ac:dyDescent="0.25">
      <c r="A65" s="4">
        <v>45803</v>
      </c>
      <c r="B65" t="s">
        <v>6</v>
      </c>
      <c r="C65" t="str">
        <f>_xlfn.IFNA(VLOOKUP($B65,ref!$B$2:$C$34,2,FALSE),"NA")</f>
        <v>3 Month</v>
      </c>
      <c r="D65" s="5" t="s">
        <v>7</v>
      </c>
      <c r="E65">
        <v>160</v>
      </c>
      <c r="F65" s="1">
        <v>2.35</v>
      </c>
      <c r="G65" s="1">
        <v>1.5</v>
      </c>
      <c r="H65" s="10">
        <f t="shared" si="0"/>
        <v>0.36170212765957455</v>
      </c>
    </row>
    <row r="66" spans="1:8" x14ac:dyDescent="0.25">
      <c r="A66" s="4">
        <v>45803</v>
      </c>
      <c r="B66" t="s">
        <v>6</v>
      </c>
      <c r="C66" t="str">
        <f>_xlfn.IFNA(VLOOKUP($B66,ref!$B$2:$C$34,2,FALSE),"NA")</f>
        <v>3 Month</v>
      </c>
      <c r="D66" s="5" t="s">
        <v>7</v>
      </c>
      <c r="E66">
        <v>160</v>
      </c>
      <c r="F66" s="1">
        <v>2.35</v>
      </c>
      <c r="G66" s="1">
        <v>1.5</v>
      </c>
      <c r="H66" s="10">
        <f t="shared" si="0"/>
        <v>0.36170212765957455</v>
      </c>
    </row>
    <row r="67" spans="1:8" x14ac:dyDescent="0.25">
      <c r="A67" s="4">
        <v>45803</v>
      </c>
      <c r="B67" t="s">
        <v>6</v>
      </c>
      <c r="C67" t="str">
        <f>_xlfn.IFNA(VLOOKUP($B67,ref!$B$2:$C$34,2,FALSE),"NA")</f>
        <v>3 Month</v>
      </c>
      <c r="D67" s="5" t="s">
        <v>7</v>
      </c>
      <c r="E67">
        <v>160</v>
      </c>
      <c r="F67" s="1">
        <v>2.35</v>
      </c>
      <c r="G67" s="1">
        <v>1.5</v>
      </c>
      <c r="H67" s="10">
        <f t="shared" ref="H67:H130" si="1">1-(G67/F67)</f>
        <v>0.36170212765957455</v>
      </c>
    </row>
    <row r="68" spans="1:8" x14ac:dyDescent="0.25">
      <c r="A68" s="4">
        <v>45803</v>
      </c>
      <c r="B68" t="s">
        <v>6</v>
      </c>
      <c r="C68" t="str">
        <f>_xlfn.IFNA(VLOOKUP($B68,ref!$B$2:$C$34,2,FALSE),"NA")</f>
        <v>3 Month</v>
      </c>
      <c r="D68" s="5" t="s">
        <v>7</v>
      </c>
      <c r="E68">
        <v>160</v>
      </c>
      <c r="F68" s="1">
        <v>2.35</v>
      </c>
      <c r="G68" s="1">
        <v>1.5</v>
      </c>
      <c r="H68" s="10">
        <f t="shared" si="1"/>
        <v>0.36170212765957455</v>
      </c>
    </row>
    <row r="69" spans="1:8" x14ac:dyDescent="0.25">
      <c r="A69" s="4">
        <v>45803</v>
      </c>
      <c r="B69" t="s">
        <v>6</v>
      </c>
      <c r="C69" t="str">
        <f>_xlfn.IFNA(VLOOKUP($B69,ref!$B$2:$C$34,2,FALSE),"NA")</f>
        <v>3 Month</v>
      </c>
      <c r="D69" s="5" t="s">
        <v>7</v>
      </c>
      <c r="E69">
        <v>160</v>
      </c>
      <c r="F69" s="1">
        <v>2.35</v>
      </c>
      <c r="G69" s="1">
        <v>1.5</v>
      </c>
      <c r="H69" s="10">
        <f t="shared" si="1"/>
        <v>0.36170212765957455</v>
      </c>
    </row>
    <row r="70" spans="1:8" x14ac:dyDescent="0.25">
      <c r="A70" s="4">
        <v>45803</v>
      </c>
      <c r="B70" t="s">
        <v>6</v>
      </c>
      <c r="C70" t="str">
        <f>_xlfn.IFNA(VLOOKUP($B70,ref!$B$2:$C$34,2,FALSE),"NA")</f>
        <v>3 Month</v>
      </c>
      <c r="D70" s="5" t="s">
        <v>7</v>
      </c>
      <c r="E70">
        <v>160</v>
      </c>
      <c r="F70" s="1">
        <v>2.35</v>
      </c>
      <c r="G70" s="1">
        <v>1.5</v>
      </c>
      <c r="H70" s="10">
        <f t="shared" si="1"/>
        <v>0.36170212765957455</v>
      </c>
    </row>
    <row r="71" spans="1:8" x14ac:dyDescent="0.25">
      <c r="A71" s="4">
        <v>45803</v>
      </c>
      <c r="B71" t="s">
        <v>6</v>
      </c>
      <c r="C71" t="str">
        <f>_xlfn.IFNA(VLOOKUP($B71,ref!$B$2:$C$34,2,FALSE),"NA")</f>
        <v>3 Month</v>
      </c>
      <c r="D71" s="5" t="s">
        <v>7</v>
      </c>
      <c r="E71">
        <v>160</v>
      </c>
      <c r="F71" s="1">
        <v>2.35</v>
      </c>
      <c r="G71" s="1">
        <v>1.5</v>
      </c>
      <c r="H71" s="10">
        <f t="shared" si="1"/>
        <v>0.36170212765957455</v>
      </c>
    </row>
    <row r="72" spans="1:8" x14ac:dyDescent="0.25">
      <c r="A72" s="4">
        <v>45803</v>
      </c>
      <c r="B72" t="s">
        <v>6</v>
      </c>
      <c r="C72" t="str">
        <f>_xlfn.IFNA(VLOOKUP($B72,ref!$B$2:$C$34,2,FALSE),"NA")</f>
        <v>3 Month</v>
      </c>
      <c r="D72" s="5" t="s">
        <v>7</v>
      </c>
      <c r="E72">
        <v>160</v>
      </c>
      <c r="F72" s="1">
        <v>2.35</v>
      </c>
      <c r="G72" s="1">
        <v>1.5</v>
      </c>
      <c r="H72" s="10">
        <f t="shared" si="1"/>
        <v>0.36170212765957455</v>
      </c>
    </row>
    <row r="73" spans="1:8" x14ac:dyDescent="0.25">
      <c r="A73" s="4">
        <v>45803</v>
      </c>
      <c r="B73" t="s">
        <v>6</v>
      </c>
      <c r="C73" t="str">
        <f>_xlfn.IFNA(VLOOKUP($B73,ref!$B$2:$C$34,2,FALSE),"NA")</f>
        <v>3 Month</v>
      </c>
      <c r="D73" s="5" t="s">
        <v>7</v>
      </c>
      <c r="E73">
        <v>160</v>
      </c>
      <c r="F73" s="1">
        <v>2.35</v>
      </c>
      <c r="G73" s="1">
        <v>1.5</v>
      </c>
      <c r="H73" s="10">
        <f t="shared" si="1"/>
        <v>0.36170212765957455</v>
      </c>
    </row>
    <row r="74" spans="1:8" x14ac:dyDescent="0.25">
      <c r="A74" s="4">
        <v>45803</v>
      </c>
      <c r="B74" t="s">
        <v>31</v>
      </c>
      <c r="C74" t="str">
        <f>_xlfn.IFNA(VLOOKUP($B74,ref!$B$2:$C$34,2,FALSE),"NA")</f>
        <v>1 Month</v>
      </c>
      <c r="D74" s="5" t="s">
        <v>7</v>
      </c>
      <c r="E74">
        <v>160</v>
      </c>
      <c r="F74" s="1">
        <v>2.4</v>
      </c>
      <c r="G74" s="1">
        <v>1.5</v>
      </c>
      <c r="H74" s="10">
        <f t="shared" si="1"/>
        <v>0.375</v>
      </c>
    </row>
    <row r="75" spans="1:8" x14ac:dyDescent="0.25">
      <c r="A75" s="4">
        <v>45803</v>
      </c>
      <c r="B75" t="s">
        <v>6</v>
      </c>
      <c r="C75" t="str">
        <f>_xlfn.IFNA(VLOOKUP($B75,ref!$B$2:$C$34,2,FALSE),"NA")</f>
        <v>3 Month</v>
      </c>
      <c r="D75" s="5" t="s">
        <v>7</v>
      </c>
      <c r="E75">
        <v>160</v>
      </c>
      <c r="F75" s="1">
        <v>2.35</v>
      </c>
      <c r="G75" s="1">
        <v>1.5</v>
      </c>
      <c r="H75" s="10">
        <f t="shared" si="1"/>
        <v>0.36170212765957455</v>
      </c>
    </row>
    <row r="76" spans="1:8" x14ac:dyDescent="0.25">
      <c r="A76" s="4">
        <v>45796</v>
      </c>
      <c r="B76" t="s">
        <v>14</v>
      </c>
      <c r="C76" t="str">
        <f>_xlfn.IFNA(VLOOKUP($B76,ref!$B$2:$C$34,2,FALSE),"NA")</f>
        <v>Spot</v>
      </c>
      <c r="D76" s="5" t="s">
        <v>7</v>
      </c>
      <c r="E76">
        <v>160</v>
      </c>
      <c r="F76" s="1">
        <v>2.4</v>
      </c>
      <c r="G76" s="1">
        <v>1.5</v>
      </c>
      <c r="H76" s="10">
        <f t="shared" si="1"/>
        <v>0.375</v>
      </c>
    </row>
    <row r="77" spans="1:8" x14ac:dyDescent="0.25">
      <c r="A77" s="4">
        <v>45789</v>
      </c>
      <c r="B77" t="s">
        <v>6</v>
      </c>
      <c r="C77" t="str">
        <f>_xlfn.IFNA(VLOOKUP($B77,ref!$B$2:$C$34,2,FALSE),"NA")</f>
        <v>3 Month</v>
      </c>
      <c r="D77" s="5" t="s">
        <v>7</v>
      </c>
      <c r="E77">
        <v>160</v>
      </c>
      <c r="F77" s="1">
        <v>2.35</v>
      </c>
      <c r="G77" s="1">
        <v>1.5</v>
      </c>
      <c r="H77" s="10">
        <f t="shared" si="1"/>
        <v>0.36170212765957455</v>
      </c>
    </row>
    <row r="78" spans="1:8" x14ac:dyDescent="0.25">
      <c r="A78" s="4">
        <v>45789</v>
      </c>
      <c r="B78" t="s">
        <v>6</v>
      </c>
      <c r="C78" t="str">
        <f>_xlfn.IFNA(VLOOKUP($B78,ref!$B$2:$C$34,2,FALSE),"NA")</f>
        <v>3 Month</v>
      </c>
      <c r="D78" s="5" t="s">
        <v>7</v>
      </c>
      <c r="E78">
        <v>160</v>
      </c>
      <c r="F78" s="1">
        <v>2.35</v>
      </c>
      <c r="G78" s="1">
        <v>1.5</v>
      </c>
      <c r="H78" s="10">
        <f t="shared" si="1"/>
        <v>0.36170212765957455</v>
      </c>
    </row>
    <row r="79" spans="1:8" x14ac:dyDescent="0.25">
      <c r="A79" s="4">
        <v>45992</v>
      </c>
      <c r="B79" t="s">
        <v>29</v>
      </c>
      <c r="C79" t="str">
        <f>_xlfn.IFNA(VLOOKUP($B79,ref!$B$2:$C$34,2,FALSE),"NA")</f>
        <v>Spot</v>
      </c>
      <c r="D79" s="5" t="s">
        <v>46</v>
      </c>
      <c r="E79">
        <v>152</v>
      </c>
      <c r="F79" s="1">
        <v>3.2</v>
      </c>
      <c r="G79" s="1">
        <v>3.1</v>
      </c>
      <c r="H79" s="10">
        <f t="shared" si="1"/>
        <v>3.125E-2</v>
      </c>
    </row>
    <row r="80" spans="1:8" x14ac:dyDescent="0.25">
      <c r="A80" s="4">
        <v>45992</v>
      </c>
      <c r="B80" t="s">
        <v>29</v>
      </c>
      <c r="C80" t="str">
        <f>_xlfn.IFNA(VLOOKUP($B80,ref!$B$2:$C$34,2,FALSE),"NA")</f>
        <v>Spot</v>
      </c>
      <c r="D80" s="5" t="s">
        <v>46</v>
      </c>
      <c r="E80">
        <v>152</v>
      </c>
      <c r="F80" s="1">
        <v>3.2</v>
      </c>
      <c r="G80" s="1">
        <v>3.1</v>
      </c>
      <c r="H80" s="10">
        <f t="shared" si="1"/>
        <v>3.125E-2</v>
      </c>
    </row>
    <row r="81" spans="1:8" x14ac:dyDescent="0.25">
      <c r="A81" s="4">
        <v>45803</v>
      </c>
      <c r="B81" t="s">
        <v>31</v>
      </c>
      <c r="C81" t="str">
        <f>_xlfn.IFNA(VLOOKUP($B81,ref!$B$2:$C$34,2,FALSE),"NA")</f>
        <v>1 Month</v>
      </c>
      <c r="D81" s="5" t="s">
        <v>7</v>
      </c>
      <c r="E81">
        <v>152</v>
      </c>
      <c r="F81" s="1">
        <v>2.25</v>
      </c>
      <c r="G81" s="1">
        <v>1.5</v>
      </c>
      <c r="H81" s="10">
        <f t="shared" si="1"/>
        <v>0.33333333333333337</v>
      </c>
    </row>
    <row r="82" spans="1:8" x14ac:dyDescent="0.25">
      <c r="A82" s="4">
        <v>45803</v>
      </c>
      <c r="B82" t="s">
        <v>31</v>
      </c>
      <c r="C82" t="str">
        <f>_xlfn.IFNA(VLOOKUP($B82,ref!$B$2:$C$34,2,FALSE),"NA")</f>
        <v>1 Month</v>
      </c>
      <c r="D82" s="5" t="s">
        <v>7</v>
      </c>
      <c r="E82">
        <v>152</v>
      </c>
      <c r="F82" s="1">
        <v>2.4</v>
      </c>
      <c r="G82" s="1">
        <v>1.5</v>
      </c>
      <c r="H82" s="10">
        <f t="shared" si="1"/>
        <v>0.375</v>
      </c>
    </row>
    <row r="83" spans="1:8" x14ac:dyDescent="0.25">
      <c r="A83" s="4">
        <v>45803</v>
      </c>
      <c r="B83" t="s">
        <v>31</v>
      </c>
      <c r="C83" t="str">
        <f>_xlfn.IFNA(VLOOKUP($B83,ref!$B$2:$C$34,2,FALSE),"NA")</f>
        <v>1 Month</v>
      </c>
      <c r="D83" s="5" t="s">
        <v>7</v>
      </c>
      <c r="E83">
        <v>152</v>
      </c>
      <c r="F83" s="1">
        <v>2.4</v>
      </c>
      <c r="G83" s="1">
        <v>1.5</v>
      </c>
      <c r="H83" s="10">
        <f t="shared" si="1"/>
        <v>0.375</v>
      </c>
    </row>
    <row r="84" spans="1:8" x14ac:dyDescent="0.25">
      <c r="A84" s="4">
        <v>46066</v>
      </c>
      <c r="B84" t="s">
        <v>68</v>
      </c>
      <c r="C84" t="str">
        <f>_xlfn.IFNA(VLOOKUP($B84,ref!$B$2:$C$34,2,FALSE),"NA")</f>
        <v>4 Month</v>
      </c>
      <c r="E84">
        <v>144</v>
      </c>
      <c r="F84" s="1">
        <v>0.5</v>
      </c>
      <c r="G84" s="1">
        <v>0.43</v>
      </c>
      <c r="H84" s="10">
        <f t="shared" si="1"/>
        <v>0.14000000000000001</v>
      </c>
    </row>
    <row r="85" spans="1:8" x14ac:dyDescent="0.25">
      <c r="A85" s="4">
        <v>45962</v>
      </c>
      <c r="B85" t="s">
        <v>12</v>
      </c>
      <c r="C85" t="str">
        <f>_xlfn.IFNA(VLOOKUP($B85,ref!$B$2:$C$34,2,FALSE),"NA")</f>
        <v>Spot</v>
      </c>
      <c r="D85" s="5" t="s">
        <v>18</v>
      </c>
      <c r="E85">
        <v>144</v>
      </c>
      <c r="F85" s="1">
        <v>0.85</v>
      </c>
      <c r="G85" s="1">
        <v>0.75</v>
      </c>
      <c r="H85" s="10">
        <f t="shared" si="1"/>
        <v>0.11764705882352944</v>
      </c>
    </row>
    <row r="86" spans="1:8" x14ac:dyDescent="0.25">
      <c r="A86" s="4">
        <v>45814</v>
      </c>
      <c r="B86" t="s">
        <v>31</v>
      </c>
      <c r="C86" t="str">
        <f>_xlfn.IFNA(VLOOKUP($B86,ref!$B$2:$C$34,2,FALSE),"NA")</f>
        <v>1 Month</v>
      </c>
      <c r="D86" s="5" t="s">
        <v>18</v>
      </c>
      <c r="E86">
        <v>144</v>
      </c>
      <c r="F86" s="1">
        <v>0.85</v>
      </c>
      <c r="G86" s="1">
        <v>0.75</v>
      </c>
      <c r="H86" s="10">
        <f t="shared" si="1"/>
        <v>0.11764705882352944</v>
      </c>
    </row>
    <row r="87" spans="1:8" x14ac:dyDescent="0.25">
      <c r="A87" s="4">
        <v>45814</v>
      </c>
      <c r="B87" t="s">
        <v>31</v>
      </c>
      <c r="C87" t="str">
        <f>_xlfn.IFNA(VLOOKUP($B87,ref!$B$2:$C$34,2,FALSE),"NA")</f>
        <v>1 Month</v>
      </c>
      <c r="D87" s="5" t="s">
        <v>18</v>
      </c>
      <c r="E87">
        <v>144</v>
      </c>
      <c r="F87" s="1">
        <v>0.85</v>
      </c>
      <c r="G87" s="1">
        <v>0.75</v>
      </c>
      <c r="H87" s="10">
        <f t="shared" si="1"/>
        <v>0.11764705882352944</v>
      </c>
    </row>
    <row r="88" spans="1:8" x14ac:dyDescent="0.25">
      <c r="A88" s="4">
        <v>45921</v>
      </c>
      <c r="B88" t="s">
        <v>35</v>
      </c>
      <c r="C88" t="str">
        <f>_xlfn.IFNA(VLOOKUP($B88,ref!$B$2:$C$34,2,FALSE),"NA")</f>
        <v>Misc</v>
      </c>
      <c r="D88" s="5" t="s">
        <v>7</v>
      </c>
      <c r="E88">
        <v>136</v>
      </c>
      <c r="F88" s="1">
        <v>1.2</v>
      </c>
      <c r="G88" s="1">
        <v>1.1000000000000001</v>
      </c>
      <c r="H88" s="10">
        <f t="shared" si="1"/>
        <v>8.3333333333333259E-2</v>
      </c>
    </row>
    <row r="89" spans="1:8" x14ac:dyDescent="0.25">
      <c r="A89" s="4">
        <v>45979</v>
      </c>
      <c r="B89" t="s">
        <v>6</v>
      </c>
      <c r="C89" t="str">
        <f>_xlfn.IFNA(VLOOKUP($B89,ref!$B$2:$C$34,2,FALSE),"NA")</f>
        <v>3 Month</v>
      </c>
      <c r="D89" s="5">
        <v>5090</v>
      </c>
      <c r="E89">
        <v>128</v>
      </c>
      <c r="F89" s="1">
        <v>0.5</v>
      </c>
      <c r="G89" s="1">
        <v>0.43</v>
      </c>
      <c r="H89" s="10">
        <f t="shared" si="1"/>
        <v>0.14000000000000001</v>
      </c>
    </row>
    <row r="90" spans="1:8" x14ac:dyDescent="0.25">
      <c r="A90" s="4">
        <v>45979</v>
      </c>
      <c r="B90" t="s">
        <v>6</v>
      </c>
      <c r="C90" t="str">
        <f>_xlfn.IFNA(VLOOKUP($B90,ref!$B$2:$C$34,2,FALSE),"NA")</f>
        <v>3 Month</v>
      </c>
      <c r="D90" s="5">
        <v>5090</v>
      </c>
      <c r="E90">
        <v>128</v>
      </c>
      <c r="F90" s="1">
        <v>0.5</v>
      </c>
      <c r="G90" s="1">
        <v>0.43</v>
      </c>
      <c r="H90" s="10">
        <f t="shared" si="1"/>
        <v>0.14000000000000001</v>
      </c>
    </row>
    <row r="91" spans="1:8" x14ac:dyDescent="0.25">
      <c r="A91" s="4">
        <v>45979</v>
      </c>
      <c r="B91" t="s">
        <v>31</v>
      </c>
      <c r="C91" t="str">
        <f>_xlfn.IFNA(VLOOKUP($B91,ref!$B$2:$C$34,2,FALSE),"NA")</f>
        <v>1 Month</v>
      </c>
      <c r="D91" s="5">
        <v>5090</v>
      </c>
      <c r="E91">
        <v>128</v>
      </c>
      <c r="F91" s="1">
        <v>0.5</v>
      </c>
      <c r="G91" s="1">
        <v>0.43</v>
      </c>
      <c r="H91" s="10">
        <f t="shared" si="1"/>
        <v>0.14000000000000001</v>
      </c>
    </row>
    <row r="92" spans="1:8" x14ac:dyDescent="0.25">
      <c r="A92" s="4">
        <v>45923</v>
      </c>
      <c r="B92" t="s">
        <v>55</v>
      </c>
      <c r="C92" t="str">
        <f>_xlfn.IFNA(VLOOKUP($B92,ref!$B$2:$C$34,2,FALSE),"NA")</f>
        <v>Misc</v>
      </c>
      <c r="D92" s="5" t="s">
        <v>7</v>
      </c>
      <c r="E92">
        <v>128</v>
      </c>
      <c r="F92" s="1">
        <v>1.9</v>
      </c>
      <c r="G92" s="1">
        <v>1.75</v>
      </c>
      <c r="H92" s="10">
        <f t="shared" si="1"/>
        <v>7.8947368421052544E-2</v>
      </c>
    </row>
    <row r="93" spans="1:8" x14ac:dyDescent="0.25">
      <c r="A93" s="4">
        <v>45921</v>
      </c>
      <c r="B93" t="s">
        <v>35</v>
      </c>
      <c r="C93" t="str">
        <f>_xlfn.IFNA(VLOOKUP($B93,ref!$B$2:$C$34,2,FALSE),"NA")</f>
        <v>Misc</v>
      </c>
      <c r="D93" s="5" t="s">
        <v>7</v>
      </c>
      <c r="E93">
        <v>128</v>
      </c>
      <c r="F93" s="1">
        <v>1.2</v>
      </c>
      <c r="G93" s="1">
        <v>1.1000000000000001</v>
      </c>
      <c r="H93" s="10">
        <f t="shared" si="1"/>
        <v>8.3333333333333259E-2</v>
      </c>
    </row>
    <row r="94" spans="1:8" x14ac:dyDescent="0.25">
      <c r="A94" s="4">
        <v>45921</v>
      </c>
      <c r="B94" t="s">
        <v>35</v>
      </c>
      <c r="C94" t="str">
        <f>_xlfn.IFNA(VLOOKUP($B94,ref!$B$2:$C$34,2,FALSE),"NA")</f>
        <v>Misc</v>
      </c>
      <c r="D94" s="5" t="s">
        <v>7</v>
      </c>
      <c r="E94">
        <v>128</v>
      </c>
      <c r="F94" s="1">
        <v>1.2</v>
      </c>
      <c r="G94" s="1">
        <v>1.1000000000000001</v>
      </c>
      <c r="H94" s="10">
        <f t="shared" si="1"/>
        <v>8.3333333333333259E-2</v>
      </c>
    </row>
    <row r="95" spans="1:8" x14ac:dyDescent="0.25">
      <c r="A95" s="4">
        <v>45921</v>
      </c>
      <c r="B95" t="s">
        <v>35</v>
      </c>
      <c r="C95" t="str">
        <f>_xlfn.IFNA(VLOOKUP($B95,ref!$B$2:$C$34,2,FALSE),"NA")</f>
        <v>Misc</v>
      </c>
      <c r="D95" s="5" t="s">
        <v>7</v>
      </c>
      <c r="E95">
        <v>128</v>
      </c>
      <c r="F95" s="1">
        <v>1.2</v>
      </c>
      <c r="G95" s="1">
        <v>1.1000000000000001</v>
      </c>
      <c r="H95" s="10">
        <f t="shared" si="1"/>
        <v>8.3333333333333259E-2</v>
      </c>
    </row>
    <row r="96" spans="1:8" x14ac:dyDescent="0.25">
      <c r="A96" s="4">
        <v>45914</v>
      </c>
      <c r="B96" t="s">
        <v>35</v>
      </c>
      <c r="C96" t="str">
        <f>_xlfn.IFNA(VLOOKUP($B96,ref!$B$2:$C$34,2,FALSE),"NA")</f>
        <v>Misc</v>
      </c>
      <c r="E96">
        <v>128</v>
      </c>
      <c r="F96" s="1">
        <v>1.2</v>
      </c>
      <c r="G96" s="1">
        <v>1.1000000000000001</v>
      </c>
      <c r="H96" s="10">
        <f t="shared" si="1"/>
        <v>8.3333333333333259E-2</v>
      </c>
    </row>
    <row r="97" spans="1:8" x14ac:dyDescent="0.25">
      <c r="A97" s="4">
        <v>45814</v>
      </c>
      <c r="B97" t="s">
        <v>31</v>
      </c>
      <c r="C97" t="str">
        <f>_xlfn.IFNA(VLOOKUP($B97,ref!$B$2:$C$34,2,FALSE),"NA")</f>
        <v>1 Month</v>
      </c>
      <c r="D97" s="5" t="s">
        <v>18</v>
      </c>
      <c r="E97">
        <v>128</v>
      </c>
      <c r="F97" s="1">
        <v>0.85</v>
      </c>
      <c r="G97" s="1">
        <v>0.75</v>
      </c>
      <c r="H97" s="10">
        <f t="shared" si="1"/>
        <v>0.11764705882352944</v>
      </c>
    </row>
    <row r="98" spans="1:8" x14ac:dyDescent="0.25">
      <c r="A98" s="4">
        <v>45813</v>
      </c>
      <c r="B98" t="s">
        <v>31</v>
      </c>
      <c r="C98" t="str">
        <f>_xlfn.IFNA(VLOOKUP($B98,ref!$B$2:$C$34,2,FALSE),"NA")</f>
        <v>1 Month</v>
      </c>
      <c r="D98" s="5" t="s">
        <v>7</v>
      </c>
      <c r="E98">
        <v>128</v>
      </c>
      <c r="F98" s="1">
        <v>2.2999999999999998</v>
      </c>
      <c r="G98" s="1">
        <v>2.1</v>
      </c>
      <c r="H98" s="10">
        <f t="shared" si="1"/>
        <v>8.6956521739130377E-2</v>
      </c>
    </row>
    <row r="99" spans="1:8" x14ac:dyDescent="0.25">
      <c r="A99" s="4">
        <v>45783</v>
      </c>
      <c r="B99" t="s">
        <v>31</v>
      </c>
      <c r="C99" t="str">
        <f>_xlfn.IFNA(VLOOKUP($B99,ref!$B$2:$C$34,2,FALSE),"NA")</f>
        <v>1 Month</v>
      </c>
      <c r="D99" s="5" t="s">
        <v>7</v>
      </c>
      <c r="E99">
        <v>128</v>
      </c>
      <c r="F99" s="1">
        <v>2.5</v>
      </c>
      <c r="G99" s="1">
        <v>2.1</v>
      </c>
      <c r="H99" s="10">
        <f t="shared" si="1"/>
        <v>0.15999999999999992</v>
      </c>
    </row>
    <row r="100" spans="1:8" x14ac:dyDescent="0.25">
      <c r="A100" s="4">
        <v>45702</v>
      </c>
      <c r="B100" t="s">
        <v>14</v>
      </c>
      <c r="C100" t="str">
        <f>_xlfn.IFNA(VLOOKUP($B100,ref!$B$2:$C$34,2,FALSE),"NA")</f>
        <v>Spot</v>
      </c>
      <c r="D100" s="5" t="s">
        <v>10</v>
      </c>
      <c r="E100">
        <v>128</v>
      </c>
      <c r="F100" s="1">
        <v>2.2999999999999998</v>
      </c>
      <c r="G100" s="1">
        <v>2.1</v>
      </c>
      <c r="H100" s="10">
        <f t="shared" si="1"/>
        <v>8.6956521739130377E-2</v>
      </c>
    </row>
    <row r="101" spans="1:8" x14ac:dyDescent="0.25">
      <c r="A101" s="4">
        <v>45702</v>
      </c>
      <c r="B101" t="s">
        <v>14</v>
      </c>
      <c r="C101" t="str">
        <f>_xlfn.IFNA(VLOOKUP($B101,ref!$B$2:$C$34,2,FALSE),"NA")</f>
        <v>Spot</v>
      </c>
      <c r="D101" s="5" t="s">
        <v>10</v>
      </c>
      <c r="E101">
        <v>128</v>
      </c>
      <c r="F101" s="1">
        <v>2.2999999999999998</v>
      </c>
      <c r="G101" s="1">
        <v>2.1</v>
      </c>
      <c r="H101" s="10">
        <f t="shared" si="1"/>
        <v>8.6956521739130377E-2</v>
      </c>
    </row>
    <row r="102" spans="1:8" x14ac:dyDescent="0.25">
      <c r="A102" s="4">
        <v>45702</v>
      </c>
      <c r="B102" t="s">
        <v>14</v>
      </c>
      <c r="C102" t="str">
        <f>_xlfn.IFNA(VLOOKUP($B102,ref!$B$2:$C$34,2,FALSE),"NA")</f>
        <v>Spot</v>
      </c>
      <c r="D102" s="5" t="s">
        <v>10</v>
      </c>
      <c r="E102">
        <v>128</v>
      </c>
      <c r="F102" s="1">
        <v>2.2999999999999998</v>
      </c>
      <c r="G102" s="1">
        <v>2.1</v>
      </c>
      <c r="H102" s="10">
        <f t="shared" si="1"/>
        <v>8.6956521739130377E-2</v>
      </c>
    </row>
    <row r="103" spans="1:8" x14ac:dyDescent="0.25">
      <c r="A103" s="4">
        <v>45674</v>
      </c>
      <c r="B103" t="s">
        <v>19</v>
      </c>
      <c r="C103" t="str">
        <f>_xlfn.IFNA(VLOOKUP($B103,ref!$B$2:$C$34,2,FALSE),"NA")</f>
        <v>9 Month</v>
      </c>
      <c r="D103" s="5" t="s">
        <v>10</v>
      </c>
      <c r="E103">
        <v>128</v>
      </c>
      <c r="F103" s="1">
        <v>2.5</v>
      </c>
      <c r="G103" s="1">
        <v>2.36</v>
      </c>
      <c r="H103" s="10">
        <f t="shared" si="1"/>
        <v>5.600000000000005E-2</v>
      </c>
    </row>
    <row r="104" spans="1:8" x14ac:dyDescent="0.25">
      <c r="A104" s="4">
        <v>45979</v>
      </c>
      <c r="B104" t="s">
        <v>6</v>
      </c>
      <c r="C104" t="str">
        <f>_xlfn.IFNA(VLOOKUP($B104,ref!$B$2:$C$34,2,FALSE),"NA")</f>
        <v>3 Month</v>
      </c>
      <c r="D104" s="5" t="s">
        <v>46</v>
      </c>
      <c r="E104">
        <v>120</v>
      </c>
      <c r="F104" s="1">
        <v>3.5</v>
      </c>
      <c r="G104" s="1">
        <v>3.4</v>
      </c>
      <c r="H104" s="10">
        <f t="shared" si="1"/>
        <v>2.8571428571428581E-2</v>
      </c>
    </row>
    <row r="105" spans="1:8" x14ac:dyDescent="0.25">
      <c r="A105" s="4">
        <v>45978</v>
      </c>
      <c r="B105" t="s">
        <v>6</v>
      </c>
      <c r="C105" t="str">
        <f>_xlfn.IFNA(VLOOKUP($B105,ref!$B$2:$C$34,2,FALSE),"NA")</f>
        <v>3 Month</v>
      </c>
      <c r="D105" s="5" t="s">
        <v>46</v>
      </c>
      <c r="E105">
        <v>120</v>
      </c>
      <c r="F105" s="1">
        <v>3.5</v>
      </c>
      <c r="G105" s="1">
        <v>3.4</v>
      </c>
      <c r="H105" s="10">
        <f t="shared" si="1"/>
        <v>2.8571428571428581E-2</v>
      </c>
    </row>
    <row r="106" spans="1:8" x14ac:dyDescent="0.25">
      <c r="A106" s="4">
        <v>45978</v>
      </c>
      <c r="B106" t="s">
        <v>6</v>
      </c>
      <c r="C106" t="str">
        <f>_xlfn.IFNA(VLOOKUP($B106,ref!$B$2:$C$34,2,FALSE),"NA")</f>
        <v>3 Month</v>
      </c>
      <c r="D106" s="5" t="s">
        <v>46</v>
      </c>
      <c r="E106">
        <v>120</v>
      </c>
      <c r="F106" s="1">
        <v>3.5</v>
      </c>
      <c r="G106" s="1">
        <v>3.4</v>
      </c>
      <c r="H106" s="10">
        <f t="shared" si="1"/>
        <v>2.8571428571428581E-2</v>
      </c>
    </row>
    <row r="107" spans="1:8" x14ac:dyDescent="0.25">
      <c r="A107" s="4">
        <v>45957</v>
      </c>
      <c r="B107" t="s">
        <v>12</v>
      </c>
      <c r="C107" t="str">
        <f>_xlfn.IFNA(VLOOKUP($B107,ref!$B$2:$C$34,2,FALSE),"NA")</f>
        <v>Spot</v>
      </c>
      <c r="D107" s="5" t="s">
        <v>46</v>
      </c>
      <c r="E107">
        <v>120</v>
      </c>
      <c r="F107" s="1">
        <v>3.5</v>
      </c>
      <c r="G107" s="1">
        <v>3.4</v>
      </c>
      <c r="H107" s="10">
        <f t="shared" si="1"/>
        <v>2.8571428571428581E-2</v>
      </c>
    </row>
    <row r="108" spans="1:8" x14ac:dyDescent="0.25">
      <c r="A108" s="4">
        <v>45814</v>
      </c>
      <c r="B108" t="s">
        <v>31</v>
      </c>
      <c r="C108" t="str">
        <f>_xlfn.IFNA(VLOOKUP($B108,ref!$B$2:$C$34,2,FALSE),"NA")</f>
        <v>1 Month</v>
      </c>
      <c r="D108" s="5" t="s">
        <v>18</v>
      </c>
      <c r="E108">
        <v>120</v>
      </c>
      <c r="F108" s="1">
        <v>0.85</v>
      </c>
      <c r="G108" s="1">
        <v>0.75</v>
      </c>
      <c r="H108" s="10">
        <f t="shared" si="1"/>
        <v>0.11764705882352944</v>
      </c>
    </row>
    <row r="109" spans="1:8" x14ac:dyDescent="0.25">
      <c r="A109" s="4">
        <v>45814</v>
      </c>
      <c r="B109" t="s">
        <v>31</v>
      </c>
      <c r="C109" t="str">
        <f>_xlfn.IFNA(VLOOKUP($B109,ref!$B$2:$C$34,2,FALSE),"NA")</f>
        <v>1 Month</v>
      </c>
      <c r="D109" s="5" t="s">
        <v>18</v>
      </c>
      <c r="E109">
        <v>120</v>
      </c>
      <c r="F109" s="1">
        <v>0.85</v>
      </c>
      <c r="G109" s="1">
        <v>0.75</v>
      </c>
      <c r="H109" s="10">
        <f t="shared" si="1"/>
        <v>0.11764705882352944</v>
      </c>
    </row>
    <row r="110" spans="1:8" x14ac:dyDescent="0.25">
      <c r="A110" s="4">
        <v>45778</v>
      </c>
      <c r="B110" t="s">
        <v>9</v>
      </c>
      <c r="C110" t="str">
        <f>_xlfn.IFNA(VLOOKUP($B110,ref!$B$2:$C$34,2,FALSE),"NA")</f>
        <v>12 Month</v>
      </c>
      <c r="D110" s="5">
        <v>4090</v>
      </c>
      <c r="E110">
        <v>114</v>
      </c>
      <c r="F110" s="1">
        <v>0.32</v>
      </c>
      <c r="G110" s="1">
        <v>0.26</v>
      </c>
      <c r="H110" s="10">
        <f t="shared" si="1"/>
        <v>0.1875</v>
      </c>
    </row>
    <row r="111" spans="1:8" x14ac:dyDescent="0.25">
      <c r="A111" s="4">
        <v>45957</v>
      </c>
      <c r="B111" t="s">
        <v>27</v>
      </c>
      <c r="C111" t="str">
        <f>_xlfn.IFNA(VLOOKUP($B111,ref!$B$2:$C$34,2,FALSE),"NA")</f>
        <v>Misc</v>
      </c>
      <c r="D111" s="5" t="s">
        <v>7</v>
      </c>
      <c r="E111">
        <v>112</v>
      </c>
      <c r="F111" s="1">
        <v>1.8</v>
      </c>
      <c r="G111" s="1">
        <v>1.6</v>
      </c>
      <c r="H111" s="10">
        <f t="shared" si="1"/>
        <v>0.11111111111111105</v>
      </c>
    </row>
    <row r="112" spans="1:8" x14ac:dyDescent="0.25">
      <c r="A112" s="4">
        <v>45957</v>
      </c>
      <c r="B112" t="s">
        <v>27</v>
      </c>
      <c r="C112" t="str">
        <f>_xlfn.IFNA(VLOOKUP($B112,ref!$B$2:$C$34,2,FALSE),"NA")</f>
        <v>Misc</v>
      </c>
      <c r="D112" s="5" t="s">
        <v>7</v>
      </c>
      <c r="E112">
        <v>112</v>
      </c>
      <c r="F112" s="1">
        <v>1.8</v>
      </c>
      <c r="G112" s="1">
        <v>1.6</v>
      </c>
      <c r="H112" s="10">
        <f t="shared" si="1"/>
        <v>0.11111111111111105</v>
      </c>
    </row>
    <row r="113" spans="1:8" x14ac:dyDescent="0.25">
      <c r="A113" s="4">
        <v>45957</v>
      </c>
      <c r="B113" t="s">
        <v>27</v>
      </c>
      <c r="C113" t="str">
        <f>_xlfn.IFNA(VLOOKUP($B113,ref!$B$2:$C$34,2,FALSE),"NA")</f>
        <v>Misc</v>
      </c>
      <c r="D113" s="5" t="s">
        <v>7</v>
      </c>
      <c r="E113">
        <v>112</v>
      </c>
      <c r="F113" s="1">
        <v>1.8</v>
      </c>
      <c r="G113" s="1">
        <v>1.6</v>
      </c>
      <c r="H113" s="10">
        <f t="shared" si="1"/>
        <v>0.11111111111111105</v>
      </c>
    </row>
    <row r="114" spans="1:8" x14ac:dyDescent="0.25">
      <c r="A114" s="4">
        <v>45957</v>
      </c>
      <c r="B114" t="s">
        <v>27</v>
      </c>
      <c r="C114" t="str">
        <f>_xlfn.IFNA(VLOOKUP($B114,ref!$B$2:$C$34,2,FALSE),"NA")</f>
        <v>Misc</v>
      </c>
      <c r="D114" s="5" t="s">
        <v>7</v>
      </c>
      <c r="E114">
        <v>112</v>
      </c>
      <c r="F114" s="1">
        <v>1.8</v>
      </c>
      <c r="G114" s="1">
        <v>1.6</v>
      </c>
      <c r="H114" s="10">
        <f t="shared" si="1"/>
        <v>0.11111111111111105</v>
      </c>
    </row>
    <row r="115" spans="1:8" x14ac:dyDescent="0.25">
      <c r="A115" s="4">
        <v>45957</v>
      </c>
      <c r="B115" t="s">
        <v>27</v>
      </c>
      <c r="C115" t="str">
        <f>_xlfn.IFNA(VLOOKUP($B115,ref!$B$2:$C$34,2,FALSE),"NA")</f>
        <v>Misc</v>
      </c>
      <c r="D115" s="5" t="s">
        <v>7</v>
      </c>
      <c r="E115">
        <v>112</v>
      </c>
      <c r="F115" s="1">
        <v>1.8</v>
      </c>
      <c r="G115" s="1">
        <v>1.6</v>
      </c>
      <c r="H115" s="10">
        <f t="shared" si="1"/>
        <v>0.11111111111111105</v>
      </c>
    </row>
    <row r="116" spans="1:8" x14ac:dyDescent="0.25">
      <c r="A116" s="4">
        <v>45957</v>
      </c>
      <c r="B116" t="s">
        <v>27</v>
      </c>
      <c r="C116" t="str">
        <f>_xlfn.IFNA(VLOOKUP($B116,ref!$B$2:$C$34,2,FALSE),"NA")</f>
        <v>Misc</v>
      </c>
      <c r="D116" s="5" t="s">
        <v>7</v>
      </c>
      <c r="E116">
        <v>112</v>
      </c>
      <c r="F116" s="1">
        <v>1.8</v>
      </c>
      <c r="G116" s="1">
        <v>1.6</v>
      </c>
      <c r="H116" s="10">
        <f t="shared" si="1"/>
        <v>0.11111111111111105</v>
      </c>
    </row>
    <row r="117" spans="1:8" x14ac:dyDescent="0.25">
      <c r="A117" s="4">
        <v>45884</v>
      </c>
      <c r="B117" t="s">
        <v>35</v>
      </c>
      <c r="C117" t="str">
        <f>_xlfn.IFNA(VLOOKUP($B117,ref!$B$2:$C$34,2,FALSE),"NA")</f>
        <v>Misc</v>
      </c>
      <c r="D117" s="5" t="s">
        <v>7</v>
      </c>
      <c r="E117">
        <v>112</v>
      </c>
      <c r="F117" s="1">
        <v>1.25</v>
      </c>
      <c r="G117" s="1">
        <v>1.2</v>
      </c>
      <c r="H117" s="10">
        <f t="shared" si="1"/>
        <v>4.0000000000000036E-2</v>
      </c>
    </row>
    <row r="118" spans="1:8" x14ac:dyDescent="0.25">
      <c r="A118" s="4">
        <v>45884</v>
      </c>
      <c r="B118" t="s">
        <v>14</v>
      </c>
      <c r="C118" t="str">
        <f>_xlfn.IFNA(VLOOKUP($B118,ref!$B$2:$C$34,2,FALSE),"NA")</f>
        <v>Spot</v>
      </c>
      <c r="D118" s="5" t="s">
        <v>7</v>
      </c>
      <c r="E118">
        <v>112</v>
      </c>
      <c r="F118" s="1">
        <v>1.25</v>
      </c>
      <c r="G118" s="1">
        <v>1.2</v>
      </c>
      <c r="H118" s="10">
        <f t="shared" si="1"/>
        <v>4.0000000000000036E-2</v>
      </c>
    </row>
    <row r="119" spans="1:8" x14ac:dyDescent="0.25">
      <c r="A119" s="4">
        <v>45795</v>
      </c>
      <c r="B119" t="s">
        <v>31</v>
      </c>
      <c r="C119" t="str">
        <f>_xlfn.IFNA(VLOOKUP($B119,ref!$B$2:$C$34,2,FALSE),"NA")</f>
        <v>1 Month</v>
      </c>
      <c r="D119" s="5" t="s">
        <v>7</v>
      </c>
      <c r="E119">
        <v>112</v>
      </c>
      <c r="F119" s="1">
        <v>2.9</v>
      </c>
      <c r="G119" s="1">
        <v>2.5</v>
      </c>
      <c r="H119" s="10">
        <f t="shared" si="1"/>
        <v>0.13793103448275856</v>
      </c>
    </row>
    <row r="120" spans="1:8" x14ac:dyDescent="0.25">
      <c r="A120" s="4">
        <v>45795</v>
      </c>
      <c r="B120" t="s">
        <v>31</v>
      </c>
      <c r="C120" t="str">
        <f>_xlfn.IFNA(VLOOKUP($B120,ref!$B$2:$C$34,2,FALSE),"NA")</f>
        <v>1 Month</v>
      </c>
      <c r="D120" s="5" t="s">
        <v>7</v>
      </c>
      <c r="E120">
        <v>112</v>
      </c>
      <c r="F120" s="1">
        <v>2.9</v>
      </c>
      <c r="G120" s="1">
        <v>2.5</v>
      </c>
      <c r="H120" s="10">
        <f t="shared" si="1"/>
        <v>0.13793103448275856</v>
      </c>
    </row>
    <row r="121" spans="1:8" x14ac:dyDescent="0.25">
      <c r="A121" s="4">
        <v>45795</v>
      </c>
      <c r="B121" t="s">
        <v>31</v>
      </c>
      <c r="C121" t="str">
        <f>_xlfn.IFNA(VLOOKUP($B121,ref!$B$2:$C$34,2,FALSE),"NA")</f>
        <v>1 Month</v>
      </c>
      <c r="D121" s="5" t="s">
        <v>7</v>
      </c>
      <c r="E121">
        <v>112</v>
      </c>
      <c r="F121" s="1">
        <v>2.9</v>
      </c>
      <c r="G121" s="1">
        <v>2.5</v>
      </c>
      <c r="H121" s="10">
        <f t="shared" si="1"/>
        <v>0.13793103448275856</v>
      </c>
    </row>
    <row r="122" spans="1:8" x14ac:dyDescent="0.25">
      <c r="A122" s="4">
        <v>45795</v>
      </c>
      <c r="B122" t="s">
        <v>31</v>
      </c>
      <c r="C122" t="str">
        <f>_xlfn.IFNA(VLOOKUP($B122,ref!$B$2:$C$34,2,FALSE),"NA")</f>
        <v>1 Month</v>
      </c>
      <c r="D122" s="5" t="s">
        <v>7</v>
      </c>
      <c r="E122">
        <v>112</v>
      </c>
      <c r="F122" s="1">
        <v>2.9</v>
      </c>
      <c r="G122" s="1">
        <v>2.5</v>
      </c>
      <c r="H122" s="10">
        <f t="shared" si="1"/>
        <v>0.13793103448275856</v>
      </c>
    </row>
    <row r="123" spans="1:8" x14ac:dyDescent="0.25">
      <c r="A123" s="4">
        <v>46007</v>
      </c>
      <c r="C123" t="str">
        <f>_xlfn.IFNA(VLOOKUP($B123,ref!$B$2:$C$34,2,FALSE),"NA")</f>
        <v>NA</v>
      </c>
      <c r="D123" s="5" t="s">
        <v>7</v>
      </c>
      <c r="E123">
        <v>104</v>
      </c>
      <c r="F123" s="1">
        <v>1.8</v>
      </c>
      <c r="G123" s="1">
        <v>1.6</v>
      </c>
      <c r="H123" s="10">
        <f t="shared" si="1"/>
        <v>0.11111111111111105</v>
      </c>
    </row>
    <row r="124" spans="1:8" x14ac:dyDescent="0.25">
      <c r="A124" s="4">
        <v>45957</v>
      </c>
      <c r="B124" t="s">
        <v>27</v>
      </c>
      <c r="C124" t="str">
        <f>_xlfn.IFNA(VLOOKUP($B124,ref!$B$2:$C$34,2,FALSE),"NA")</f>
        <v>Misc</v>
      </c>
      <c r="D124" s="5" t="s">
        <v>7</v>
      </c>
      <c r="E124">
        <v>104</v>
      </c>
      <c r="F124" s="1">
        <v>1.8</v>
      </c>
      <c r="G124" s="1">
        <v>1.6</v>
      </c>
      <c r="H124" s="10">
        <f t="shared" si="1"/>
        <v>0.11111111111111105</v>
      </c>
    </row>
    <row r="125" spans="1:8" x14ac:dyDescent="0.25">
      <c r="A125" s="4">
        <v>45957</v>
      </c>
      <c r="B125" t="s">
        <v>27</v>
      </c>
      <c r="C125" t="str">
        <f>_xlfn.IFNA(VLOOKUP($B125,ref!$B$2:$C$34,2,FALSE),"NA")</f>
        <v>Misc</v>
      </c>
      <c r="D125" s="5" t="s">
        <v>7</v>
      </c>
      <c r="E125">
        <v>104</v>
      </c>
      <c r="F125" s="1">
        <v>1.8</v>
      </c>
      <c r="G125" s="1">
        <v>1.6</v>
      </c>
      <c r="H125" s="10">
        <f t="shared" si="1"/>
        <v>0.11111111111111105</v>
      </c>
    </row>
    <row r="126" spans="1:8" x14ac:dyDescent="0.25">
      <c r="A126" s="4">
        <v>45957</v>
      </c>
      <c r="B126" t="s">
        <v>27</v>
      </c>
      <c r="C126" t="str">
        <f>_xlfn.IFNA(VLOOKUP($B126,ref!$B$2:$C$34,2,FALSE),"NA")</f>
        <v>Misc</v>
      </c>
      <c r="D126" s="5" t="s">
        <v>7</v>
      </c>
      <c r="E126">
        <v>104</v>
      </c>
      <c r="F126" s="1">
        <v>1.8</v>
      </c>
      <c r="G126" s="1">
        <v>1.6</v>
      </c>
      <c r="H126" s="10">
        <f t="shared" si="1"/>
        <v>0.11111111111111105</v>
      </c>
    </row>
    <row r="127" spans="1:8" x14ac:dyDescent="0.25">
      <c r="A127" s="4">
        <v>45957</v>
      </c>
      <c r="B127" t="s">
        <v>27</v>
      </c>
      <c r="C127" t="str">
        <f>_xlfn.IFNA(VLOOKUP($B127,ref!$B$2:$C$34,2,FALSE),"NA")</f>
        <v>Misc</v>
      </c>
      <c r="D127" s="5" t="s">
        <v>7</v>
      </c>
      <c r="E127">
        <v>104</v>
      </c>
      <c r="F127" s="1">
        <v>1.8</v>
      </c>
      <c r="G127" s="1">
        <v>1.6</v>
      </c>
      <c r="H127" s="10">
        <f t="shared" si="1"/>
        <v>0.11111111111111105</v>
      </c>
    </row>
    <row r="128" spans="1:8" x14ac:dyDescent="0.25">
      <c r="A128" s="4">
        <v>45957</v>
      </c>
      <c r="B128" t="s">
        <v>27</v>
      </c>
      <c r="C128" t="str">
        <f>_xlfn.IFNA(VLOOKUP($B128,ref!$B$2:$C$34,2,FALSE),"NA")</f>
        <v>Misc</v>
      </c>
      <c r="D128" s="5" t="s">
        <v>7</v>
      </c>
      <c r="E128">
        <v>104</v>
      </c>
      <c r="F128" s="1">
        <v>1.8</v>
      </c>
      <c r="G128" s="1">
        <v>1.6</v>
      </c>
      <c r="H128" s="10">
        <f t="shared" si="1"/>
        <v>0.11111111111111105</v>
      </c>
    </row>
    <row r="129" spans="1:8" x14ac:dyDescent="0.25">
      <c r="A129" s="4">
        <v>45957</v>
      </c>
      <c r="B129" t="s">
        <v>27</v>
      </c>
      <c r="C129" t="str">
        <f>_xlfn.IFNA(VLOOKUP($B129,ref!$B$2:$C$34,2,FALSE),"NA")</f>
        <v>Misc</v>
      </c>
      <c r="D129" s="5" t="s">
        <v>7</v>
      </c>
      <c r="E129">
        <v>104</v>
      </c>
      <c r="F129" s="1">
        <v>1.8</v>
      </c>
      <c r="G129" s="1">
        <v>1.6</v>
      </c>
      <c r="H129" s="10">
        <f t="shared" si="1"/>
        <v>0.11111111111111105</v>
      </c>
    </row>
    <row r="130" spans="1:8" x14ac:dyDescent="0.25">
      <c r="A130" s="4">
        <v>45957</v>
      </c>
      <c r="B130" t="s">
        <v>27</v>
      </c>
      <c r="C130" t="str">
        <f>_xlfn.IFNA(VLOOKUP($B130,ref!$B$2:$C$34,2,FALSE),"NA")</f>
        <v>Misc</v>
      </c>
      <c r="D130" s="5" t="s">
        <v>7</v>
      </c>
      <c r="E130">
        <v>104</v>
      </c>
      <c r="F130" s="1">
        <v>1.6</v>
      </c>
      <c r="G130" s="1">
        <v>1.45</v>
      </c>
      <c r="H130" s="10">
        <f t="shared" si="1"/>
        <v>9.3750000000000111E-2</v>
      </c>
    </row>
    <row r="131" spans="1:8" x14ac:dyDescent="0.25">
      <c r="A131" s="4">
        <v>45919</v>
      </c>
      <c r="C131" t="str">
        <f>_xlfn.IFNA(VLOOKUP($B131,ref!$B$2:$C$34,2,FALSE),"NA")</f>
        <v>NA</v>
      </c>
      <c r="D131" s="5" t="s">
        <v>7</v>
      </c>
      <c r="E131">
        <v>104</v>
      </c>
      <c r="F131" s="1">
        <v>1.25</v>
      </c>
      <c r="G131" s="1">
        <v>1.2</v>
      </c>
      <c r="H131" s="10">
        <f t="shared" ref="H131:H194" si="2">1-(G131/F131)</f>
        <v>4.0000000000000036E-2</v>
      </c>
    </row>
    <row r="132" spans="1:8" x14ac:dyDescent="0.25">
      <c r="A132" s="4">
        <v>45884</v>
      </c>
      <c r="B132" t="s">
        <v>35</v>
      </c>
      <c r="C132" t="str">
        <f>_xlfn.IFNA(VLOOKUP($B132,ref!$B$2:$C$34,2,FALSE),"NA")</f>
        <v>Misc</v>
      </c>
      <c r="D132" s="5" t="s">
        <v>7</v>
      </c>
      <c r="E132">
        <v>104</v>
      </c>
      <c r="F132" s="1">
        <v>1.6</v>
      </c>
      <c r="G132" s="1">
        <v>1.45</v>
      </c>
      <c r="H132" s="10">
        <f t="shared" si="2"/>
        <v>9.3750000000000111E-2</v>
      </c>
    </row>
    <row r="133" spans="1:8" x14ac:dyDescent="0.25">
      <c r="A133" s="4">
        <v>45884</v>
      </c>
      <c r="B133" t="s">
        <v>35</v>
      </c>
      <c r="C133" t="str">
        <f>_xlfn.IFNA(VLOOKUP($B133,ref!$B$2:$C$34,2,FALSE),"NA")</f>
        <v>Misc</v>
      </c>
      <c r="D133" s="5" t="s">
        <v>7</v>
      </c>
      <c r="E133">
        <v>104</v>
      </c>
      <c r="F133" s="1">
        <v>1.45</v>
      </c>
      <c r="G133" s="1">
        <v>1.3</v>
      </c>
      <c r="H133" s="10">
        <f t="shared" si="2"/>
        <v>0.10344827586206895</v>
      </c>
    </row>
    <row r="134" spans="1:8" x14ac:dyDescent="0.25">
      <c r="A134" s="4">
        <v>45884</v>
      </c>
      <c r="B134" t="s">
        <v>35</v>
      </c>
      <c r="C134" t="str">
        <f>_xlfn.IFNA(VLOOKUP($B134,ref!$B$2:$C$34,2,FALSE),"NA")</f>
        <v>Misc</v>
      </c>
      <c r="D134" s="5" t="s">
        <v>7</v>
      </c>
      <c r="E134">
        <v>104</v>
      </c>
      <c r="F134" s="1">
        <v>1.35</v>
      </c>
      <c r="G134" s="1">
        <v>1.25</v>
      </c>
      <c r="H134" s="10">
        <f t="shared" si="2"/>
        <v>7.4074074074074181E-2</v>
      </c>
    </row>
    <row r="135" spans="1:8" x14ac:dyDescent="0.25">
      <c r="A135" s="4">
        <v>45884</v>
      </c>
      <c r="B135" t="s">
        <v>14</v>
      </c>
      <c r="C135" t="str">
        <f>_xlfn.IFNA(VLOOKUP($B135,ref!$B$2:$C$34,2,FALSE),"NA")</f>
        <v>Spot</v>
      </c>
      <c r="D135" s="5" t="s">
        <v>7</v>
      </c>
      <c r="E135">
        <v>104</v>
      </c>
      <c r="F135" s="1">
        <v>1.25</v>
      </c>
      <c r="G135" s="1">
        <v>1.2</v>
      </c>
      <c r="H135" s="10">
        <f t="shared" si="2"/>
        <v>4.0000000000000036E-2</v>
      </c>
    </row>
    <row r="136" spans="1:8" x14ac:dyDescent="0.25">
      <c r="A136" s="4">
        <v>45884</v>
      </c>
      <c r="B136" t="s">
        <v>14</v>
      </c>
      <c r="C136" t="str">
        <f>_xlfn.IFNA(VLOOKUP($B136,ref!$B$2:$C$34,2,FALSE),"NA")</f>
        <v>Spot</v>
      </c>
      <c r="D136" s="5" t="s">
        <v>7</v>
      </c>
      <c r="E136">
        <v>104</v>
      </c>
      <c r="F136" s="1">
        <v>1.25</v>
      </c>
      <c r="G136" s="1">
        <v>1.2</v>
      </c>
      <c r="H136" s="10">
        <f t="shared" si="2"/>
        <v>4.0000000000000036E-2</v>
      </c>
    </row>
    <row r="137" spans="1:8" x14ac:dyDescent="0.25">
      <c r="A137" s="4">
        <v>45884</v>
      </c>
      <c r="B137" t="s">
        <v>14</v>
      </c>
      <c r="C137" t="str">
        <f>_xlfn.IFNA(VLOOKUP($B137,ref!$B$2:$C$34,2,FALSE),"NA")</f>
        <v>Spot</v>
      </c>
      <c r="D137" s="5" t="s">
        <v>7</v>
      </c>
      <c r="E137">
        <v>104</v>
      </c>
      <c r="F137" s="1">
        <v>1.25</v>
      </c>
      <c r="G137" s="1">
        <v>1.2</v>
      </c>
      <c r="H137" s="10">
        <f t="shared" si="2"/>
        <v>4.0000000000000036E-2</v>
      </c>
    </row>
    <row r="138" spans="1:8" x14ac:dyDescent="0.25">
      <c r="A138" s="4">
        <v>45884</v>
      </c>
      <c r="B138" t="s">
        <v>14</v>
      </c>
      <c r="C138" t="str">
        <f>_xlfn.IFNA(VLOOKUP($B138,ref!$B$2:$C$34,2,FALSE),"NA")</f>
        <v>Spot</v>
      </c>
      <c r="D138" s="5" t="s">
        <v>7</v>
      </c>
      <c r="E138">
        <v>104</v>
      </c>
      <c r="F138" s="1">
        <v>1.25</v>
      </c>
      <c r="G138" s="1">
        <v>1.2</v>
      </c>
      <c r="H138" s="10">
        <f t="shared" si="2"/>
        <v>4.0000000000000036E-2</v>
      </c>
    </row>
    <row r="139" spans="1:8" x14ac:dyDescent="0.25">
      <c r="A139" s="4">
        <v>45884</v>
      </c>
      <c r="B139" t="s">
        <v>14</v>
      </c>
      <c r="C139" t="str">
        <f>_xlfn.IFNA(VLOOKUP($B139,ref!$B$2:$C$34,2,FALSE),"NA")</f>
        <v>Spot</v>
      </c>
      <c r="D139" s="5" t="s">
        <v>7</v>
      </c>
      <c r="E139">
        <v>104</v>
      </c>
      <c r="F139" s="1">
        <v>1.25</v>
      </c>
      <c r="G139" s="1">
        <v>1.2</v>
      </c>
      <c r="H139" s="10">
        <f t="shared" si="2"/>
        <v>4.0000000000000036E-2</v>
      </c>
    </row>
    <row r="140" spans="1:8" x14ac:dyDescent="0.25">
      <c r="A140" s="4">
        <v>45884</v>
      </c>
      <c r="B140" t="s">
        <v>14</v>
      </c>
      <c r="C140" t="str">
        <f>_xlfn.IFNA(VLOOKUP($B140,ref!$B$2:$C$34,2,FALSE),"NA")</f>
        <v>Spot</v>
      </c>
      <c r="D140" s="5" t="s">
        <v>7</v>
      </c>
      <c r="E140">
        <v>104</v>
      </c>
      <c r="F140" s="1">
        <v>1.25</v>
      </c>
      <c r="G140" s="1">
        <v>1.2</v>
      </c>
      <c r="H140" s="10">
        <f t="shared" si="2"/>
        <v>4.0000000000000036E-2</v>
      </c>
    </row>
    <row r="141" spans="1:8" x14ac:dyDescent="0.25">
      <c r="A141" s="4">
        <v>45884</v>
      </c>
      <c r="B141" t="s">
        <v>14</v>
      </c>
      <c r="C141" t="str">
        <f>_xlfn.IFNA(VLOOKUP($B141,ref!$B$2:$C$34,2,FALSE),"NA")</f>
        <v>Spot</v>
      </c>
      <c r="D141" s="5" t="s">
        <v>7</v>
      </c>
      <c r="E141">
        <v>104</v>
      </c>
      <c r="F141" s="1">
        <v>1.25</v>
      </c>
      <c r="G141" s="1">
        <v>1.2</v>
      </c>
      <c r="H141" s="10">
        <f t="shared" si="2"/>
        <v>4.0000000000000036E-2</v>
      </c>
    </row>
    <row r="142" spans="1:8" x14ac:dyDescent="0.25">
      <c r="A142" s="4">
        <v>45884</v>
      </c>
      <c r="B142" t="s">
        <v>14</v>
      </c>
      <c r="C142" t="str">
        <f>_xlfn.IFNA(VLOOKUP($B142,ref!$B$2:$C$34,2,FALSE),"NA")</f>
        <v>Spot</v>
      </c>
      <c r="D142" s="5" t="s">
        <v>7</v>
      </c>
      <c r="E142">
        <v>104</v>
      </c>
      <c r="F142" s="1">
        <v>1.25</v>
      </c>
      <c r="G142" s="1">
        <v>1.2</v>
      </c>
      <c r="H142" s="10">
        <f t="shared" si="2"/>
        <v>4.0000000000000036E-2</v>
      </c>
    </row>
    <row r="143" spans="1:8" x14ac:dyDescent="0.25">
      <c r="A143" s="4">
        <v>45809</v>
      </c>
      <c r="B143" t="s">
        <v>31</v>
      </c>
      <c r="C143" t="str">
        <f>_xlfn.IFNA(VLOOKUP($B143,ref!$B$2:$C$34,2,FALSE),"NA")</f>
        <v>1 Month</v>
      </c>
      <c r="D143" s="5" t="s">
        <v>10</v>
      </c>
      <c r="E143">
        <v>104</v>
      </c>
      <c r="F143" s="1">
        <v>2.5</v>
      </c>
      <c r="G143" s="1">
        <v>2.36</v>
      </c>
      <c r="H143" s="10">
        <f t="shared" si="2"/>
        <v>5.600000000000005E-2</v>
      </c>
    </row>
    <row r="144" spans="1:8" x14ac:dyDescent="0.25">
      <c r="A144" s="4">
        <v>45809</v>
      </c>
      <c r="B144" t="s">
        <v>31</v>
      </c>
      <c r="C144" t="str">
        <f>_xlfn.IFNA(VLOOKUP($B144,ref!$B$2:$C$34,2,FALSE),"NA")</f>
        <v>1 Month</v>
      </c>
      <c r="D144" s="5" t="s">
        <v>10</v>
      </c>
      <c r="E144">
        <v>104</v>
      </c>
      <c r="F144" s="1">
        <v>2.5</v>
      </c>
      <c r="G144" s="1">
        <v>2.36</v>
      </c>
      <c r="H144" s="10">
        <f t="shared" si="2"/>
        <v>5.600000000000005E-2</v>
      </c>
    </row>
    <row r="145" spans="1:8" x14ac:dyDescent="0.25">
      <c r="A145" s="4">
        <v>45748</v>
      </c>
      <c r="C145" t="str">
        <f>_xlfn.IFNA(VLOOKUP($B145,ref!$B$2:$C$34,2,FALSE),"NA")</f>
        <v>NA</v>
      </c>
      <c r="D145" s="5" t="s">
        <v>10</v>
      </c>
      <c r="E145">
        <v>104</v>
      </c>
      <c r="F145" s="1">
        <v>2.5</v>
      </c>
      <c r="G145" s="1">
        <v>2.36</v>
      </c>
      <c r="H145" s="10">
        <f t="shared" si="2"/>
        <v>5.600000000000005E-2</v>
      </c>
    </row>
    <row r="146" spans="1:8" x14ac:dyDescent="0.25">
      <c r="A146" s="4">
        <v>45748</v>
      </c>
      <c r="B146" t="s">
        <v>12</v>
      </c>
      <c r="C146" t="str">
        <f>_xlfn.IFNA(VLOOKUP($B146,ref!$B$2:$C$34,2,FALSE),"NA")</f>
        <v>Spot</v>
      </c>
      <c r="D146" s="5" t="s">
        <v>10</v>
      </c>
      <c r="E146">
        <v>104</v>
      </c>
      <c r="F146" s="1">
        <v>2.5</v>
      </c>
      <c r="G146" s="1">
        <v>2.36</v>
      </c>
      <c r="H146" s="10">
        <f t="shared" si="2"/>
        <v>5.600000000000005E-2</v>
      </c>
    </row>
    <row r="147" spans="1:8" x14ac:dyDescent="0.25">
      <c r="A147" s="4">
        <v>45709</v>
      </c>
      <c r="B147" t="s">
        <v>12</v>
      </c>
      <c r="C147" t="str">
        <f>_xlfn.IFNA(VLOOKUP($B147,ref!$B$2:$C$34,2,FALSE),"NA")</f>
        <v>Spot</v>
      </c>
      <c r="D147" s="5" t="s">
        <v>10</v>
      </c>
      <c r="E147">
        <v>104</v>
      </c>
      <c r="F147" s="1">
        <v>2.5</v>
      </c>
      <c r="G147" s="1">
        <v>2.36</v>
      </c>
      <c r="H147" s="10">
        <f t="shared" si="2"/>
        <v>5.600000000000005E-2</v>
      </c>
    </row>
    <row r="148" spans="1:8" x14ac:dyDescent="0.25">
      <c r="A148" s="4">
        <v>45709</v>
      </c>
      <c r="B148" t="s">
        <v>12</v>
      </c>
      <c r="C148" t="str">
        <f>_xlfn.IFNA(VLOOKUP($B148,ref!$B$2:$C$34,2,FALSE),"NA")</f>
        <v>Spot</v>
      </c>
      <c r="D148" s="5" t="s">
        <v>10</v>
      </c>
      <c r="E148">
        <v>104</v>
      </c>
      <c r="F148" s="1">
        <v>2.5</v>
      </c>
      <c r="G148" s="1">
        <v>2.36</v>
      </c>
      <c r="H148" s="10">
        <f t="shared" si="2"/>
        <v>5.600000000000005E-2</v>
      </c>
    </row>
    <row r="149" spans="1:8" x14ac:dyDescent="0.25">
      <c r="A149" s="4">
        <v>45884</v>
      </c>
      <c r="B149" t="s">
        <v>35</v>
      </c>
      <c r="C149" t="str">
        <f>_xlfn.IFNA(VLOOKUP($B149,ref!$B$2:$C$34,2,FALSE),"NA")</f>
        <v>Misc</v>
      </c>
      <c r="D149" s="5" t="s">
        <v>7</v>
      </c>
      <c r="E149">
        <v>96</v>
      </c>
      <c r="F149" s="1">
        <v>1.95</v>
      </c>
      <c r="G149" s="1">
        <v>1.82</v>
      </c>
      <c r="H149" s="10">
        <f t="shared" si="2"/>
        <v>6.6666666666666652E-2</v>
      </c>
    </row>
    <row r="150" spans="1:8" x14ac:dyDescent="0.25">
      <c r="A150" s="4">
        <v>45884</v>
      </c>
      <c r="B150" t="s">
        <v>35</v>
      </c>
      <c r="C150" t="str">
        <f>_xlfn.IFNA(VLOOKUP($B150,ref!$B$2:$C$34,2,FALSE),"NA")</f>
        <v>Misc</v>
      </c>
      <c r="D150" s="5" t="s">
        <v>7</v>
      </c>
      <c r="E150">
        <v>96</v>
      </c>
      <c r="F150" s="1">
        <v>1.95</v>
      </c>
      <c r="G150" s="1">
        <v>1.82</v>
      </c>
      <c r="H150" s="10">
        <f t="shared" si="2"/>
        <v>6.6666666666666652E-2</v>
      </c>
    </row>
    <row r="151" spans="1:8" x14ac:dyDescent="0.25">
      <c r="A151" s="4">
        <v>45884</v>
      </c>
      <c r="B151" t="s">
        <v>35</v>
      </c>
      <c r="C151" t="str">
        <f>_xlfn.IFNA(VLOOKUP($B151,ref!$B$2:$C$34,2,FALSE),"NA")</f>
        <v>Misc</v>
      </c>
      <c r="D151" s="5" t="s">
        <v>7</v>
      </c>
      <c r="E151">
        <v>96</v>
      </c>
      <c r="F151" s="1">
        <v>1.25</v>
      </c>
      <c r="G151" s="1">
        <v>1.2</v>
      </c>
      <c r="H151" s="10">
        <f t="shared" si="2"/>
        <v>4.0000000000000036E-2</v>
      </c>
    </row>
    <row r="152" spans="1:8" x14ac:dyDescent="0.25">
      <c r="A152" s="4">
        <v>45884</v>
      </c>
      <c r="B152" t="s">
        <v>35</v>
      </c>
      <c r="C152" t="str">
        <f>_xlfn.IFNA(VLOOKUP($B152,ref!$B$2:$C$34,2,FALSE),"NA")</f>
        <v>Misc</v>
      </c>
      <c r="D152" s="5" t="s">
        <v>7</v>
      </c>
      <c r="E152">
        <v>96</v>
      </c>
      <c r="F152" s="1">
        <v>1.25</v>
      </c>
      <c r="G152" s="1">
        <v>1.2</v>
      </c>
      <c r="H152" s="10">
        <f t="shared" si="2"/>
        <v>4.0000000000000036E-2</v>
      </c>
    </row>
    <row r="153" spans="1:8" x14ac:dyDescent="0.25">
      <c r="A153" s="4">
        <v>45884</v>
      </c>
      <c r="B153" t="s">
        <v>35</v>
      </c>
      <c r="C153" t="str">
        <f>_xlfn.IFNA(VLOOKUP($B153,ref!$B$2:$C$34,2,FALSE),"NA")</f>
        <v>Misc</v>
      </c>
      <c r="D153" s="5" t="s">
        <v>7</v>
      </c>
      <c r="E153">
        <v>96</v>
      </c>
      <c r="F153" s="1">
        <v>1.25</v>
      </c>
      <c r="G153" s="1">
        <v>1.2</v>
      </c>
      <c r="H153" s="10">
        <f t="shared" si="2"/>
        <v>4.0000000000000036E-2</v>
      </c>
    </row>
    <row r="154" spans="1:8" x14ac:dyDescent="0.25">
      <c r="A154" s="4">
        <v>45884</v>
      </c>
      <c r="B154" t="s">
        <v>35</v>
      </c>
      <c r="C154" t="str">
        <f>_xlfn.IFNA(VLOOKUP($B154,ref!$B$2:$C$34,2,FALSE),"NA")</f>
        <v>Misc</v>
      </c>
      <c r="D154" s="5" t="s">
        <v>7</v>
      </c>
      <c r="E154">
        <v>96</v>
      </c>
      <c r="F154" s="1">
        <v>1.25</v>
      </c>
      <c r="G154" s="1">
        <v>1.2</v>
      </c>
      <c r="H154" s="10">
        <f t="shared" si="2"/>
        <v>4.0000000000000036E-2</v>
      </c>
    </row>
    <row r="155" spans="1:8" x14ac:dyDescent="0.25">
      <c r="A155" s="4">
        <v>45884</v>
      </c>
      <c r="B155" t="s">
        <v>35</v>
      </c>
      <c r="C155" t="str">
        <f>_xlfn.IFNA(VLOOKUP($B155,ref!$B$2:$C$34,2,FALSE),"NA")</f>
        <v>Misc</v>
      </c>
      <c r="D155" s="5" t="s">
        <v>7</v>
      </c>
      <c r="E155">
        <v>96</v>
      </c>
      <c r="F155" s="1">
        <v>1.25</v>
      </c>
      <c r="G155" s="1">
        <v>1.2</v>
      </c>
      <c r="H155" s="10">
        <f t="shared" si="2"/>
        <v>4.0000000000000036E-2</v>
      </c>
    </row>
    <row r="156" spans="1:8" x14ac:dyDescent="0.25">
      <c r="A156" s="4">
        <v>45884</v>
      </c>
      <c r="B156" t="s">
        <v>35</v>
      </c>
      <c r="C156" t="str">
        <f>_xlfn.IFNA(VLOOKUP($B156,ref!$B$2:$C$34,2,FALSE),"NA")</f>
        <v>Misc</v>
      </c>
      <c r="D156" s="5" t="s">
        <v>7</v>
      </c>
      <c r="E156">
        <v>96</v>
      </c>
      <c r="F156" s="1">
        <v>1.25</v>
      </c>
      <c r="G156" s="1">
        <v>1.2</v>
      </c>
      <c r="H156" s="10">
        <f t="shared" si="2"/>
        <v>4.0000000000000036E-2</v>
      </c>
    </row>
    <row r="157" spans="1:8" x14ac:dyDescent="0.25">
      <c r="A157" s="4">
        <v>45742</v>
      </c>
      <c r="B157" t="s">
        <v>14</v>
      </c>
      <c r="C157" t="str">
        <f>_xlfn.IFNA(VLOOKUP($B157,ref!$B$2:$C$34,2,FALSE),"NA")</f>
        <v>Spot</v>
      </c>
      <c r="D157" s="5">
        <v>4090</v>
      </c>
      <c r="E157">
        <v>96</v>
      </c>
      <c r="F157" s="1">
        <v>0.65</v>
      </c>
      <c r="G157" s="1">
        <v>0.56899999999999995</v>
      </c>
      <c r="H157" s="10">
        <f t="shared" si="2"/>
        <v>0.12461538461538468</v>
      </c>
    </row>
    <row r="158" spans="1:8" x14ac:dyDescent="0.25">
      <c r="A158" s="4">
        <v>45673</v>
      </c>
      <c r="B158" t="s">
        <v>14</v>
      </c>
      <c r="C158" t="str">
        <f>_xlfn.IFNA(VLOOKUP($B158,ref!$B$2:$C$34,2,FALSE),"NA")</f>
        <v>Spot</v>
      </c>
      <c r="D158" s="5">
        <v>4090</v>
      </c>
      <c r="E158">
        <v>96</v>
      </c>
      <c r="F158" s="1">
        <v>0.56000000000000005</v>
      </c>
      <c r="G158" s="1">
        <v>0.47599999999999998</v>
      </c>
      <c r="H158" s="10">
        <f t="shared" si="2"/>
        <v>0.15000000000000013</v>
      </c>
    </row>
    <row r="159" spans="1:8" x14ac:dyDescent="0.25">
      <c r="A159" s="4">
        <v>45659</v>
      </c>
      <c r="B159" t="s">
        <v>14</v>
      </c>
      <c r="C159" t="str">
        <f>_xlfn.IFNA(VLOOKUP($B159,ref!$B$2:$C$34,2,FALSE),"NA")</f>
        <v>Spot</v>
      </c>
      <c r="D159" s="5">
        <v>4090</v>
      </c>
      <c r="E159">
        <v>96</v>
      </c>
      <c r="F159" s="1">
        <v>0.56000000000000005</v>
      </c>
      <c r="G159" s="1">
        <v>0.47599999999999998</v>
      </c>
      <c r="H159" s="10">
        <f t="shared" si="2"/>
        <v>0.15000000000000013</v>
      </c>
    </row>
    <row r="160" spans="1:8" x14ac:dyDescent="0.25">
      <c r="A160" s="4">
        <v>45659</v>
      </c>
      <c r="B160" t="s">
        <v>14</v>
      </c>
      <c r="C160" t="str">
        <f>_xlfn.IFNA(VLOOKUP($B160,ref!$B$2:$C$34,2,FALSE),"NA")</f>
        <v>Spot</v>
      </c>
      <c r="D160" s="5">
        <v>4090</v>
      </c>
      <c r="E160">
        <v>96</v>
      </c>
      <c r="F160" s="1">
        <v>0.56000000000000005</v>
      </c>
      <c r="G160" s="1">
        <v>0.47599999999999998</v>
      </c>
      <c r="H160" s="10">
        <f t="shared" si="2"/>
        <v>0.15000000000000013</v>
      </c>
    </row>
    <row r="161" spans="1:8" x14ac:dyDescent="0.25">
      <c r="A161" s="4">
        <v>45673</v>
      </c>
      <c r="B161" t="s">
        <v>14</v>
      </c>
      <c r="C161" t="str">
        <f>_xlfn.IFNA(VLOOKUP($B161,ref!$B$2:$C$34,2,FALSE),"NA")</f>
        <v>Spot</v>
      </c>
      <c r="D161" s="5">
        <v>4090</v>
      </c>
      <c r="E161">
        <v>90</v>
      </c>
      <c r="F161" s="1">
        <v>0.56000000000000005</v>
      </c>
      <c r="G161" s="1">
        <v>0.47599999999999998</v>
      </c>
      <c r="H161" s="10">
        <f t="shared" si="2"/>
        <v>0.15000000000000013</v>
      </c>
    </row>
    <row r="162" spans="1:8" x14ac:dyDescent="0.25">
      <c r="A162" s="4">
        <v>45884</v>
      </c>
      <c r="B162" t="s">
        <v>35</v>
      </c>
      <c r="C162" t="str">
        <f>_xlfn.IFNA(VLOOKUP($B162,ref!$B$2:$C$34,2,FALSE),"NA")</f>
        <v>Misc</v>
      </c>
      <c r="D162" s="5" t="s">
        <v>7</v>
      </c>
      <c r="E162">
        <v>88</v>
      </c>
      <c r="F162" s="1">
        <v>1.25</v>
      </c>
      <c r="G162" s="1">
        <v>1.2</v>
      </c>
      <c r="H162" s="10">
        <f t="shared" si="2"/>
        <v>4.0000000000000036E-2</v>
      </c>
    </row>
    <row r="163" spans="1:8" x14ac:dyDescent="0.25">
      <c r="A163" s="4">
        <v>45884</v>
      </c>
      <c r="B163" t="s">
        <v>14</v>
      </c>
      <c r="C163" t="str">
        <f>_xlfn.IFNA(VLOOKUP($B163,ref!$B$2:$C$34,2,FALSE),"NA")</f>
        <v>Spot</v>
      </c>
      <c r="D163" s="5" t="s">
        <v>7</v>
      </c>
      <c r="E163">
        <v>88</v>
      </c>
      <c r="F163" s="1">
        <v>1.25</v>
      </c>
      <c r="G163" s="1">
        <v>1.2</v>
      </c>
      <c r="H163" s="10">
        <f t="shared" si="2"/>
        <v>4.0000000000000036E-2</v>
      </c>
    </row>
    <row r="164" spans="1:8" x14ac:dyDescent="0.25">
      <c r="A164" s="4">
        <v>45884</v>
      </c>
      <c r="B164" t="s">
        <v>14</v>
      </c>
      <c r="C164" t="str">
        <f>_xlfn.IFNA(VLOOKUP($B164,ref!$B$2:$C$34,2,FALSE),"NA")</f>
        <v>Spot</v>
      </c>
      <c r="D164" s="5" t="s">
        <v>7</v>
      </c>
      <c r="E164">
        <v>88</v>
      </c>
      <c r="F164" s="1">
        <v>1.25</v>
      </c>
      <c r="G164" s="1">
        <v>1.1499999999999999</v>
      </c>
      <c r="H164" s="10">
        <f t="shared" si="2"/>
        <v>8.0000000000000071E-2</v>
      </c>
    </row>
    <row r="165" spans="1:8" x14ac:dyDescent="0.25">
      <c r="A165" s="4">
        <v>45713</v>
      </c>
      <c r="B165" t="s">
        <v>24</v>
      </c>
      <c r="C165" t="str">
        <f>_xlfn.IFNA(VLOOKUP($B165,ref!$B$2:$C$34,2,FALSE),"NA")</f>
        <v>Misc</v>
      </c>
      <c r="D165" s="5" t="s">
        <v>7</v>
      </c>
      <c r="E165">
        <v>88</v>
      </c>
      <c r="F165" s="1">
        <v>2.95</v>
      </c>
      <c r="G165" s="1">
        <v>2.5</v>
      </c>
      <c r="H165" s="10">
        <f t="shared" si="2"/>
        <v>0.15254237288135597</v>
      </c>
    </row>
    <row r="166" spans="1:8" x14ac:dyDescent="0.25">
      <c r="A166" s="4">
        <v>45713</v>
      </c>
      <c r="B166" t="s">
        <v>24</v>
      </c>
      <c r="C166" t="str">
        <f>_xlfn.IFNA(VLOOKUP($B166,ref!$B$2:$C$34,2,FALSE),"NA")</f>
        <v>Misc</v>
      </c>
      <c r="D166" s="5" t="s">
        <v>7</v>
      </c>
      <c r="E166">
        <v>88</v>
      </c>
      <c r="F166" s="1">
        <v>2.7</v>
      </c>
      <c r="G166" s="1">
        <v>2.35</v>
      </c>
      <c r="H166" s="10">
        <f t="shared" si="2"/>
        <v>0.12962962962962965</v>
      </c>
    </row>
    <row r="167" spans="1:8" x14ac:dyDescent="0.25">
      <c r="A167" s="4">
        <v>45706</v>
      </c>
      <c r="B167" t="s">
        <v>24</v>
      </c>
      <c r="C167" t="str">
        <f>_xlfn.IFNA(VLOOKUP($B167,ref!$B$2:$C$34,2,FALSE),"NA")</f>
        <v>Misc</v>
      </c>
      <c r="D167" s="5" t="s">
        <v>7</v>
      </c>
      <c r="E167">
        <v>88</v>
      </c>
      <c r="F167" s="1">
        <v>2.7</v>
      </c>
      <c r="G167" s="1">
        <v>2.35</v>
      </c>
      <c r="H167" s="10">
        <f t="shared" si="2"/>
        <v>0.12962962962962965</v>
      </c>
    </row>
    <row r="168" spans="1:8" x14ac:dyDescent="0.25">
      <c r="A168" s="4">
        <v>46008</v>
      </c>
      <c r="B168" t="s">
        <v>62</v>
      </c>
      <c r="C168" t="str">
        <f>_xlfn.IFNA(VLOOKUP($B168,ref!$B$2:$C$34,2,FALSE),"NA")</f>
        <v>Spot</v>
      </c>
      <c r="D168" s="5" t="s">
        <v>7</v>
      </c>
      <c r="E168">
        <v>81</v>
      </c>
      <c r="F168" s="1">
        <v>2.1</v>
      </c>
      <c r="G168" s="1">
        <v>1.8</v>
      </c>
      <c r="H168" s="10">
        <f t="shared" si="2"/>
        <v>0.1428571428571429</v>
      </c>
    </row>
    <row r="169" spans="1:8" x14ac:dyDescent="0.25">
      <c r="A169" s="4">
        <v>46066</v>
      </c>
      <c r="B169" t="s">
        <v>68</v>
      </c>
      <c r="C169" t="str">
        <f>_xlfn.IFNA(VLOOKUP($B169,ref!$B$2:$C$34,2,FALSE),"NA")</f>
        <v>4 Month</v>
      </c>
      <c r="E169">
        <v>80</v>
      </c>
      <c r="F169" s="1">
        <v>0.5</v>
      </c>
      <c r="G169" s="1">
        <v>0.43</v>
      </c>
      <c r="H169" s="10">
        <f t="shared" si="2"/>
        <v>0.14000000000000001</v>
      </c>
    </row>
    <row r="170" spans="1:8" x14ac:dyDescent="0.25">
      <c r="A170" s="4">
        <v>46027</v>
      </c>
      <c r="B170" t="s">
        <v>31</v>
      </c>
      <c r="C170" t="str">
        <f>_xlfn.IFNA(VLOOKUP($B170,ref!$B$2:$C$34,2,FALSE),"NA")</f>
        <v>1 Month</v>
      </c>
      <c r="D170" s="5" t="s">
        <v>10</v>
      </c>
      <c r="E170">
        <v>80</v>
      </c>
      <c r="F170" s="1">
        <v>1.35</v>
      </c>
      <c r="G170" s="1">
        <v>1.1499999999999999</v>
      </c>
      <c r="H170" s="10">
        <f t="shared" si="2"/>
        <v>0.14814814814814825</v>
      </c>
    </row>
    <row r="171" spans="1:8" x14ac:dyDescent="0.25">
      <c r="A171" s="4">
        <v>46010</v>
      </c>
      <c r="B171" t="s">
        <v>35</v>
      </c>
      <c r="C171" t="str">
        <f>_xlfn.IFNA(VLOOKUP($B171,ref!$B$2:$C$34,2,FALSE),"NA")</f>
        <v>Misc</v>
      </c>
      <c r="D171" s="5" t="s">
        <v>7</v>
      </c>
      <c r="E171">
        <v>80</v>
      </c>
      <c r="F171" s="1">
        <v>1.3</v>
      </c>
      <c r="G171" s="1">
        <v>1.2</v>
      </c>
      <c r="H171" s="10">
        <f t="shared" si="2"/>
        <v>7.6923076923076983E-2</v>
      </c>
    </row>
    <row r="172" spans="1:8" x14ac:dyDescent="0.25">
      <c r="A172" s="4">
        <v>45992</v>
      </c>
      <c r="B172" t="s">
        <v>29</v>
      </c>
      <c r="C172" t="str">
        <f>_xlfn.IFNA(VLOOKUP($B172,ref!$B$2:$C$34,2,FALSE),"NA")</f>
        <v>Spot</v>
      </c>
      <c r="D172" s="5" t="s">
        <v>46</v>
      </c>
      <c r="E172">
        <v>80</v>
      </c>
      <c r="F172" s="1">
        <v>3.2</v>
      </c>
      <c r="G172" s="1">
        <v>3.1</v>
      </c>
      <c r="H172" s="10">
        <f t="shared" si="2"/>
        <v>3.125E-2</v>
      </c>
    </row>
    <row r="173" spans="1:8" x14ac:dyDescent="0.25">
      <c r="A173" s="4">
        <v>45992</v>
      </c>
      <c r="B173" t="s">
        <v>29</v>
      </c>
      <c r="C173" t="str">
        <f>_xlfn.IFNA(VLOOKUP($B173,ref!$B$2:$C$34,2,FALSE),"NA")</f>
        <v>Spot</v>
      </c>
      <c r="D173" s="5" t="s">
        <v>46</v>
      </c>
      <c r="E173">
        <v>80</v>
      </c>
      <c r="F173" s="1">
        <v>3.2</v>
      </c>
      <c r="G173" s="1">
        <v>3.1</v>
      </c>
      <c r="H173" s="10">
        <f t="shared" si="2"/>
        <v>3.125E-2</v>
      </c>
    </row>
    <row r="174" spans="1:8" x14ac:dyDescent="0.25">
      <c r="A174" s="4">
        <v>45972</v>
      </c>
      <c r="B174" t="s">
        <v>35</v>
      </c>
      <c r="C174" t="str">
        <f>_xlfn.IFNA(VLOOKUP($B174,ref!$B$2:$C$34,2,FALSE),"NA")</f>
        <v>Misc</v>
      </c>
      <c r="D174" s="5" t="s">
        <v>7</v>
      </c>
      <c r="E174">
        <v>80</v>
      </c>
      <c r="F174" s="1">
        <v>1.35</v>
      </c>
      <c r="G174" s="1">
        <v>1.2</v>
      </c>
      <c r="H174" s="10">
        <f t="shared" si="2"/>
        <v>0.11111111111111116</v>
      </c>
    </row>
    <row r="175" spans="1:8" x14ac:dyDescent="0.25">
      <c r="A175" s="4">
        <v>45965</v>
      </c>
      <c r="B175" t="s">
        <v>35</v>
      </c>
      <c r="C175" t="str">
        <f>_xlfn.IFNA(VLOOKUP($B175,ref!$B$2:$C$34,2,FALSE),"NA")</f>
        <v>Misc</v>
      </c>
      <c r="D175" s="5" t="s">
        <v>7</v>
      </c>
      <c r="E175">
        <v>80</v>
      </c>
      <c r="F175" s="1">
        <v>1.3</v>
      </c>
      <c r="G175" s="1">
        <v>1.2</v>
      </c>
      <c r="H175" s="10">
        <f t="shared" si="2"/>
        <v>7.6923076923076983E-2</v>
      </c>
    </row>
    <row r="176" spans="1:8" x14ac:dyDescent="0.25">
      <c r="A176" s="4">
        <v>45965</v>
      </c>
      <c r="B176" t="s">
        <v>35</v>
      </c>
      <c r="C176" t="str">
        <f>_xlfn.IFNA(VLOOKUP($B176,ref!$B$2:$C$34,2,FALSE),"NA")</f>
        <v>Misc</v>
      </c>
      <c r="D176" s="5" t="s">
        <v>7</v>
      </c>
      <c r="E176">
        <v>80</v>
      </c>
      <c r="F176" s="1">
        <v>1.3</v>
      </c>
      <c r="G176" s="1">
        <v>1.2</v>
      </c>
      <c r="H176" s="10">
        <f t="shared" si="2"/>
        <v>7.6923076923076983E-2</v>
      </c>
    </row>
    <row r="177" spans="1:8" x14ac:dyDescent="0.25">
      <c r="A177" s="4">
        <v>45965</v>
      </c>
      <c r="B177" t="s">
        <v>35</v>
      </c>
      <c r="C177" t="str">
        <f>_xlfn.IFNA(VLOOKUP($B177,ref!$B$2:$C$34,2,FALSE),"NA")</f>
        <v>Misc</v>
      </c>
      <c r="D177" s="5" t="s">
        <v>7</v>
      </c>
      <c r="E177">
        <v>80</v>
      </c>
      <c r="F177" s="1">
        <v>1.3</v>
      </c>
      <c r="G177" s="1">
        <v>1.2</v>
      </c>
      <c r="H177" s="10">
        <f t="shared" si="2"/>
        <v>7.6923076923076983E-2</v>
      </c>
    </row>
    <row r="178" spans="1:8" x14ac:dyDescent="0.25">
      <c r="A178" s="4">
        <v>45965</v>
      </c>
      <c r="B178" t="s">
        <v>35</v>
      </c>
      <c r="C178" t="str">
        <f>_xlfn.IFNA(VLOOKUP($B178,ref!$B$2:$C$34,2,FALSE),"NA")</f>
        <v>Misc</v>
      </c>
      <c r="D178" s="5" t="s">
        <v>7</v>
      </c>
      <c r="E178">
        <v>80</v>
      </c>
      <c r="F178" s="1">
        <v>1.3</v>
      </c>
      <c r="G178" s="1">
        <v>1.2</v>
      </c>
      <c r="H178" s="10">
        <f t="shared" si="2"/>
        <v>7.6923076923076983E-2</v>
      </c>
    </row>
    <row r="179" spans="1:8" x14ac:dyDescent="0.25">
      <c r="A179" s="4">
        <v>45965</v>
      </c>
      <c r="B179" t="s">
        <v>35</v>
      </c>
      <c r="C179" t="str">
        <f>_xlfn.IFNA(VLOOKUP($B179,ref!$B$2:$C$34,2,FALSE),"NA")</f>
        <v>Misc</v>
      </c>
      <c r="D179" s="5" t="s">
        <v>7</v>
      </c>
      <c r="E179">
        <v>80</v>
      </c>
      <c r="F179" s="1">
        <v>1.3</v>
      </c>
      <c r="G179" s="1">
        <v>1.2</v>
      </c>
      <c r="H179" s="10">
        <f t="shared" si="2"/>
        <v>7.6923076923076983E-2</v>
      </c>
    </row>
    <row r="180" spans="1:8" x14ac:dyDescent="0.25">
      <c r="A180" s="4">
        <v>45965</v>
      </c>
      <c r="B180" t="s">
        <v>35</v>
      </c>
      <c r="C180" t="str">
        <f>_xlfn.IFNA(VLOOKUP($B180,ref!$B$2:$C$34,2,FALSE),"NA")</f>
        <v>Misc</v>
      </c>
      <c r="D180" s="5" t="s">
        <v>7</v>
      </c>
      <c r="E180">
        <v>80</v>
      </c>
      <c r="F180" s="1">
        <v>1.35</v>
      </c>
      <c r="G180" s="1">
        <v>1.2</v>
      </c>
      <c r="H180" s="10">
        <f t="shared" si="2"/>
        <v>0.11111111111111116</v>
      </c>
    </row>
    <row r="181" spans="1:8" x14ac:dyDescent="0.25">
      <c r="A181" s="4">
        <v>45964</v>
      </c>
      <c r="B181" t="s">
        <v>35</v>
      </c>
      <c r="C181" t="str">
        <f>_xlfn.IFNA(VLOOKUP($B181,ref!$B$2:$C$34,2,FALSE),"NA")</f>
        <v>Misc</v>
      </c>
      <c r="D181" s="5" t="s">
        <v>7</v>
      </c>
      <c r="E181">
        <v>80</v>
      </c>
      <c r="F181" s="1">
        <v>1.35</v>
      </c>
      <c r="G181" s="1">
        <v>1.2</v>
      </c>
      <c r="H181" s="10">
        <f t="shared" si="2"/>
        <v>0.11111111111111116</v>
      </c>
    </row>
    <row r="182" spans="1:8" x14ac:dyDescent="0.25">
      <c r="A182" s="4">
        <v>45939</v>
      </c>
      <c r="B182" t="s">
        <v>6</v>
      </c>
      <c r="C182" t="str">
        <f>_xlfn.IFNA(VLOOKUP($B182,ref!$B$2:$C$34,2,FALSE),"NA")</f>
        <v>3 Month</v>
      </c>
      <c r="D182" s="5">
        <v>5090</v>
      </c>
      <c r="E182">
        <v>80</v>
      </c>
      <c r="F182" s="1">
        <v>0.51</v>
      </c>
      <c r="G182" s="1">
        <v>0.46</v>
      </c>
      <c r="H182" s="10">
        <f t="shared" si="2"/>
        <v>9.8039215686274495E-2</v>
      </c>
    </row>
    <row r="183" spans="1:8" x14ac:dyDescent="0.25">
      <c r="A183" s="4">
        <v>45923</v>
      </c>
      <c r="B183" t="s">
        <v>17</v>
      </c>
      <c r="C183" t="str">
        <f>_xlfn.IFNA(VLOOKUP($B183,ref!$B$2:$C$34,2,FALSE),"NA")</f>
        <v>6 Month</v>
      </c>
      <c r="D183" s="5">
        <v>5090</v>
      </c>
      <c r="E183">
        <v>80</v>
      </c>
      <c r="F183" s="1">
        <v>0.5</v>
      </c>
      <c r="G183" s="1">
        <v>0.4</v>
      </c>
      <c r="H183" s="10">
        <f t="shared" si="2"/>
        <v>0.19999999999999996</v>
      </c>
    </row>
    <row r="184" spans="1:8" x14ac:dyDescent="0.25">
      <c r="A184" s="4">
        <v>45884</v>
      </c>
      <c r="B184" t="s">
        <v>14</v>
      </c>
      <c r="C184" t="str">
        <f>_xlfn.IFNA(VLOOKUP($B184,ref!$B$2:$C$34,2,FALSE),"NA")</f>
        <v>Spot</v>
      </c>
      <c r="D184" s="5" t="s">
        <v>7</v>
      </c>
      <c r="E184">
        <v>80</v>
      </c>
      <c r="F184" s="1">
        <v>1.25</v>
      </c>
      <c r="G184" s="1">
        <v>1.1499999999999999</v>
      </c>
      <c r="H184" s="10">
        <f t="shared" si="2"/>
        <v>8.0000000000000071E-2</v>
      </c>
    </row>
    <row r="185" spans="1:8" x14ac:dyDescent="0.25">
      <c r="A185" s="4">
        <v>45884</v>
      </c>
      <c r="B185" t="s">
        <v>14</v>
      </c>
      <c r="C185" t="str">
        <f>_xlfn.IFNA(VLOOKUP($B185,ref!$B$2:$C$34,2,FALSE),"NA")</f>
        <v>Spot</v>
      </c>
      <c r="D185" s="5" t="s">
        <v>7</v>
      </c>
      <c r="E185">
        <v>80</v>
      </c>
      <c r="F185" s="1">
        <v>1.25</v>
      </c>
      <c r="G185" s="1">
        <v>1.1499999999999999</v>
      </c>
      <c r="H185" s="10">
        <f t="shared" si="2"/>
        <v>8.0000000000000071E-2</v>
      </c>
    </row>
    <row r="186" spans="1:8" x14ac:dyDescent="0.25">
      <c r="A186" s="4">
        <v>45884</v>
      </c>
      <c r="B186" t="s">
        <v>14</v>
      </c>
      <c r="C186" t="str">
        <f>_xlfn.IFNA(VLOOKUP($B186,ref!$B$2:$C$34,2,FALSE),"NA")</f>
        <v>Spot</v>
      </c>
      <c r="D186" s="5" t="s">
        <v>7</v>
      </c>
      <c r="E186">
        <v>80</v>
      </c>
      <c r="F186" s="1">
        <v>1.25</v>
      </c>
      <c r="G186" s="1">
        <v>1.1499999999999999</v>
      </c>
      <c r="H186" s="10">
        <f t="shared" si="2"/>
        <v>8.0000000000000071E-2</v>
      </c>
    </row>
    <row r="187" spans="1:8" x14ac:dyDescent="0.25">
      <c r="A187" s="4">
        <v>45806</v>
      </c>
      <c r="B187" t="s">
        <v>35</v>
      </c>
      <c r="C187" t="str">
        <f>_xlfn.IFNA(VLOOKUP($B187,ref!$B$2:$C$34,2,FALSE),"NA")</f>
        <v>Misc</v>
      </c>
      <c r="D187" s="5" t="s">
        <v>7</v>
      </c>
      <c r="E187">
        <v>80</v>
      </c>
      <c r="F187" s="1">
        <v>2.5</v>
      </c>
      <c r="G187" s="1">
        <v>2.2000000000000002</v>
      </c>
      <c r="H187" s="10">
        <f t="shared" si="2"/>
        <v>0.11999999999999988</v>
      </c>
    </row>
    <row r="188" spans="1:8" x14ac:dyDescent="0.25">
      <c r="A188" s="4">
        <v>45802</v>
      </c>
      <c r="B188" t="s">
        <v>31</v>
      </c>
      <c r="C188" t="str">
        <f>_xlfn.IFNA(VLOOKUP($B188,ref!$B$2:$C$34,2,FALSE),"NA")</f>
        <v>1 Month</v>
      </c>
      <c r="D188" s="5" t="s">
        <v>18</v>
      </c>
      <c r="E188">
        <v>80</v>
      </c>
      <c r="F188" s="1">
        <v>0.93</v>
      </c>
      <c r="G188" s="1">
        <v>0.87</v>
      </c>
      <c r="H188" s="10">
        <f t="shared" si="2"/>
        <v>6.4516129032258118E-2</v>
      </c>
    </row>
    <row r="189" spans="1:8" x14ac:dyDescent="0.25">
      <c r="A189" s="4">
        <v>45776</v>
      </c>
      <c r="B189" t="s">
        <v>14</v>
      </c>
      <c r="C189" t="str">
        <f>_xlfn.IFNA(VLOOKUP($B189,ref!$B$2:$C$34,2,FALSE),"NA")</f>
        <v>Spot</v>
      </c>
      <c r="D189" s="5" t="s">
        <v>7</v>
      </c>
      <c r="E189">
        <v>80</v>
      </c>
      <c r="F189" s="1">
        <v>3.1</v>
      </c>
      <c r="G189" s="1">
        <v>2.7</v>
      </c>
      <c r="H189" s="10">
        <f t="shared" si="2"/>
        <v>0.12903225806451613</v>
      </c>
    </row>
    <row r="190" spans="1:8" x14ac:dyDescent="0.25">
      <c r="A190" s="4">
        <v>45713</v>
      </c>
      <c r="B190" t="s">
        <v>9</v>
      </c>
      <c r="C190" t="str">
        <f>_xlfn.IFNA(VLOOKUP($B190,ref!$B$2:$C$34,2,FALSE),"NA")</f>
        <v>12 Month</v>
      </c>
      <c r="D190" s="5" t="s">
        <v>18</v>
      </c>
      <c r="E190">
        <v>80</v>
      </c>
      <c r="F190" s="1">
        <v>0.93</v>
      </c>
      <c r="G190" s="1">
        <v>0.87</v>
      </c>
      <c r="H190" s="10">
        <f t="shared" si="2"/>
        <v>6.4516129032258118E-2</v>
      </c>
    </row>
    <row r="191" spans="1:8" x14ac:dyDescent="0.25">
      <c r="A191" s="4">
        <v>45713</v>
      </c>
      <c r="B191" t="s">
        <v>9</v>
      </c>
      <c r="C191" t="str">
        <f>_xlfn.IFNA(VLOOKUP($B191,ref!$B$2:$C$34,2,FALSE),"NA")</f>
        <v>12 Month</v>
      </c>
      <c r="D191" s="5" t="s">
        <v>18</v>
      </c>
      <c r="E191">
        <v>80</v>
      </c>
      <c r="F191" s="1">
        <v>0.93</v>
      </c>
      <c r="G191" s="1">
        <v>0.87</v>
      </c>
      <c r="H191" s="10">
        <f t="shared" si="2"/>
        <v>6.4516129032258118E-2</v>
      </c>
    </row>
    <row r="192" spans="1:8" x14ac:dyDescent="0.25">
      <c r="A192" s="4">
        <v>45713</v>
      </c>
      <c r="C192" t="str">
        <f>_xlfn.IFNA(VLOOKUP($B192,ref!$B$2:$C$34,2,FALSE),"NA")</f>
        <v>NA</v>
      </c>
      <c r="D192" s="5" t="s">
        <v>18</v>
      </c>
      <c r="E192">
        <v>80</v>
      </c>
      <c r="F192" s="1">
        <v>0.93</v>
      </c>
      <c r="G192" s="1">
        <v>0.87</v>
      </c>
      <c r="H192" s="10">
        <f t="shared" si="2"/>
        <v>6.4516129032258118E-2</v>
      </c>
    </row>
    <row r="193" spans="1:8" x14ac:dyDescent="0.25">
      <c r="A193" s="4">
        <v>45682</v>
      </c>
      <c r="B193" t="s">
        <v>9</v>
      </c>
      <c r="C193" t="str">
        <f>_xlfn.IFNA(VLOOKUP($B193,ref!$B$2:$C$34,2,FALSE),"NA")</f>
        <v>12 Month</v>
      </c>
      <c r="D193" s="5" t="s">
        <v>18</v>
      </c>
      <c r="E193">
        <v>80</v>
      </c>
      <c r="F193" s="1">
        <v>0.93</v>
      </c>
      <c r="G193" s="1">
        <v>0.87</v>
      </c>
      <c r="H193" s="10">
        <f t="shared" si="2"/>
        <v>6.4516129032258118E-2</v>
      </c>
    </row>
    <row r="194" spans="1:8" x14ac:dyDescent="0.25">
      <c r="A194" s="4">
        <v>46008</v>
      </c>
      <c r="B194" t="s">
        <v>31</v>
      </c>
      <c r="C194" t="str">
        <f>_xlfn.IFNA(VLOOKUP($B194,ref!$B$2:$C$34,2,FALSE),"NA")</f>
        <v>1 Month</v>
      </c>
      <c r="D194" s="5" t="s">
        <v>7</v>
      </c>
      <c r="E194">
        <v>79</v>
      </c>
      <c r="F194" s="1">
        <v>2.1</v>
      </c>
      <c r="G194" s="1">
        <v>1.8</v>
      </c>
      <c r="H194" s="10">
        <f t="shared" si="2"/>
        <v>0.1428571428571429</v>
      </c>
    </row>
    <row r="195" spans="1:8" x14ac:dyDescent="0.25">
      <c r="A195" s="4">
        <v>45805</v>
      </c>
      <c r="B195" t="s">
        <v>14</v>
      </c>
      <c r="C195" t="str">
        <f>_xlfn.IFNA(VLOOKUP($B195,ref!$B$2:$C$34,2,FALSE),"NA")</f>
        <v>Spot</v>
      </c>
      <c r="D195" s="5" t="s">
        <v>7</v>
      </c>
      <c r="E195">
        <v>72</v>
      </c>
      <c r="F195" s="1">
        <v>2.85</v>
      </c>
      <c r="G195" s="1">
        <v>2.6</v>
      </c>
      <c r="H195" s="10">
        <f t="shared" ref="H195:H258" si="3">1-(G195/F195)</f>
        <v>8.7719298245614086E-2</v>
      </c>
    </row>
    <row r="196" spans="1:8" x14ac:dyDescent="0.25">
      <c r="A196" s="4">
        <v>45781</v>
      </c>
      <c r="B196" t="s">
        <v>14</v>
      </c>
      <c r="C196" t="str">
        <f>_xlfn.IFNA(VLOOKUP($B196,ref!$B$2:$C$34,2,FALSE),"NA")</f>
        <v>Spot</v>
      </c>
      <c r="D196" s="5" t="s">
        <v>7</v>
      </c>
      <c r="E196">
        <v>72</v>
      </c>
      <c r="F196" s="1">
        <v>3.1</v>
      </c>
      <c r="G196" s="1">
        <v>2.8</v>
      </c>
      <c r="H196" s="10">
        <f t="shared" si="3"/>
        <v>9.6774193548387233E-2</v>
      </c>
    </row>
    <row r="197" spans="1:8" x14ac:dyDescent="0.25">
      <c r="A197" s="4">
        <v>45781</v>
      </c>
      <c r="B197" t="s">
        <v>14</v>
      </c>
      <c r="C197" t="str">
        <f>_xlfn.IFNA(VLOOKUP($B197,ref!$B$2:$C$34,2,FALSE),"NA")</f>
        <v>Spot</v>
      </c>
      <c r="D197" s="5" t="s">
        <v>7</v>
      </c>
      <c r="E197">
        <v>72</v>
      </c>
      <c r="F197" s="1">
        <v>3.1</v>
      </c>
      <c r="G197" s="1">
        <v>2.8</v>
      </c>
      <c r="H197" s="10">
        <f t="shared" si="3"/>
        <v>9.6774193548387233E-2</v>
      </c>
    </row>
    <row r="198" spans="1:8" x14ac:dyDescent="0.25">
      <c r="A198" s="4">
        <v>45781</v>
      </c>
      <c r="B198" t="s">
        <v>14</v>
      </c>
      <c r="C198" t="str">
        <f>_xlfn.IFNA(VLOOKUP($B198,ref!$B$2:$C$34,2,FALSE),"NA")</f>
        <v>Spot</v>
      </c>
      <c r="D198" s="5" t="s">
        <v>7</v>
      </c>
      <c r="E198">
        <v>72</v>
      </c>
      <c r="F198" s="1">
        <v>3.1</v>
      </c>
      <c r="G198" s="1">
        <v>2.8</v>
      </c>
      <c r="H198" s="10">
        <f t="shared" si="3"/>
        <v>9.6774193548387233E-2</v>
      </c>
    </row>
    <row r="199" spans="1:8" x14ac:dyDescent="0.25">
      <c r="A199" s="4">
        <v>45755</v>
      </c>
      <c r="B199" t="s">
        <v>14</v>
      </c>
      <c r="C199" t="str">
        <f>_xlfn.IFNA(VLOOKUP($B199,ref!$B$2:$C$34,2,FALSE),"NA")</f>
        <v>Spot</v>
      </c>
      <c r="D199" s="5" t="s">
        <v>7</v>
      </c>
      <c r="E199">
        <v>72</v>
      </c>
      <c r="F199" s="1">
        <v>3.1</v>
      </c>
      <c r="G199" s="1">
        <v>2.7</v>
      </c>
      <c r="H199" s="10">
        <f t="shared" si="3"/>
        <v>0.12903225806451613</v>
      </c>
    </row>
    <row r="200" spans="1:8" x14ac:dyDescent="0.25">
      <c r="A200" s="4">
        <v>45755</v>
      </c>
      <c r="B200" t="s">
        <v>14</v>
      </c>
      <c r="C200" t="str">
        <f>_xlfn.IFNA(VLOOKUP($B200,ref!$B$2:$C$34,2,FALSE),"NA")</f>
        <v>Spot</v>
      </c>
      <c r="D200" s="5" t="s">
        <v>7</v>
      </c>
      <c r="E200">
        <v>72</v>
      </c>
      <c r="F200" s="1">
        <v>3.1</v>
      </c>
      <c r="G200" s="1">
        <v>2.7</v>
      </c>
      <c r="H200" s="10">
        <f t="shared" si="3"/>
        <v>0.12903225806451613</v>
      </c>
    </row>
    <row r="201" spans="1:8" x14ac:dyDescent="0.25">
      <c r="A201" s="4">
        <v>45755</v>
      </c>
      <c r="B201" t="s">
        <v>14</v>
      </c>
      <c r="C201" t="str">
        <f>_xlfn.IFNA(VLOOKUP($B201,ref!$B$2:$C$34,2,FALSE),"NA")</f>
        <v>Spot</v>
      </c>
      <c r="D201" s="5" t="s">
        <v>7</v>
      </c>
      <c r="E201">
        <v>72</v>
      </c>
      <c r="F201" s="1">
        <v>3.1</v>
      </c>
      <c r="G201" s="1">
        <v>2.7</v>
      </c>
      <c r="H201" s="10">
        <f t="shared" si="3"/>
        <v>0.12903225806451613</v>
      </c>
    </row>
    <row r="202" spans="1:8" x14ac:dyDescent="0.25">
      <c r="A202" s="4">
        <v>45755</v>
      </c>
      <c r="B202" t="s">
        <v>14</v>
      </c>
      <c r="C202" t="str">
        <f>_xlfn.IFNA(VLOOKUP($B202,ref!$B$2:$C$34,2,FALSE),"NA")</f>
        <v>Spot</v>
      </c>
      <c r="D202" s="5" t="s">
        <v>7</v>
      </c>
      <c r="E202">
        <v>72</v>
      </c>
      <c r="F202" s="1">
        <v>3.1</v>
      </c>
      <c r="G202" s="1">
        <v>2.7</v>
      </c>
      <c r="H202" s="10">
        <f t="shared" si="3"/>
        <v>0.12903225806451613</v>
      </c>
    </row>
    <row r="203" spans="1:8" x14ac:dyDescent="0.25">
      <c r="A203" s="4">
        <v>45755</v>
      </c>
      <c r="B203" t="s">
        <v>14</v>
      </c>
      <c r="C203" t="str">
        <f>_xlfn.IFNA(VLOOKUP($B203,ref!$B$2:$C$34,2,FALSE),"NA")</f>
        <v>Spot</v>
      </c>
      <c r="D203" s="5" t="s">
        <v>7</v>
      </c>
      <c r="E203">
        <v>72</v>
      </c>
      <c r="F203" s="1">
        <v>3.1</v>
      </c>
      <c r="G203" s="1">
        <v>2.7</v>
      </c>
      <c r="H203" s="10">
        <f t="shared" si="3"/>
        <v>0.12903225806451613</v>
      </c>
    </row>
    <row r="204" spans="1:8" x14ac:dyDescent="0.25">
      <c r="A204" s="4">
        <v>45755</v>
      </c>
      <c r="B204" t="s">
        <v>26</v>
      </c>
      <c r="C204" t="str">
        <f>_xlfn.IFNA(VLOOKUP($B204,ref!$B$2:$C$34,2,FALSE),"NA")</f>
        <v>Spot</v>
      </c>
      <c r="D204" s="5" t="s">
        <v>7</v>
      </c>
      <c r="E204">
        <v>72</v>
      </c>
      <c r="F204" s="1">
        <v>2.5</v>
      </c>
      <c r="G204" s="1">
        <v>2.1</v>
      </c>
      <c r="H204" s="10">
        <f t="shared" si="3"/>
        <v>0.15999999999999992</v>
      </c>
    </row>
    <row r="205" spans="1:8" x14ac:dyDescent="0.25">
      <c r="A205" s="4">
        <v>45739</v>
      </c>
      <c r="B205" t="s">
        <v>14</v>
      </c>
      <c r="C205" t="str">
        <f>_xlfn.IFNA(VLOOKUP($B205,ref!$B$2:$C$34,2,FALSE),"NA")</f>
        <v>Spot</v>
      </c>
      <c r="D205" s="5" t="s">
        <v>7</v>
      </c>
      <c r="E205">
        <v>72</v>
      </c>
      <c r="F205" s="1">
        <v>3.1</v>
      </c>
      <c r="G205" s="1">
        <v>2.7</v>
      </c>
      <c r="H205" s="10">
        <f t="shared" si="3"/>
        <v>0.12903225806451613</v>
      </c>
    </row>
    <row r="206" spans="1:8" x14ac:dyDescent="0.25">
      <c r="A206" s="4">
        <v>45739</v>
      </c>
      <c r="B206" t="s">
        <v>14</v>
      </c>
      <c r="C206" t="str">
        <f>_xlfn.IFNA(VLOOKUP($B206,ref!$B$2:$C$34,2,FALSE),"NA")</f>
        <v>Spot</v>
      </c>
      <c r="D206" s="5" t="s">
        <v>7</v>
      </c>
      <c r="E206">
        <v>72</v>
      </c>
      <c r="F206" s="1">
        <v>3.1</v>
      </c>
      <c r="G206" s="1">
        <v>2.7</v>
      </c>
      <c r="H206" s="10">
        <f t="shared" si="3"/>
        <v>0.12903225806451613</v>
      </c>
    </row>
    <row r="207" spans="1:8" x14ac:dyDescent="0.25">
      <c r="A207" s="4">
        <v>45714</v>
      </c>
      <c r="B207" t="s">
        <v>14</v>
      </c>
      <c r="C207" t="str">
        <f>_xlfn.IFNA(VLOOKUP($B207,ref!$B$2:$C$34,2,FALSE),"NA")</f>
        <v>Spot</v>
      </c>
      <c r="D207" s="5" t="s">
        <v>7</v>
      </c>
      <c r="E207">
        <v>72</v>
      </c>
      <c r="F207" s="1">
        <v>3.1</v>
      </c>
      <c r="G207" s="1">
        <v>2.7</v>
      </c>
      <c r="H207" s="10">
        <f t="shared" si="3"/>
        <v>0.12903225806451613</v>
      </c>
    </row>
    <row r="208" spans="1:8" x14ac:dyDescent="0.25">
      <c r="A208" s="4">
        <v>45714</v>
      </c>
      <c r="B208" t="s">
        <v>14</v>
      </c>
      <c r="C208" t="str">
        <f>_xlfn.IFNA(VLOOKUP($B208,ref!$B$2:$C$34,2,FALSE),"NA")</f>
        <v>Spot</v>
      </c>
      <c r="D208" s="5" t="s">
        <v>7</v>
      </c>
      <c r="E208">
        <v>72</v>
      </c>
      <c r="F208" s="1">
        <v>3.1</v>
      </c>
      <c r="G208" s="1">
        <v>2.7</v>
      </c>
      <c r="H208" s="10">
        <f t="shared" si="3"/>
        <v>0.12903225806451613</v>
      </c>
    </row>
    <row r="209" spans="1:8" x14ac:dyDescent="0.25">
      <c r="A209" s="4">
        <v>45714</v>
      </c>
      <c r="B209" t="s">
        <v>14</v>
      </c>
      <c r="C209" t="str">
        <f>_xlfn.IFNA(VLOOKUP($B209,ref!$B$2:$C$34,2,FALSE),"NA")</f>
        <v>Spot</v>
      </c>
      <c r="D209" s="5" t="s">
        <v>7</v>
      </c>
      <c r="E209">
        <v>72</v>
      </c>
      <c r="F209" s="1">
        <v>2.95</v>
      </c>
      <c r="G209" s="1">
        <v>2.5</v>
      </c>
      <c r="H209" s="10">
        <f t="shared" si="3"/>
        <v>0.15254237288135597</v>
      </c>
    </row>
    <row r="210" spans="1:8" x14ac:dyDescent="0.25">
      <c r="A210" s="4">
        <v>45713</v>
      </c>
      <c r="B210" t="s">
        <v>24</v>
      </c>
      <c r="C210" t="str">
        <f>_xlfn.IFNA(VLOOKUP($B210,ref!$B$2:$C$34,2,FALSE),"NA")</f>
        <v>Misc</v>
      </c>
      <c r="D210" s="5" t="s">
        <v>7</v>
      </c>
      <c r="E210">
        <v>72</v>
      </c>
      <c r="F210" s="1">
        <v>2.95</v>
      </c>
      <c r="G210" s="1">
        <v>2.5</v>
      </c>
      <c r="H210" s="10">
        <f t="shared" si="3"/>
        <v>0.15254237288135597</v>
      </c>
    </row>
    <row r="211" spans="1:8" x14ac:dyDescent="0.25">
      <c r="A211" s="4">
        <v>45711</v>
      </c>
      <c r="B211" t="s">
        <v>14</v>
      </c>
      <c r="C211" t="str">
        <f>_xlfn.IFNA(VLOOKUP($B211,ref!$B$2:$C$34,2,FALSE),"NA")</f>
        <v>Spot</v>
      </c>
      <c r="D211" s="5" t="s">
        <v>7</v>
      </c>
      <c r="E211">
        <v>72</v>
      </c>
      <c r="F211" s="1">
        <v>2.5</v>
      </c>
      <c r="G211" s="1">
        <v>2.1</v>
      </c>
      <c r="H211" s="10">
        <f t="shared" si="3"/>
        <v>0.15999999999999992</v>
      </c>
    </row>
    <row r="212" spans="1:8" x14ac:dyDescent="0.25">
      <c r="A212" s="4">
        <v>45979</v>
      </c>
      <c r="B212" t="s">
        <v>27</v>
      </c>
      <c r="C212" t="str">
        <f>_xlfn.IFNA(VLOOKUP($B212,ref!$B$2:$C$34,2,FALSE),"NA")</f>
        <v>Misc</v>
      </c>
      <c r="D212" s="5" t="s">
        <v>7</v>
      </c>
      <c r="E212">
        <v>64</v>
      </c>
      <c r="F212" s="1">
        <v>1.46</v>
      </c>
      <c r="G212" s="1">
        <v>1.25</v>
      </c>
      <c r="H212" s="10">
        <f t="shared" si="3"/>
        <v>0.14383561643835618</v>
      </c>
    </row>
    <row r="213" spans="1:8" x14ac:dyDescent="0.25">
      <c r="A213" s="4">
        <v>45979</v>
      </c>
      <c r="B213" t="s">
        <v>27</v>
      </c>
      <c r="C213" t="str">
        <f>_xlfn.IFNA(VLOOKUP($B213,ref!$B$2:$C$34,2,FALSE),"NA")</f>
        <v>Misc</v>
      </c>
      <c r="D213" s="5" t="s">
        <v>7</v>
      </c>
      <c r="E213">
        <v>64</v>
      </c>
      <c r="F213" s="1">
        <v>1.46</v>
      </c>
      <c r="G213" s="1">
        <v>1.25</v>
      </c>
      <c r="H213" s="10">
        <f t="shared" si="3"/>
        <v>0.14383561643835618</v>
      </c>
    </row>
    <row r="214" spans="1:8" x14ac:dyDescent="0.25">
      <c r="A214" s="4">
        <v>45979</v>
      </c>
      <c r="B214" t="s">
        <v>27</v>
      </c>
      <c r="C214" t="str">
        <f>_xlfn.IFNA(VLOOKUP($B214,ref!$B$2:$C$34,2,FALSE),"NA")</f>
        <v>Misc</v>
      </c>
      <c r="D214" s="5" t="s">
        <v>7</v>
      </c>
      <c r="E214">
        <v>64</v>
      </c>
      <c r="F214" s="1">
        <v>1.46</v>
      </c>
      <c r="G214" s="1">
        <v>1.25</v>
      </c>
      <c r="H214" s="10">
        <f t="shared" si="3"/>
        <v>0.14383561643835618</v>
      </c>
    </row>
    <row r="215" spans="1:8" x14ac:dyDescent="0.25">
      <c r="A215" s="4">
        <v>45979</v>
      </c>
      <c r="B215" t="s">
        <v>27</v>
      </c>
      <c r="C215" t="str">
        <f>_xlfn.IFNA(VLOOKUP($B215,ref!$B$2:$C$34,2,FALSE),"NA")</f>
        <v>Misc</v>
      </c>
      <c r="D215" s="5" t="s">
        <v>7</v>
      </c>
      <c r="E215">
        <v>64</v>
      </c>
      <c r="F215" s="1">
        <v>1.46</v>
      </c>
      <c r="G215" s="1">
        <v>1.25</v>
      </c>
      <c r="H215" s="10">
        <f t="shared" si="3"/>
        <v>0.14383561643835618</v>
      </c>
    </row>
    <row r="216" spans="1:8" x14ac:dyDescent="0.25">
      <c r="A216" s="4">
        <v>45979</v>
      </c>
      <c r="B216" t="s">
        <v>27</v>
      </c>
      <c r="C216" t="str">
        <f>_xlfn.IFNA(VLOOKUP($B216,ref!$B$2:$C$34,2,FALSE),"NA")</f>
        <v>Misc</v>
      </c>
      <c r="D216" s="5" t="s">
        <v>7</v>
      </c>
      <c r="E216">
        <v>64</v>
      </c>
      <c r="F216" s="1">
        <v>1.46</v>
      </c>
      <c r="G216" s="1">
        <v>1.25</v>
      </c>
      <c r="H216" s="10">
        <f t="shared" si="3"/>
        <v>0.14383561643835618</v>
      </c>
    </row>
    <row r="217" spans="1:8" x14ac:dyDescent="0.25">
      <c r="A217" s="4">
        <v>45979</v>
      </c>
      <c r="B217" t="s">
        <v>27</v>
      </c>
      <c r="C217" t="str">
        <f>_xlfn.IFNA(VLOOKUP($B217,ref!$B$2:$C$34,2,FALSE),"NA")</f>
        <v>Misc</v>
      </c>
      <c r="D217" s="5" t="s">
        <v>7</v>
      </c>
      <c r="E217">
        <v>64</v>
      </c>
      <c r="F217" s="1">
        <v>1.46</v>
      </c>
      <c r="G217" s="1">
        <v>1.25</v>
      </c>
      <c r="H217" s="10">
        <f t="shared" si="3"/>
        <v>0.14383561643835618</v>
      </c>
    </row>
    <row r="218" spans="1:8" x14ac:dyDescent="0.25">
      <c r="A218" s="4">
        <v>45901</v>
      </c>
      <c r="B218" t="s">
        <v>31</v>
      </c>
      <c r="C218" t="str">
        <f>_xlfn.IFNA(VLOOKUP($B218,ref!$B$2:$C$34,2,FALSE),"NA")</f>
        <v>1 Month</v>
      </c>
      <c r="D218" s="5" t="s">
        <v>10</v>
      </c>
      <c r="E218">
        <v>64</v>
      </c>
      <c r="F218" s="1">
        <v>1.65</v>
      </c>
      <c r="G218" s="1">
        <v>1.48</v>
      </c>
      <c r="H218" s="10">
        <f t="shared" si="3"/>
        <v>0.10303030303030303</v>
      </c>
    </row>
    <row r="219" spans="1:8" x14ac:dyDescent="0.25">
      <c r="A219" s="4">
        <v>45831</v>
      </c>
      <c r="B219" t="s">
        <v>6</v>
      </c>
      <c r="C219" t="str">
        <f>_xlfn.IFNA(VLOOKUP($B219,ref!$B$2:$C$34,2,FALSE),"NA")</f>
        <v>3 Month</v>
      </c>
      <c r="D219" s="5" t="s">
        <v>7</v>
      </c>
      <c r="E219">
        <v>64</v>
      </c>
      <c r="F219" s="1">
        <v>2.8</v>
      </c>
      <c r="G219" s="1">
        <v>2.5</v>
      </c>
      <c r="H219" s="10">
        <f t="shared" si="3"/>
        <v>0.1071428571428571</v>
      </c>
    </row>
    <row r="220" spans="1:8" x14ac:dyDescent="0.25">
      <c r="A220" s="4">
        <v>45821</v>
      </c>
      <c r="B220" t="s">
        <v>14</v>
      </c>
      <c r="C220" t="str">
        <f>_xlfn.IFNA(VLOOKUP($B220,ref!$B$2:$C$34,2,FALSE),"NA")</f>
        <v>Spot</v>
      </c>
      <c r="D220" s="5" t="s">
        <v>7</v>
      </c>
      <c r="E220">
        <v>64</v>
      </c>
      <c r="F220" s="1">
        <v>1.85</v>
      </c>
      <c r="G220" s="1">
        <v>1.5</v>
      </c>
      <c r="H220" s="10">
        <f t="shared" si="3"/>
        <v>0.18918918918918926</v>
      </c>
    </row>
    <row r="221" spans="1:8" x14ac:dyDescent="0.25">
      <c r="A221" s="4">
        <v>45789</v>
      </c>
      <c r="B221" t="s">
        <v>31</v>
      </c>
      <c r="C221" t="str">
        <f>_xlfn.IFNA(VLOOKUP($B221,ref!$B$2:$C$34,2,FALSE),"NA")</f>
        <v>1 Month</v>
      </c>
      <c r="E221">
        <v>64</v>
      </c>
      <c r="F221" s="1">
        <v>1.85</v>
      </c>
      <c r="G221" s="1">
        <v>1.62</v>
      </c>
      <c r="H221" s="10">
        <f t="shared" si="3"/>
        <v>0.12432432432432428</v>
      </c>
    </row>
    <row r="222" spans="1:8" x14ac:dyDescent="0.25">
      <c r="A222" s="4">
        <v>45786</v>
      </c>
      <c r="B222" t="s">
        <v>14</v>
      </c>
      <c r="C222" t="str">
        <f>_xlfn.IFNA(VLOOKUP($B222,ref!$B$2:$C$34,2,FALSE),"NA")</f>
        <v>Spot</v>
      </c>
      <c r="D222" s="5" t="s">
        <v>7</v>
      </c>
      <c r="E222">
        <v>64</v>
      </c>
      <c r="F222" s="1">
        <v>2.2999999999999998</v>
      </c>
      <c r="G222" s="1">
        <v>1.5</v>
      </c>
      <c r="H222" s="10">
        <f t="shared" si="3"/>
        <v>0.34782608695652173</v>
      </c>
    </row>
    <row r="223" spans="1:8" x14ac:dyDescent="0.25">
      <c r="A223" s="4">
        <v>45786</v>
      </c>
      <c r="B223" t="s">
        <v>14</v>
      </c>
      <c r="C223" t="str">
        <f>_xlfn.IFNA(VLOOKUP($B223,ref!$B$2:$C$34,2,FALSE),"NA")</f>
        <v>Spot</v>
      </c>
      <c r="D223" s="5" t="s">
        <v>7</v>
      </c>
      <c r="E223">
        <v>64</v>
      </c>
      <c r="F223" s="1">
        <v>2.2999999999999998</v>
      </c>
      <c r="G223" s="1">
        <v>1.5</v>
      </c>
      <c r="H223" s="10">
        <f t="shared" si="3"/>
        <v>0.34782608695652173</v>
      </c>
    </row>
    <row r="224" spans="1:8" x14ac:dyDescent="0.25">
      <c r="A224" s="4">
        <v>45786</v>
      </c>
      <c r="B224" t="s">
        <v>14</v>
      </c>
      <c r="C224" t="str">
        <f>_xlfn.IFNA(VLOOKUP($B224,ref!$B$2:$C$34,2,FALSE),"NA")</f>
        <v>Spot</v>
      </c>
      <c r="D224" s="5" t="s">
        <v>7</v>
      </c>
      <c r="E224">
        <v>64</v>
      </c>
      <c r="F224" s="1">
        <v>2.2999999999999998</v>
      </c>
      <c r="G224" s="1">
        <v>1.5</v>
      </c>
      <c r="H224" s="10">
        <f t="shared" si="3"/>
        <v>0.34782608695652173</v>
      </c>
    </row>
    <row r="225" spans="1:8" x14ac:dyDescent="0.25">
      <c r="A225" s="4">
        <v>45786</v>
      </c>
      <c r="B225" t="s">
        <v>14</v>
      </c>
      <c r="C225" t="str">
        <f>_xlfn.IFNA(VLOOKUP($B225,ref!$B$2:$C$34,2,FALSE),"NA")</f>
        <v>Spot</v>
      </c>
      <c r="D225" s="5" t="s">
        <v>7</v>
      </c>
      <c r="E225">
        <v>64</v>
      </c>
      <c r="F225" s="1">
        <v>2.2999999999999998</v>
      </c>
      <c r="G225" s="1">
        <v>1.5</v>
      </c>
      <c r="H225" s="10">
        <f t="shared" si="3"/>
        <v>0.34782608695652173</v>
      </c>
    </row>
    <row r="226" spans="1:8" x14ac:dyDescent="0.25">
      <c r="A226" s="4">
        <v>45786</v>
      </c>
      <c r="B226" t="s">
        <v>14</v>
      </c>
      <c r="C226" t="str">
        <f>_xlfn.IFNA(VLOOKUP($B226,ref!$B$2:$C$34,2,FALSE),"NA")</f>
        <v>Spot</v>
      </c>
      <c r="D226" s="5" t="s">
        <v>7</v>
      </c>
      <c r="E226">
        <v>64</v>
      </c>
      <c r="F226" s="1">
        <v>2.5499999999999998</v>
      </c>
      <c r="G226" s="1">
        <v>1.5</v>
      </c>
      <c r="H226" s="10">
        <f t="shared" si="3"/>
        <v>0.41176470588235292</v>
      </c>
    </row>
    <row r="227" spans="1:8" x14ac:dyDescent="0.25">
      <c r="A227" s="4">
        <v>45778</v>
      </c>
      <c r="B227" t="s">
        <v>6</v>
      </c>
      <c r="C227" t="str">
        <f>_xlfn.IFNA(VLOOKUP($B227,ref!$B$2:$C$34,2,FALSE),"NA")</f>
        <v>3 Month</v>
      </c>
      <c r="D227" s="5" t="s">
        <v>7</v>
      </c>
      <c r="E227">
        <v>64</v>
      </c>
      <c r="F227" s="1">
        <v>2.85</v>
      </c>
      <c r="G227" s="1">
        <v>2.5</v>
      </c>
      <c r="H227" s="10">
        <f t="shared" si="3"/>
        <v>0.1228070175438597</v>
      </c>
    </row>
    <row r="228" spans="1:8" x14ac:dyDescent="0.25">
      <c r="A228" s="4">
        <v>45778</v>
      </c>
      <c r="B228" t="s">
        <v>6</v>
      </c>
      <c r="C228" t="str">
        <f>_xlfn.IFNA(VLOOKUP($B228,ref!$B$2:$C$34,2,FALSE),"NA")</f>
        <v>3 Month</v>
      </c>
      <c r="D228" s="5" t="s">
        <v>7</v>
      </c>
      <c r="E228">
        <v>64</v>
      </c>
      <c r="F228" s="1">
        <v>2.85</v>
      </c>
      <c r="G228" s="1">
        <v>2.5</v>
      </c>
      <c r="H228" s="10">
        <f t="shared" si="3"/>
        <v>0.1228070175438597</v>
      </c>
    </row>
    <row r="229" spans="1:8" x14ac:dyDescent="0.25">
      <c r="A229" s="4">
        <v>45778</v>
      </c>
      <c r="B229" t="s">
        <v>6</v>
      </c>
      <c r="C229" t="str">
        <f>_xlfn.IFNA(VLOOKUP($B229,ref!$B$2:$C$34,2,FALSE),"NA")</f>
        <v>3 Month</v>
      </c>
      <c r="D229" s="5" t="s">
        <v>7</v>
      </c>
      <c r="E229">
        <v>64</v>
      </c>
      <c r="F229" s="1">
        <v>2.85</v>
      </c>
      <c r="G229" s="1">
        <v>2.5</v>
      </c>
      <c r="H229" s="10">
        <f t="shared" si="3"/>
        <v>0.1228070175438597</v>
      </c>
    </row>
    <row r="230" spans="1:8" x14ac:dyDescent="0.25">
      <c r="A230" s="4">
        <v>45778</v>
      </c>
      <c r="B230" t="s">
        <v>6</v>
      </c>
      <c r="C230" t="str">
        <f>_xlfn.IFNA(VLOOKUP($B230,ref!$B$2:$C$34,2,FALSE),"NA")</f>
        <v>3 Month</v>
      </c>
      <c r="D230" s="5" t="s">
        <v>7</v>
      </c>
      <c r="E230">
        <v>64</v>
      </c>
      <c r="F230" s="1">
        <v>2.85</v>
      </c>
      <c r="G230" s="1">
        <v>2.5</v>
      </c>
      <c r="H230" s="10">
        <f t="shared" si="3"/>
        <v>0.1228070175438597</v>
      </c>
    </row>
    <row r="231" spans="1:8" x14ac:dyDescent="0.25">
      <c r="A231" s="4">
        <v>45778</v>
      </c>
      <c r="B231" t="s">
        <v>6</v>
      </c>
      <c r="C231" t="str">
        <f>_xlfn.IFNA(VLOOKUP($B231,ref!$B$2:$C$34,2,FALSE),"NA")</f>
        <v>3 Month</v>
      </c>
      <c r="D231" s="5" t="s">
        <v>7</v>
      </c>
      <c r="E231">
        <v>64</v>
      </c>
      <c r="F231" s="1">
        <v>2.85</v>
      </c>
      <c r="G231" s="1">
        <v>2.5</v>
      </c>
      <c r="H231" s="10">
        <f t="shared" si="3"/>
        <v>0.1228070175438597</v>
      </c>
    </row>
    <row r="232" spans="1:8" x14ac:dyDescent="0.25">
      <c r="A232" s="4">
        <v>45778</v>
      </c>
      <c r="B232" t="s">
        <v>6</v>
      </c>
      <c r="C232" t="str">
        <f>_xlfn.IFNA(VLOOKUP($B232,ref!$B$2:$C$34,2,FALSE),"NA")</f>
        <v>3 Month</v>
      </c>
      <c r="D232" s="5" t="s">
        <v>7</v>
      </c>
      <c r="E232">
        <v>64</v>
      </c>
      <c r="F232" s="1">
        <v>2.85</v>
      </c>
      <c r="G232" s="1">
        <v>2.5</v>
      </c>
      <c r="H232" s="10">
        <f t="shared" si="3"/>
        <v>0.1228070175438597</v>
      </c>
    </row>
    <row r="233" spans="1:8" x14ac:dyDescent="0.25">
      <c r="A233" s="4">
        <v>45778</v>
      </c>
      <c r="B233" t="s">
        <v>6</v>
      </c>
      <c r="C233" t="str">
        <f>_xlfn.IFNA(VLOOKUP($B233,ref!$B$2:$C$34,2,FALSE),"NA")</f>
        <v>3 Month</v>
      </c>
      <c r="D233" s="5" t="s">
        <v>7</v>
      </c>
      <c r="E233">
        <v>64</v>
      </c>
      <c r="F233" s="1">
        <v>2.85</v>
      </c>
      <c r="G233" s="1">
        <v>2.5</v>
      </c>
      <c r="H233" s="10">
        <f t="shared" si="3"/>
        <v>0.1228070175438597</v>
      </c>
    </row>
    <row r="234" spans="1:8" x14ac:dyDescent="0.25">
      <c r="A234" s="4">
        <v>45778</v>
      </c>
      <c r="B234" t="s">
        <v>6</v>
      </c>
      <c r="C234" t="str">
        <f>_xlfn.IFNA(VLOOKUP($B234,ref!$B$2:$C$34,2,FALSE),"NA")</f>
        <v>3 Month</v>
      </c>
      <c r="D234" s="5" t="s">
        <v>7</v>
      </c>
      <c r="E234">
        <v>64</v>
      </c>
      <c r="F234" s="1">
        <v>2.85</v>
      </c>
      <c r="G234" s="1">
        <v>2.5</v>
      </c>
      <c r="H234" s="10">
        <f t="shared" si="3"/>
        <v>0.1228070175438597</v>
      </c>
    </row>
    <row r="235" spans="1:8" x14ac:dyDescent="0.25">
      <c r="A235" s="4">
        <v>45770</v>
      </c>
      <c r="B235" t="s">
        <v>6</v>
      </c>
      <c r="C235" t="str">
        <f>_xlfn.IFNA(VLOOKUP($B235,ref!$B$2:$C$34,2,FALSE),"NA")</f>
        <v>3 Month</v>
      </c>
      <c r="D235" s="5" t="s">
        <v>7</v>
      </c>
      <c r="E235">
        <v>64</v>
      </c>
      <c r="F235" s="1">
        <v>2.8</v>
      </c>
      <c r="G235" s="1">
        <v>2.5</v>
      </c>
      <c r="H235" s="10">
        <f t="shared" si="3"/>
        <v>0.1071428571428571</v>
      </c>
    </row>
    <row r="236" spans="1:8" x14ac:dyDescent="0.25">
      <c r="A236" s="4">
        <v>45770</v>
      </c>
      <c r="B236" t="s">
        <v>6</v>
      </c>
      <c r="C236" t="str">
        <f>_xlfn.IFNA(VLOOKUP($B236,ref!$B$2:$C$34,2,FALSE),"NA")</f>
        <v>3 Month</v>
      </c>
      <c r="D236" s="5" t="s">
        <v>7</v>
      </c>
      <c r="E236">
        <v>64</v>
      </c>
      <c r="F236" s="1">
        <v>2.8</v>
      </c>
      <c r="G236" s="1">
        <v>2.5</v>
      </c>
      <c r="H236" s="10">
        <f t="shared" si="3"/>
        <v>0.1071428571428571</v>
      </c>
    </row>
    <row r="237" spans="1:8" x14ac:dyDescent="0.25">
      <c r="A237" s="4">
        <v>45700</v>
      </c>
      <c r="B237" t="s">
        <v>9</v>
      </c>
      <c r="C237" t="str">
        <f>_xlfn.IFNA(VLOOKUP($B237,ref!$B$2:$C$34,2,FALSE),"NA")</f>
        <v>12 Month</v>
      </c>
      <c r="D237" s="5" t="s">
        <v>13</v>
      </c>
      <c r="E237">
        <v>64</v>
      </c>
      <c r="F237" s="1">
        <v>1.85</v>
      </c>
      <c r="G237" s="1">
        <v>1.62</v>
      </c>
      <c r="H237" s="10">
        <f t="shared" si="3"/>
        <v>0.12432432432432428</v>
      </c>
    </row>
    <row r="238" spans="1:8" x14ac:dyDescent="0.25">
      <c r="A238" s="4">
        <v>45700</v>
      </c>
      <c r="B238" t="s">
        <v>9</v>
      </c>
      <c r="C238" t="str">
        <f>_xlfn.IFNA(VLOOKUP($B238,ref!$B$2:$C$34,2,FALSE),"NA")</f>
        <v>12 Month</v>
      </c>
      <c r="D238" s="5" t="s">
        <v>13</v>
      </c>
      <c r="E238">
        <v>64</v>
      </c>
      <c r="F238" s="1">
        <v>1.85</v>
      </c>
      <c r="G238" s="1">
        <v>1.62</v>
      </c>
      <c r="H238" s="10">
        <f t="shared" si="3"/>
        <v>0.12432432432432428</v>
      </c>
    </row>
    <row r="239" spans="1:8" x14ac:dyDescent="0.25">
      <c r="A239" s="4">
        <v>45669</v>
      </c>
      <c r="B239" t="s">
        <v>9</v>
      </c>
      <c r="C239" t="str">
        <f>_xlfn.IFNA(VLOOKUP($B239,ref!$B$2:$C$34,2,FALSE),"NA")</f>
        <v>12 Month</v>
      </c>
      <c r="D239" s="5" t="s">
        <v>13</v>
      </c>
      <c r="E239">
        <v>64</v>
      </c>
      <c r="F239" s="1">
        <v>1.85</v>
      </c>
      <c r="G239" s="1">
        <v>1.62</v>
      </c>
      <c r="H239" s="10">
        <f t="shared" si="3"/>
        <v>0.12432432432432428</v>
      </c>
    </row>
    <row r="240" spans="1:8" x14ac:dyDescent="0.25">
      <c r="A240" s="4">
        <v>45760</v>
      </c>
      <c r="C240" t="str">
        <f>_xlfn.IFNA(VLOOKUP($B240,ref!$B$2:$C$34,2,FALSE),"NA")</f>
        <v>NA</v>
      </c>
      <c r="D240" s="5" t="s">
        <v>16</v>
      </c>
      <c r="E240">
        <v>60</v>
      </c>
      <c r="F240" s="1">
        <v>80</v>
      </c>
      <c r="G240" s="1">
        <v>50</v>
      </c>
      <c r="H240" s="10">
        <f t="shared" si="3"/>
        <v>0.375</v>
      </c>
    </row>
    <row r="241" spans="1:8" x14ac:dyDescent="0.25">
      <c r="A241" s="4">
        <v>45760</v>
      </c>
      <c r="C241" t="str">
        <f>_xlfn.IFNA(VLOOKUP($B241,ref!$B$2:$C$34,2,FALSE),"NA")</f>
        <v>NA</v>
      </c>
      <c r="D241" s="5" t="s">
        <v>16</v>
      </c>
      <c r="E241">
        <v>60</v>
      </c>
      <c r="F241" s="1">
        <v>80</v>
      </c>
      <c r="G241" s="1">
        <v>50</v>
      </c>
      <c r="H241" s="10">
        <f t="shared" si="3"/>
        <v>0.375</v>
      </c>
    </row>
    <row r="242" spans="1:8" x14ac:dyDescent="0.25">
      <c r="A242" s="4">
        <v>45760</v>
      </c>
      <c r="C242" t="str">
        <f>_xlfn.IFNA(VLOOKUP($B242,ref!$B$2:$C$34,2,FALSE),"NA")</f>
        <v>NA</v>
      </c>
      <c r="D242" s="5" t="s">
        <v>16</v>
      </c>
      <c r="E242">
        <v>60</v>
      </c>
      <c r="F242" s="1">
        <v>80</v>
      </c>
      <c r="G242" s="1">
        <v>50</v>
      </c>
      <c r="H242" s="10">
        <f t="shared" si="3"/>
        <v>0.375</v>
      </c>
    </row>
    <row r="243" spans="1:8" x14ac:dyDescent="0.25">
      <c r="A243" s="4">
        <v>45670</v>
      </c>
      <c r="C243" t="str">
        <f>_xlfn.IFNA(VLOOKUP($B243,ref!$B$2:$C$34,2,FALSE),"NA")</f>
        <v>NA</v>
      </c>
      <c r="D243" s="5" t="s">
        <v>16</v>
      </c>
      <c r="E243">
        <v>60</v>
      </c>
      <c r="F243" s="1">
        <v>80</v>
      </c>
      <c r="G243" s="1">
        <v>50</v>
      </c>
      <c r="H243" s="10">
        <f t="shared" si="3"/>
        <v>0.375</v>
      </c>
    </row>
    <row r="244" spans="1:8" x14ac:dyDescent="0.25">
      <c r="A244" s="4">
        <v>45670</v>
      </c>
      <c r="C244" t="str">
        <f>_xlfn.IFNA(VLOOKUP($B244,ref!$B$2:$C$34,2,FALSE),"NA")</f>
        <v>NA</v>
      </c>
      <c r="D244" s="5" t="s">
        <v>16</v>
      </c>
      <c r="E244">
        <v>60</v>
      </c>
      <c r="F244" s="1">
        <v>80</v>
      </c>
      <c r="G244" s="1">
        <v>50</v>
      </c>
      <c r="H244" s="10">
        <f t="shared" si="3"/>
        <v>0.375</v>
      </c>
    </row>
    <row r="245" spans="1:8" x14ac:dyDescent="0.25">
      <c r="A245" s="4">
        <v>46064</v>
      </c>
      <c r="B245" t="s">
        <v>31</v>
      </c>
      <c r="C245" t="str">
        <f>_xlfn.IFNA(VLOOKUP($B245,ref!$B$2:$C$34,2,FALSE),"NA")</f>
        <v>1 Month</v>
      </c>
      <c r="D245" s="5" t="s">
        <v>10</v>
      </c>
      <c r="E245">
        <v>56</v>
      </c>
      <c r="F245" s="1">
        <v>1.52</v>
      </c>
      <c r="G245" s="1">
        <v>1.25</v>
      </c>
      <c r="H245" s="10">
        <f t="shared" si="3"/>
        <v>0.17763157894736847</v>
      </c>
    </row>
    <row r="246" spans="1:8" x14ac:dyDescent="0.25">
      <c r="A246" s="4">
        <v>45947</v>
      </c>
      <c r="B246" t="s">
        <v>14</v>
      </c>
      <c r="C246" t="str">
        <f>_xlfn.IFNA(VLOOKUP($B246,ref!$B$2:$C$34,2,FALSE),"NA")</f>
        <v>Spot</v>
      </c>
      <c r="D246" s="5" t="s">
        <v>7</v>
      </c>
      <c r="E246">
        <v>56</v>
      </c>
      <c r="F246" s="1">
        <v>1.85</v>
      </c>
      <c r="G246" s="1">
        <v>1.7</v>
      </c>
      <c r="H246" s="10">
        <f t="shared" si="3"/>
        <v>8.1081081081081141E-2</v>
      </c>
    </row>
    <row r="247" spans="1:8" x14ac:dyDescent="0.25">
      <c r="A247" s="4">
        <v>45947</v>
      </c>
      <c r="B247" t="s">
        <v>31</v>
      </c>
      <c r="C247" t="str">
        <f>_xlfn.IFNA(VLOOKUP($B247,ref!$B$2:$C$34,2,FALSE),"NA")</f>
        <v>1 Month</v>
      </c>
      <c r="D247" s="5" t="s">
        <v>7</v>
      </c>
      <c r="E247">
        <v>56</v>
      </c>
      <c r="F247" s="1">
        <v>1.85</v>
      </c>
      <c r="G247" s="1">
        <v>1.7</v>
      </c>
      <c r="H247" s="10">
        <f t="shared" si="3"/>
        <v>8.1081081081081141E-2</v>
      </c>
    </row>
    <row r="248" spans="1:8" x14ac:dyDescent="0.25">
      <c r="A248" s="4">
        <v>45750</v>
      </c>
      <c r="B248" t="s">
        <v>14</v>
      </c>
      <c r="C248" t="str">
        <f>_xlfn.IFNA(VLOOKUP($B248,ref!$B$2:$C$34,2,FALSE),"NA")</f>
        <v>Spot</v>
      </c>
      <c r="D248" s="5" t="s">
        <v>7</v>
      </c>
      <c r="E248">
        <v>56</v>
      </c>
      <c r="F248" s="1">
        <v>3.1</v>
      </c>
      <c r="G248" s="1">
        <v>2.7</v>
      </c>
      <c r="H248" s="10">
        <f t="shared" si="3"/>
        <v>0.12903225806451613</v>
      </c>
    </row>
    <row r="249" spans="1:8" x14ac:dyDescent="0.25">
      <c r="A249" s="4">
        <v>45750</v>
      </c>
      <c r="B249" t="s">
        <v>14</v>
      </c>
      <c r="C249" t="str">
        <f>_xlfn.IFNA(VLOOKUP($B249,ref!$B$2:$C$34,2,FALSE),"NA")</f>
        <v>Spot</v>
      </c>
      <c r="D249" s="5" t="s">
        <v>7</v>
      </c>
      <c r="E249">
        <v>56</v>
      </c>
      <c r="F249" s="1">
        <v>3.1</v>
      </c>
      <c r="G249" s="1">
        <v>2.7</v>
      </c>
      <c r="H249" s="10">
        <f t="shared" si="3"/>
        <v>0.12903225806451613</v>
      </c>
    </row>
    <row r="250" spans="1:8" x14ac:dyDescent="0.25">
      <c r="A250" s="4">
        <v>45750</v>
      </c>
      <c r="B250" t="s">
        <v>14</v>
      </c>
      <c r="C250" t="str">
        <f>_xlfn.IFNA(VLOOKUP($B250,ref!$B$2:$C$34,2,FALSE),"NA")</f>
        <v>Spot</v>
      </c>
      <c r="D250" s="5" t="s">
        <v>7</v>
      </c>
      <c r="E250">
        <v>56</v>
      </c>
      <c r="F250" s="1">
        <v>3.1</v>
      </c>
      <c r="G250" s="1">
        <v>2.7</v>
      </c>
      <c r="H250" s="10">
        <f t="shared" si="3"/>
        <v>0.12903225806451613</v>
      </c>
    </row>
    <row r="251" spans="1:8" x14ac:dyDescent="0.25">
      <c r="A251" s="4">
        <v>45750</v>
      </c>
      <c r="B251" t="s">
        <v>14</v>
      </c>
      <c r="C251" t="str">
        <f>_xlfn.IFNA(VLOOKUP($B251,ref!$B$2:$C$34,2,FALSE),"NA")</f>
        <v>Spot</v>
      </c>
      <c r="D251" s="5" t="s">
        <v>7</v>
      </c>
      <c r="E251">
        <v>56</v>
      </c>
      <c r="F251" s="1">
        <v>3.1</v>
      </c>
      <c r="G251" s="1">
        <v>2.7</v>
      </c>
      <c r="H251" s="10">
        <f t="shared" si="3"/>
        <v>0.12903225806451613</v>
      </c>
    </row>
    <row r="252" spans="1:8" x14ac:dyDescent="0.25">
      <c r="A252" s="4">
        <v>45750</v>
      </c>
      <c r="B252" t="s">
        <v>14</v>
      </c>
      <c r="C252" t="str">
        <f>_xlfn.IFNA(VLOOKUP($B252,ref!$B$2:$C$34,2,FALSE),"NA")</f>
        <v>Spot</v>
      </c>
      <c r="D252" s="5" t="s">
        <v>7</v>
      </c>
      <c r="E252">
        <v>56</v>
      </c>
      <c r="F252" s="1">
        <v>3.1</v>
      </c>
      <c r="G252" s="1">
        <v>2.7</v>
      </c>
      <c r="H252" s="10">
        <f t="shared" si="3"/>
        <v>0.12903225806451613</v>
      </c>
    </row>
    <row r="253" spans="1:8" x14ac:dyDescent="0.25">
      <c r="A253" s="4">
        <v>45750</v>
      </c>
      <c r="B253" t="s">
        <v>14</v>
      </c>
      <c r="C253" t="str">
        <f>_xlfn.IFNA(VLOOKUP($B253,ref!$B$2:$C$34,2,FALSE),"NA")</f>
        <v>Spot</v>
      </c>
      <c r="D253" s="5" t="s">
        <v>7</v>
      </c>
      <c r="E253">
        <v>56</v>
      </c>
      <c r="F253" s="1">
        <v>3.1</v>
      </c>
      <c r="G253" s="1">
        <v>2.7</v>
      </c>
      <c r="H253" s="10">
        <f t="shared" si="3"/>
        <v>0.12903225806451613</v>
      </c>
    </row>
    <row r="254" spans="1:8" x14ac:dyDescent="0.25">
      <c r="A254" s="4">
        <v>45750</v>
      </c>
      <c r="B254" t="s">
        <v>14</v>
      </c>
      <c r="C254" t="str">
        <f>_xlfn.IFNA(VLOOKUP($B254,ref!$B$2:$C$34,2,FALSE),"NA")</f>
        <v>Spot</v>
      </c>
      <c r="D254" s="5" t="s">
        <v>7</v>
      </c>
      <c r="E254">
        <v>56</v>
      </c>
      <c r="F254" s="1">
        <v>3.2</v>
      </c>
      <c r="G254" s="1">
        <v>2.7</v>
      </c>
      <c r="H254" s="10">
        <f t="shared" si="3"/>
        <v>0.15625</v>
      </c>
    </row>
    <row r="255" spans="1:8" x14ac:dyDescent="0.25">
      <c r="A255" s="4">
        <v>45742</v>
      </c>
      <c r="B255" t="s">
        <v>14</v>
      </c>
      <c r="C255" t="str">
        <f>_xlfn.IFNA(VLOOKUP($B255,ref!$B$2:$C$34,2,FALSE),"NA")</f>
        <v>Spot</v>
      </c>
      <c r="D255" s="5" t="s">
        <v>7</v>
      </c>
      <c r="E255">
        <v>56</v>
      </c>
      <c r="F255" s="1">
        <v>3.2</v>
      </c>
      <c r="G255" s="1">
        <v>2.7</v>
      </c>
      <c r="H255" s="10">
        <f t="shared" si="3"/>
        <v>0.15625</v>
      </c>
    </row>
    <row r="256" spans="1:8" x14ac:dyDescent="0.25">
      <c r="A256" s="4">
        <v>45738</v>
      </c>
      <c r="B256" t="s">
        <v>14</v>
      </c>
      <c r="C256" t="str">
        <f>_xlfn.IFNA(VLOOKUP($B256,ref!$B$2:$C$34,2,FALSE),"NA")</f>
        <v>Spot</v>
      </c>
      <c r="D256" s="5" t="s">
        <v>7</v>
      </c>
      <c r="E256">
        <v>56</v>
      </c>
      <c r="F256" s="1">
        <v>3.2</v>
      </c>
      <c r="G256" s="1">
        <v>2.7</v>
      </c>
      <c r="H256" s="10">
        <f t="shared" si="3"/>
        <v>0.15625</v>
      </c>
    </row>
    <row r="257" spans="1:8" x14ac:dyDescent="0.25">
      <c r="A257" s="4">
        <v>45714</v>
      </c>
      <c r="B257" t="s">
        <v>14</v>
      </c>
      <c r="C257" t="str">
        <f>_xlfn.IFNA(VLOOKUP($B257,ref!$B$2:$C$34,2,FALSE),"NA")</f>
        <v>Spot</v>
      </c>
      <c r="D257" s="5">
        <v>4090</v>
      </c>
      <c r="E257">
        <v>56</v>
      </c>
      <c r="F257" s="1">
        <v>0.57999999999999996</v>
      </c>
      <c r="G257" s="1">
        <v>0.50800000000000001</v>
      </c>
      <c r="H257" s="10">
        <f t="shared" si="3"/>
        <v>0.12413793103448267</v>
      </c>
    </row>
    <row r="258" spans="1:8" x14ac:dyDescent="0.25">
      <c r="A258" s="4">
        <v>45714</v>
      </c>
      <c r="B258" t="s">
        <v>14</v>
      </c>
      <c r="C258" t="str">
        <f>_xlfn.IFNA(VLOOKUP($B258,ref!$B$2:$C$34,2,FALSE),"NA")</f>
        <v>Spot</v>
      </c>
      <c r="D258" s="5">
        <v>4090</v>
      </c>
      <c r="E258">
        <v>56</v>
      </c>
      <c r="F258" s="1">
        <v>0.57999999999999996</v>
      </c>
      <c r="G258" s="1">
        <v>0.50800000000000001</v>
      </c>
      <c r="H258" s="10">
        <f t="shared" si="3"/>
        <v>0.12413793103448267</v>
      </c>
    </row>
    <row r="259" spans="1:8" x14ac:dyDescent="0.25">
      <c r="A259" s="4">
        <v>45714</v>
      </c>
      <c r="B259" t="s">
        <v>14</v>
      </c>
      <c r="C259" t="str">
        <f>_xlfn.IFNA(VLOOKUP($B259,ref!$B$2:$C$34,2,FALSE),"NA")</f>
        <v>Spot</v>
      </c>
      <c r="D259" s="5">
        <v>4090</v>
      </c>
      <c r="E259">
        <v>56</v>
      </c>
      <c r="F259" s="1">
        <v>0.57999999999999996</v>
      </c>
      <c r="G259" s="1">
        <v>0.50800000000000001</v>
      </c>
      <c r="H259" s="10">
        <f t="shared" ref="H259:H322" si="4">1-(G259/F259)</f>
        <v>0.12413793103448267</v>
      </c>
    </row>
    <row r="260" spans="1:8" x14ac:dyDescent="0.25">
      <c r="A260" s="4">
        <v>45719</v>
      </c>
      <c r="C260" t="str">
        <f>_xlfn.IFNA(VLOOKUP($B260,ref!$B$2:$C$34,2,FALSE),"NA")</f>
        <v>NA</v>
      </c>
      <c r="D260" s="5" t="s">
        <v>16</v>
      </c>
      <c r="E260">
        <v>50</v>
      </c>
      <c r="F260" s="1">
        <v>60</v>
      </c>
      <c r="G260" s="1">
        <v>50</v>
      </c>
      <c r="H260" s="10">
        <f t="shared" si="4"/>
        <v>0.16666666666666663</v>
      </c>
    </row>
    <row r="261" spans="1:8" x14ac:dyDescent="0.25">
      <c r="A261" s="4">
        <v>46063</v>
      </c>
      <c r="B261" t="s">
        <v>6</v>
      </c>
      <c r="C261" t="str">
        <f>_xlfn.IFNA(VLOOKUP($B261,ref!$B$2:$C$34,2,FALSE),"NA")</f>
        <v>3 Month</v>
      </c>
      <c r="E261">
        <v>48</v>
      </c>
      <c r="F261" s="1">
        <v>1.87</v>
      </c>
      <c r="G261" s="1">
        <v>1.77</v>
      </c>
      <c r="H261" s="10">
        <f t="shared" si="4"/>
        <v>5.3475935828876997E-2</v>
      </c>
    </row>
    <row r="262" spans="1:8" x14ac:dyDescent="0.25">
      <c r="A262" s="4">
        <v>46058</v>
      </c>
      <c r="B262" t="s">
        <v>6</v>
      </c>
      <c r="C262" t="str">
        <f>_xlfn.IFNA(VLOOKUP($B262,ref!$B$2:$C$34,2,FALSE),"NA")</f>
        <v>3 Month</v>
      </c>
      <c r="E262">
        <v>48</v>
      </c>
      <c r="F262" s="1">
        <v>1.87</v>
      </c>
      <c r="G262" s="1">
        <v>1.7</v>
      </c>
      <c r="H262" s="10">
        <f t="shared" si="4"/>
        <v>9.0909090909090939E-2</v>
      </c>
    </row>
    <row r="263" spans="1:8" x14ac:dyDescent="0.25">
      <c r="A263" s="4">
        <v>46058</v>
      </c>
      <c r="B263" t="s">
        <v>6</v>
      </c>
      <c r="C263" t="str">
        <f>_xlfn.IFNA(VLOOKUP($B263,ref!$B$2:$C$34,2,FALSE),"NA")</f>
        <v>3 Month</v>
      </c>
      <c r="E263">
        <v>48</v>
      </c>
      <c r="F263" s="1">
        <v>1.87</v>
      </c>
      <c r="G263" s="1">
        <v>1.7</v>
      </c>
      <c r="H263" s="10">
        <f t="shared" si="4"/>
        <v>9.0909090909090939E-2</v>
      </c>
    </row>
    <row r="264" spans="1:8" x14ac:dyDescent="0.25">
      <c r="A264" s="4">
        <v>46057</v>
      </c>
      <c r="B264" t="s">
        <v>6</v>
      </c>
      <c r="C264" t="str">
        <f>_xlfn.IFNA(VLOOKUP($B264,ref!$B$2:$C$34,2,FALSE),"NA")</f>
        <v>3 Month</v>
      </c>
      <c r="E264">
        <v>48</v>
      </c>
      <c r="F264" s="1">
        <v>4</v>
      </c>
      <c r="G264" s="1">
        <v>3.65</v>
      </c>
      <c r="H264" s="10">
        <f t="shared" si="4"/>
        <v>8.7500000000000022E-2</v>
      </c>
    </row>
    <row r="265" spans="1:8" x14ac:dyDescent="0.25">
      <c r="A265" s="4">
        <v>46052</v>
      </c>
      <c r="B265" t="s">
        <v>31</v>
      </c>
      <c r="C265" t="str">
        <f>_xlfn.IFNA(VLOOKUP($B265,ref!$B$2:$C$34,2,FALSE),"NA")</f>
        <v>1 Month</v>
      </c>
      <c r="D265" s="5" t="s">
        <v>7</v>
      </c>
      <c r="E265">
        <v>48</v>
      </c>
      <c r="F265" s="1">
        <v>2</v>
      </c>
      <c r="G265" s="1">
        <v>1.85</v>
      </c>
      <c r="H265" s="10">
        <f t="shared" si="4"/>
        <v>7.4999999999999956E-2</v>
      </c>
    </row>
    <row r="266" spans="1:8" x14ac:dyDescent="0.25">
      <c r="A266" s="4">
        <v>46052</v>
      </c>
      <c r="B266" t="s">
        <v>31</v>
      </c>
      <c r="C266" t="str">
        <f>_xlfn.IFNA(VLOOKUP($B266,ref!$B$2:$C$34,2,FALSE),"NA")</f>
        <v>1 Month</v>
      </c>
      <c r="D266" s="5" t="s">
        <v>7</v>
      </c>
      <c r="E266">
        <v>48</v>
      </c>
      <c r="F266" s="1">
        <v>2</v>
      </c>
      <c r="G266" s="1">
        <v>1.85</v>
      </c>
      <c r="H266" s="10">
        <f t="shared" si="4"/>
        <v>7.4999999999999956E-2</v>
      </c>
    </row>
    <row r="267" spans="1:8" x14ac:dyDescent="0.25">
      <c r="A267" s="4">
        <v>45828</v>
      </c>
      <c r="C267" t="str">
        <f>_xlfn.IFNA(VLOOKUP($B267,ref!$B$2:$C$34,2,FALSE),"NA")</f>
        <v>NA</v>
      </c>
      <c r="D267" s="5" t="s">
        <v>7</v>
      </c>
      <c r="E267">
        <v>48</v>
      </c>
      <c r="F267" s="1">
        <v>2.15</v>
      </c>
      <c r="G267" s="1">
        <v>1.8</v>
      </c>
      <c r="H267" s="10">
        <f t="shared" si="4"/>
        <v>0.16279069767441856</v>
      </c>
    </row>
    <row r="268" spans="1:8" x14ac:dyDescent="0.25">
      <c r="A268" s="4">
        <v>45807</v>
      </c>
      <c r="B268" t="s">
        <v>14</v>
      </c>
      <c r="C268" t="str">
        <f>_xlfn.IFNA(VLOOKUP($B268,ref!$B$2:$C$34,2,FALSE),"NA")</f>
        <v>Spot</v>
      </c>
      <c r="D268" s="5" t="s">
        <v>7</v>
      </c>
      <c r="E268">
        <v>48</v>
      </c>
      <c r="F268" s="1">
        <v>2.15</v>
      </c>
      <c r="G268" s="1">
        <v>1.8</v>
      </c>
      <c r="H268" s="10">
        <f t="shared" si="4"/>
        <v>0.16279069767441856</v>
      </c>
    </row>
    <row r="269" spans="1:8" x14ac:dyDescent="0.25">
      <c r="A269" s="4">
        <v>45807</v>
      </c>
      <c r="B269" t="s">
        <v>14</v>
      </c>
      <c r="C269" t="str">
        <f>_xlfn.IFNA(VLOOKUP($B269,ref!$B$2:$C$34,2,FALSE),"NA")</f>
        <v>Spot</v>
      </c>
      <c r="D269" s="5" t="s">
        <v>7</v>
      </c>
      <c r="E269">
        <v>48</v>
      </c>
      <c r="F269" s="1">
        <v>2.5499999999999998</v>
      </c>
      <c r="G269" s="1">
        <v>1.8</v>
      </c>
      <c r="H269" s="10">
        <f t="shared" si="4"/>
        <v>0.29411764705882348</v>
      </c>
    </row>
    <row r="270" spans="1:8" x14ac:dyDescent="0.25">
      <c r="A270" s="4">
        <v>45793</v>
      </c>
      <c r="B270" t="s">
        <v>9</v>
      </c>
      <c r="C270" t="str">
        <f>_xlfn.IFNA(VLOOKUP($B270,ref!$B$2:$C$34,2,FALSE),"NA")</f>
        <v>12 Month</v>
      </c>
      <c r="D270" s="5">
        <v>4090</v>
      </c>
      <c r="E270">
        <v>48</v>
      </c>
      <c r="F270" s="1">
        <v>0.28000000000000003</v>
      </c>
      <c r="G270" s="1">
        <v>0.26</v>
      </c>
      <c r="H270" s="10">
        <f t="shared" si="4"/>
        <v>7.1428571428571508E-2</v>
      </c>
    </row>
    <row r="271" spans="1:8" x14ac:dyDescent="0.25">
      <c r="A271" s="4">
        <v>45793</v>
      </c>
      <c r="B271" t="s">
        <v>9</v>
      </c>
      <c r="C271" t="str">
        <f>_xlfn.IFNA(VLOOKUP($B271,ref!$B$2:$C$34,2,FALSE),"NA")</f>
        <v>12 Month</v>
      </c>
      <c r="D271" s="5">
        <v>4090</v>
      </c>
      <c r="E271">
        <v>48</v>
      </c>
      <c r="F271" s="1">
        <v>0.28000000000000003</v>
      </c>
      <c r="G271" s="1">
        <v>0.26</v>
      </c>
      <c r="H271" s="10">
        <f t="shared" si="4"/>
        <v>7.1428571428571508E-2</v>
      </c>
    </row>
    <row r="272" spans="1:8" x14ac:dyDescent="0.25">
      <c r="A272" s="4">
        <v>45793</v>
      </c>
      <c r="B272" t="s">
        <v>9</v>
      </c>
      <c r="C272" t="str">
        <f>_xlfn.IFNA(VLOOKUP($B272,ref!$B$2:$C$34,2,FALSE),"NA")</f>
        <v>12 Month</v>
      </c>
      <c r="D272" s="5">
        <v>4090</v>
      </c>
      <c r="E272">
        <v>48</v>
      </c>
      <c r="F272" s="1">
        <v>0.28000000000000003</v>
      </c>
      <c r="G272" s="1">
        <v>0.26</v>
      </c>
      <c r="H272" s="10">
        <f t="shared" si="4"/>
        <v>7.1428571428571508E-2</v>
      </c>
    </row>
    <row r="273" spans="1:8" x14ac:dyDescent="0.25">
      <c r="A273" s="4">
        <v>45793</v>
      </c>
      <c r="B273" t="s">
        <v>9</v>
      </c>
      <c r="C273" t="str">
        <f>_xlfn.IFNA(VLOOKUP($B273,ref!$B$2:$C$34,2,FALSE),"NA")</f>
        <v>12 Month</v>
      </c>
      <c r="D273" s="5">
        <v>4090</v>
      </c>
      <c r="E273">
        <v>48</v>
      </c>
      <c r="F273" s="1">
        <v>0.28000000000000003</v>
      </c>
      <c r="G273" s="1">
        <v>0.26</v>
      </c>
      <c r="H273" s="10">
        <f t="shared" si="4"/>
        <v>7.1428571428571508E-2</v>
      </c>
    </row>
    <row r="274" spans="1:8" x14ac:dyDescent="0.25">
      <c r="A274" s="4">
        <v>45793</v>
      </c>
      <c r="B274" t="s">
        <v>9</v>
      </c>
      <c r="C274" t="str">
        <f>_xlfn.IFNA(VLOOKUP($B274,ref!$B$2:$C$34,2,FALSE),"NA")</f>
        <v>12 Month</v>
      </c>
      <c r="D274" s="5">
        <v>4090</v>
      </c>
      <c r="E274">
        <v>48</v>
      </c>
      <c r="F274" s="1">
        <v>0.28000000000000003</v>
      </c>
      <c r="G274" s="1">
        <v>0.26</v>
      </c>
      <c r="H274" s="10">
        <f t="shared" si="4"/>
        <v>7.1428571428571508E-2</v>
      </c>
    </row>
    <row r="275" spans="1:8" x14ac:dyDescent="0.25">
      <c r="A275" s="4">
        <v>45793</v>
      </c>
      <c r="B275" t="s">
        <v>9</v>
      </c>
      <c r="C275" t="str">
        <f>_xlfn.IFNA(VLOOKUP($B275,ref!$B$2:$C$34,2,FALSE),"NA")</f>
        <v>12 Month</v>
      </c>
      <c r="D275" s="5">
        <v>4090</v>
      </c>
      <c r="E275">
        <v>48</v>
      </c>
      <c r="F275" s="1">
        <v>0.28000000000000003</v>
      </c>
      <c r="G275" s="1">
        <v>0.26</v>
      </c>
      <c r="H275" s="10">
        <f t="shared" si="4"/>
        <v>7.1428571428571508E-2</v>
      </c>
    </row>
    <row r="276" spans="1:8" x14ac:dyDescent="0.25">
      <c r="A276" s="4">
        <v>45793</v>
      </c>
      <c r="B276" t="s">
        <v>9</v>
      </c>
      <c r="C276" t="str">
        <f>_xlfn.IFNA(VLOOKUP($B276,ref!$B$2:$C$34,2,FALSE),"NA")</f>
        <v>12 Month</v>
      </c>
      <c r="D276" s="5">
        <v>4090</v>
      </c>
      <c r="E276">
        <v>48</v>
      </c>
      <c r="F276" s="1">
        <v>0.28000000000000003</v>
      </c>
      <c r="G276" s="1">
        <v>0.26</v>
      </c>
      <c r="H276" s="10">
        <f t="shared" si="4"/>
        <v>7.1428571428571508E-2</v>
      </c>
    </row>
    <row r="277" spans="1:8" x14ac:dyDescent="0.25">
      <c r="A277" s="4">
        <v>45793</v>
      </c>
      <c r="B277" t="s">
        <v>9</v>
      </c>
      <c r="C277" t="str">
        <f>_xlfn.IFNA(VLOOKUP($B277,ref!$B$2:$C$34,2,FALSE),"NA")</f>
        <v>12 Month</v>
      </c>
      <c r="D277" s="5">
        <v>4090</v>
      </c>
      <c r="E277">
        <v>48</v>
      </c>
      <c r="F277" s="1">
        <v>0.28000000000000003</v>
      </c>
      <c r="G277" s="1">
        <v>0.26</v>
      </c>
      <c r="H277" s="10">
        <f t="shared" si="4"/>
        <v>7.1428571428571508E-2</v>
      </c>
    </row>
    <row r="278" spans="1:8" x14ac:dyDescent="0.25">
      <c r="A278" s="4">
        <v>45778</v>
      </c>
      <c r="B278" t="s">
        <v>19</v>
      </c>
      <c r="C278" t="str">
        <f>_xlfn.IFNA(VLOOKUP($B278,ref!$B$2:$C$34,2,FALSE),"NA")</f>
        <v>9 Month</v>
      </c>
      <c r="D278" s="5" t="s">
        <v>10</v>
      </c>
      <c r="E278">
        <v>48</v>
      </c>
      <c r="F278" s="1">
        <v>1.83</v>
      </c>
      <c r="G278" s="1">
        <v>1.78</v>
      </c>
      <c r="H278" s="10">
        <f t="shared" si="4"/>
        <v>2.732240437158473E-2</v>
      </c>
    </row>
    <row r="279" spans="1:8" x14ac:dyDescent="0.25">
      <c r="A279" s="4">
        <v>45778</v>
      </c>
      <c r="B279" t="s">
        <v>19</v>
      </c>
      <c r="C279" t="str">
        <f>_xlfn.IFNA(VLOOKUP($B279,ref!$B$2:$C$34,2,FALSE),"NA")</f>
        <v>9 Month</v>
      </c>
      <c r="D279" s="5" t="s">
        <v>10</v>
      </c>
      <c r="E279">
        <v>48</v>
      </c>
      <c r="F279" s="1">
        <v>1.83</v>
      </c>
      <c r="G279" s="1">
        <v>1.78</v>
      </c>
      <c r="H279" s="10">
        <f t="shared" si="4"/>
        <v>2.732240437158473E-2</v>
      </c>
    </row>
    <row r="280" spans="1:8" x14ac:dyDescent="0.25">
      <c r="A280" s="4">
        <v>45778</v>
      </c>
      <c r="B280" t="s">
        <v>19</v>
      </c>
      <c r="C280" t="str">
        <f>_xlfn.IFNA(VLOOKUP($B280,ref!$B$2:$C$34,2,FALSE),"NA")</f>
        <v>9 Month</v>
      </c>
      <c r="D280" s="5" t="s">
        <v>10</v>
      </c>
      <c r="E280">
        <v>48</v>
      </c>
      <c r="F280" s="1">
        <v>1.83</v>
      </c>
      <c r="G280" s="1">
        <v>1.78</v>
      </c>
      <c r="H280" s="10">
        <f t="shared" si="4"/>
        <v>2.732240437158473E-2</v>
      </c>
    </row>
    <row r="281" spans="1:8" x14ac:dyDescent="0.25">
      <c r="A281" s="4">
        <v>45778</v>
      </c>
      <c r="B281" t="s">
        <v>19</v>
      </c>
      <c r="C281" t="str">
        <f>_xlfn.IFNA(VLOOKUP($B281,ref!$B$2:$C$34,2,FALSE),"NA")</f>
        <v>9 Month</v>
      </c>
      <c r="D281" s="5" t="s">
        <v>10</v>
      </c>
      <c r="E281">
        <v>48</v>
      </c>
      <c r="F281" s="1">
        <v>1.83</v>
      </c>
      <c r="G281" s="1">
        <v>1.78</v>
      </c>
      <c r="H281" s="10">
        <f t="shared" si="4"/>
        <v>2.732240437158473E-2</v>
      </c>
    </row>
    <row r="282" spans="1:8" x14ac:dyDescent="0.25">
      <c r="A282" s="4">
        <v>45778</v>
      </c>
      <c r="B282" t="s">
        <v>19</v>
      </c>
      <c r="C282" t="str">
        <f>_xlfn.IFNA(VLOOKUP($B282,ref!$B$2:$C$34,2,FALSE),"NA")</f>
        <v>9 Month</v>
      </c>
      <c r="D282" s="5" t="s">
        <v>10</v>
      </c>
      <c r="E282">
        <v>48</v>
      </c>
      <c r="F282" s="1">
        <v>1.83</v>
      </c>
      <c r="G282" s="1">
        <v>1.78</v>
      </c>
      <c r="H282" s="10">
        <f t="shared" si="4"/>
        <v>2.732240437158473E-2</v>
      </c>
    </row>
    <row r="283" spans="1:8" x14ac:dyDescent="0.25">
      <c r="A283" s="4">
        <v>45778</v>
      </c>
      <c r="B283" t="s">
        <v>19</v>
      </c>
      <c r="C283" t="str">
        <f>_xlfn.IFNA(VLOOKUP($B283,ref!$B$2:$C$34,2,FALSE),"NA")</f>
        <v>9 Month</v>
      </c>
      <c r="D283" s="5" t="s">
        <v>10</v>
      </c>
      <c r="E283">
        <v>48</v>
      </c>
      <c r="F283" s="1">
        <v>1.83</v>
      </c>
      <c r="G283" s="1">
        <v>1.78</v>
      </c>
      <c r="H283" s="10">
        <f t="shared" si="4"/>
        <v>2.732240437158473E-2</v>
      </c>
    </row>
    <row r="284" spans="1:8" x14ac:dyDescent="0.25">
      <c r="A284" s="4">
        <v>45778</v>
      </c>
      <c r="B284" t="s">
        <v>19</v>
      </c>
      <c r="C284" t="str">
        <f>_xlfn.IFNA(VLOOKUP($B284,ref!$B$2:$C$34,2,FALSE),"NA")</f>
        <v>9 Month</v>
      </c>
      <c r="D284" s="5" t="s">
        <v>10</v>
      </c>
      <c r="E284">
        <v>48</v>
      </c>
      <c r="F284" s="1">
        <v>1.83</v>
      </c>
      <c r="G284" s="1">
        <v>1.78</v>
      </c>
      <c r="H284" s="10">
        <f t="shared" si="4"/>
        <v>2.732240437158473E-2</v>
      </c>
    </row>
    <row r="285" spans="1:8" x14ac:dyDescent="0.25">
      <c r="A285" s="4">
        <v>45751</v>
      </c>
      <c r="B285" t="s">
        <v>14</v>
      </c>
      <c r="C285" t="str">
        <f>_xlfn.IFNA(VLOOKUP($B285,ref!$B$2:$C$34,2,FALSE),"NA")</f>
        <v>Spot</v>
      </c>
      <c r="D285" s="5" t="s">
        <v>7</v>
      </c>
      <c r="E285">
        <v>48</v>
      </c>
      <c r="F285" s="1">
        <v>3.1</v>
      </c>
      <c r="G285" s="1">
        <v>2.7</v>
      </c>
      <c r="H285" s="10">
        <f t="shared" si="4"/>
        <v>0.12903225806451613</v>
      </c>
    </row>
    <row r="286" spans="1:8" x14ac:dyDescent="0.25">
      <c r="A286" s="4">
        <v>45748</v>
      </c>
      <c r="B286" t="s">
        <v>27</v>
      </c>
      <c r="C286" t="str">
        <f>_xlfn.IFNA(VLOOKUP($B286,ref!$B$2:$C$34,2,FALSE),"NA")</f>
        <v>Misc</v>
      </c>
      <c r="D286" s="5" t="s">
        <v>7</v>
      </c>
      <c r="E286">
        <v>48</v>
      </c>
      <c r="F286" s="1">
        <v>2.95</v>
      </c>
      <c r="G286" s="1">
        <v>2.5</v>
      </c>
      <c r="H286" s="10">
        <f t="shared" si="4"/>
        <v>0.15254237288135597</v>
      </c>
    </row>
    <row r="287" spans="1:8" x14ac:dyDescent="0.25">
      <c r="A287" s="4">
        <v>45748</v>
      </c>
      <c r="B287" t="s">
        <v>27</v>
      </c>
      <c r="C287" t="str">
        <f>_xlfn.IFNA(VLOOKUP($B287,ref!$B$2:$C$34,2,FALSE),"NA")</f>
        <v>Misc</v>
      </c>
      <c r="D287" s="5" t="s">
        <v>7</v>
      </c>
      <c r="E287">
        <v>48</v>
      </c>
      <c r="F287" s="1">
        <v>2.95</v>
      </c>
      <c r="G287" s="1">
        <v>2.5</v>
      </c>
      <c r="H287" s="10">
        <f t="shared" si="4"/>
        <v>0.15254237288135597</v>
      </c>
    </row>
    <row r="288" spans="1:8" x14ac:dyDescent="0.25">
      <c r="A288" s="4">
        <v>45748</v>
      </c>
      <c r="B288" t="s">
        <v>26</v>
      </c>
      <c r="C288" t="str">
        <f>_xlfn.IFNA(VLOOKUP($B288,ref!$B$2:$C$34,2,FALSE),"NA")</f>
        <v>Spot</v>
      </c>
      <c r="D288" s="5" t="s">
        <v>7</v>
      </c>
      <c r="E288">
        <v>48</v>
      </c>
      <c r="F288" s="1">
        <v>2.5</v>
      </c>
      <c r="G288" s="1">
        <v>2.1</v>
      </c>
      <c r="H288" s="10">
        <f t="shared" si="4"/>
        <v>0.15999999999999992</v>
      </c>
    </row>
    <row r="289" spans="1:8" x14ac:dyDescent="0.25">
      <c r="A289" s="4">
        <v>45748</v>
      </c>
      <c r="B289" t="s">
        <v>24</v>
      </c>
      <c r="C289" t="str">
        <f>_xlfn.IFNA(VLOOKUP($B289,ref!$B$2:$C$34,2,FALSE),"NA")</f>
        <v>Misc</v>
      </c>
      <c r="D289" s="5" t="s">
        <v>7</v>
      </c>
      <c r="E289">
        <v>48</v>
      </c>
      <c r="F289" s="1">
        <v>2.95</v>
      </c>
      <c r="G289" s="1">
        <v>2.5</v>
      </c>
      <c r="H289" s="10">
        <f t="shared" si="4"/>
        <v>0.15254237288135597</v>
      </c>
    </row>
    <row r="290" spans="1:8" x14ac:dyDescent="0.25">
      <c r="A290" s="4">
        <v>45741</v>
      </c>
      <c r="B290" t="s">
        <v>24</v>
      </c>
      <c r="C290" t="str">
        <f>_xlfn.IFNA(VLOOKUP($B290,ref!$B$2:$C$34,2,FALSE),"NA")</f>
        <v>Misc</v>
      </c>
      <c r="D290" s="5" t="s">
        <v>7</v>
      </c>
      <c r="E290">
        <v>48</v>
      </c>
      <c r="F290" s="1">
        <v>2.95</v>
      </c>
      <c r="G290" s="1">
        <v>2.5</v>
      </c>
      <c r="H290" s="10">
        <f t="shared" si="4"/>
        <v>0.15254237288135597</v>
      </c>
    </row>
    <row r="291" spans="1:8" x14ac:dyDescent="0.25">
      <c r="A291" s="4">
        <v>45734</v>
      </c>
      <c r="B291" t="s">
        <v>24</v>
      </c>
      <c r="C291" t="str">
        <f>_xlfn.IFNA(VLOOKUP($B291,ref!$B$2:$C$34,2,FALSE),"NA")</f>
        <v>Misc</v>
      </c>
      <c r="D291" s="5" t="s">
        <v>7</v>
      </c>
      <c r="E291">
        <v>48</v>
      </c>
      <c r="F291" s="1">
        <v>2.95</v>
      </c>
      <c r="G291" s="1">
        <v>2.5</v>
      </c>
      <c r="H291" s="10">
        <f t="shared" si="4"/>
        <v>0.15254237288135597</v>
      </c>
    </row>
    <row r="292" spans="1:8" x14ac:dyDescent="0.25">
      <c r="A292" s="4">
        <v>45732</v>
      </c>
      <c r="B292" t="s">
        <v>9</v>
      </c>
      <c r="C292" t="str">
        <f>_xlfn.IFNA(VLOOKUP($B292,ref!$B$2:$C$34,2,FALSE),"NA")</f>
        <v>12 Month</v>
      </c>
      <c r="D292" s="5">
        <v>4090</v>
      </c>
      <c r="E292">
        <v>48</v>
      </c>
      <c r="F292" s="1">
        <v>0.28000000000000003</v>
      </c>
      <c r="G292" s="1">
        <v>0.26</v>
      </c>
      <c r="H292" s="10">
        <f t="shared" si="4"/>
        <v>7.1428571428571508E-2</v>
      </c>
    </row>
    <row r="293" spans="1:8" x14ac:dyDescent="0.25">
      <c r="A293" s="4">
        <v>45732</v>
      </c>
      <c r="B293" t="s">
        <v>9</v>
      </c>
      <c r="C293" t="str">
        <f>_xlfn.IFNA(VLOOKUP($B293,ref!$B$2:$C$34,2,FALSE),"NA")</f>
        <v>12 Month</v>
      </c>
      <c r="D293" s="5">
        <v>4090</v>
      </c>
      <c r="E293">
        <v>48</v>
      </c>
      <c r="F293" s="1">
        <v>0.28000000000000003</v>
      </c>
      <c r="G293" s="1">
        <v>0.26</v>
      </c>
      <c r="H293" s="10">
        <f t="shared" si="4"/>
        <v>7.1428571428571508E-2</v>
      </c>
    </row>
    <row r="294" spans="1:8" x14ac:dyDescent="0.25">
      <c r="A294" s="4">
        <v>45717</v>
      </c>
      <c r="B294" t="s">
        <v>9</v>
      </c>
      <c r="C294" t="str">
        <f>_xlfn.IFNA(VLOOKUP($B294,ref!$B$2:$C$34,2,FALSE),"NA")</f>
        <v>12 Month</v>
      </c>
      <c r="D294" s="5" t="s">
        <v>10</v>
      </c>
      <c r="E294">
        <v>48</v>
      </c>
      <c r="F294" s="1">
        <v>1.83</v>
      </c>
      <c r="G294" s="1">
        <v>1.78</v>
      </c>
      <c r="H294" s="10">
        <f t="shared" si="4"/>
        <v>2.732240437158473E-2</v>
      </c>
    </row>
    <row r="295" spans="1:8" x14ac:dyDescent="0.25">
      <c r="A295" s="4">
        <v>45717</v>
      </c>
      <c r="B295" t="s">
        <v>9</v>
      </c>
      <c r="C295" t="str">
        <f>_xlfn.IFNA(VLOOKUP($B295,ref!$B$2:$C$34,2,FALSE),"NA")</f>
        <v>12 Month</v>
      </c>
      <c r="D295" s="5" t="s">
        <v>10</v>
      </c>
      <c r="E295">
        <v>48</v>
      </c>
      <c r="F295" s="1">
        <v>1.83</v>
      </c>
      <c r="G295" s="1">
        <v>1.78</v>
      </c>
      <c r="H295" s="10">
        <f t="shared" si="4"/>
        <v>2.732240437158473E-2</v>
      </c>
    </row>
    <row r="296" spans="1:8" x14ac:dyDescent="0.25">
      <c r="A296" s="4">
        <v>45711</v>
      </c>
      <c r="B296" t="s">
        <v>12</v>
      </c>
      <c r="C296" t="str">
        <f>_xlfn.IFNA(VLOOKUP($B296,ref!$B$2:$C$34,2,FALSE),"NA")</f>
        <v>Spot</v>
      </c>
      <c r="D296" s="5" t="s">
        <v>10</v>
      </c>
      <c r="E296">
        <v>48</v>
      </c>
      <c r="F296" s="1">
        <v>3</v>
      </c>
      <c r="G296" s="1">
        <v>2.9</v>
      </c>
      <c r="H296" s="10">
        <f t="shared" si="4"/>
        <v>3.3333333333333326E-2</v>
      </c>
    </row>
    <row r="297" spans="1:8" x14ac:dyDescent="0.25">
      <c r="A297" s="4">
        <v>45680</v>
      </c>
      <c r="B297" t="s">
        <v>12</v>
      </c>
      <c r="C297" t="str">
        <f>_xlfn.IFNA(VLOOKUP($B297,ref!$B$2:$C$34,2,FALSE),"NA")</f>
        <v>Spot</v>
      </c>
      <c r="D297" s="5" t="s">
        <v>10</v>
      </c>
      <c r="E297">
        <v>48</v>
      </c>
      <c r="F297" s="1">
        <v>3</v>
      </c>
      <c r="G297" s="1">
        <v>2.9</v>
      </c>
      <c r="H297" s="10">
        <f t="shared" si="4"/>
        <v>3.3333333333333326E-2</v>
      </c>
    </row>
    <row r="298" spans="1:8" x14ac:dyDescent="0.25">
      <c r="A298" s="4">
        <v>45672</v>
      </c>
      <c r="B298" t="s">
        <v>9</v>
      </c>
      <c r="C298" t="str">
        <f>_xlfn.IFNA(VLOOKUP($B298,ref!$B$2:$C$34,2,FALSE),"NA")</f>
        <v>12 Month</v>
      </c>
      <c r="D298" s="5">
        <v>4090</v>
      </c>
      <c r="E298">
        <v>48</v>
      </c>
      <c r="F298" s="1">
        <v>0.28000000000000003</v>
      </c>
      <c r="G298" s="1">
        <v>0.26</v>
      </c>
      <c r="H298" s="10">
        <f t="shared" si="4"/>
        <v>7.1428571428571508E-2</v>
      </c>
    </row>
    <row r="299" spans="1:8" x14ac:dyDescent="0.25">
      <c r="A299" s="4">
        <v>45672</v>
      </c>
      <c r="B299" t="s">
        <v>9</v>
      </c>
      <c r="C299" t="str">
        <f>_xlfn.IFNA(VLOOKUP($B299,ref!$B$2:$C$34,2,FALSE),"NA")</f>
        <v>12 Month</v>
      </c>
      <c r="D299" s="5">
        <v>4090</v>
      </c>
      <c r="E299">
        <v>48</v>
      </c>
      <c r="F299" s="1">
        <v>0.28000000000000003</v>
      </c>
      <c r="G299" s="1">
        <v>0.26</v>
      </c>
      <c r="H299" s="10">
        <f t="shared" si="4"/>
        <v>7.1428571428571508E-2</v>
      </c>
    </row>
    <row r="300" spans="1:8" x14ac:dyDescent="0.25">
      <c r="A300" s="4">
        <v>45672</v>
      </c>
      <c r="C300" t="str">
        <f>_xlfn.IFNA(VLOOKUP($B300,ref!$B$2:$C$34,2,FALSE),"NA")</f>
        <v>NA</v>
      </c>
      <c r="D300" s="5">
        <v>4090</v>
      </c>
      <c r="E300">
        <v>48</v>
      </c>
      <c r="F300" s="1">
        <v>0.28000000000000003</v>
      </c>
      <c r="G300" s="1">
        <v>0.26</v>
      </c>
      <c r="H300" s="10">
        <f t="shared" si="4"/>
        <v>7.1428571428571508E-2</v>
      </c>
    </row>
    <row r="301" spans="1:8" x14ac:dyDescent="0.25">
      <c r="A301" s="4">
        <v>45659</v>
      </c>
      <c r="B301" t="s">
        <v>14</v>
      </c>
      <c r="C301" t="str">
        <f>_xlfn.IFNA(VLOOKUP($B301,ref!$B$2:$C$34,2,FALSE),"NA")</f>
        <v>Spot</v>
      </c>
      <c r="D301" s="5">
        <v>4090</v>
      </c>
      <c r="E301">
        <v>48</v>
      </c>
      <c r="F301" s="1">
        <v>0.62</v>
      </c>
      <c r="G301" s="1">
        <v>0.54300000000000004</v>
      </c>
      <c r="H301" s="10">
        <f t="shared" si="4"/>
        <v>0.12419354838709673</v>
      </c>
    </row>
    <row r="302" spans="1:8" x14ac:dyDescent="0.25">
      <c r="A302" s="4">
        <v>45659</v>
      </c>
      <c r="B302" t="s">
        <v>14</v>
      </c>
      <c r="C302" t="str">
        <f>_xlfn.IFNA(VLOOKUP($B302,ref!$B$2:$C$34,2,FALSE),"NA")</f>
        <v>Spot</v>
      </c>
      <c r="D302" s="5">
        <v>4090</v>
      </c>
      <c r="E302">
        <v>48</v>
      </c>
      <c r="F302" s="1">
        <v>0.62</v>
      </c>
      <c r="G302" s="1">
        <v>0.54300000000000004</v>
      </c>
      <c r="H302" s="10">
        <f t="shared" si="4"/>
        <v>0.12419354838709673</v>
      </c>
    </row>
    <row r="303" spans="1:8" x14ac:dyDescent="0.25">
      <c r="A303" s="4">
        <v>45658</v>
      </c>
      <c r="B303" t="s">
        <v>12</v>
      </c>
      <c r="C303" t="str">
        <f>_xlfn.IFNA(VLOOKUP($B303,ref!$B$2:$C$34,2,FALSE),"NA")</f>
        <v>Spot</v>
      </c>
      <c r="D303" s="5" t="s">
        <v>13</v>
      </c>
      <c r="E303">
        <v>48</v>
      </c>
      <c r="F303" s="1">
        <v>1.6</v>
      </c>
      <c r="G303" s="1">
        <v>1.5</v>
      </c>
      <c r="H303" s="10">
        <f t="shared" si="4"/>
        <v>6.25E-2</v>
      </c>
    </row>
    <row r="304" spans="1:8" x14ac:dyDescent="0.25">
      <c r="A304" s="4">
        <v>45765</v>
      </c>
      <c r="C304" t="str">
        <f>_xlfn.IFNA(VLOOKUP($B304,ref!$B$2:$C$34,2,FALSE),"NA")</f>
        <v>NA</v>
      </c>
      <c r="E304">
        <v>42</v>
      </c>
      <c r="F304" s="1">
        <v>35</v>
      </c>
      <c r="G304" s="1">
        <v>30</v>
      </c>
      <c r="H304" s="10">
        <f t="shared" si="4"/>
        <v>0.1428571428571429</v>
      </c>
    </row>
    <row r="305" spans="1:8" x14ac:dyDescent="0.25">
      <c r="A305" s="4">
        <v>45765</v>
      </c>
      <c r="C305" t="str">
        <f>_xlfn.IFNA(VLOOKUP($B305,ref!$B$2:$C$34,2,FALSE),"NA")</f>
        <v>NA</v>
      </c>
      <c r="D305" s="5" t="s">
        <v>16</v>
      </c>
      <c r="E305">
        <v>42</v>
      </c>
      <c r="F305" s="1">
        <v>35</v>
      </c>
      <c r="G305" s="1">
        <v>30</v>
      </c>
      <c r="H305" s="10">
        <f t="shared" si="4"/>
        <v>0.1428571428571429</v>
      </c>
    </row>
    <row r="306" spans="1:8" x14ac:dyDescent="0.25">
      <c r="A306" s="4">
        <v>45765</v>
      </c>
      <c r="C306" t="str">
        <f>_xlfn.IFNA(VLOOKUP($B306,ref!$B$2:$C$34,2,FALSE),"NA")</f>
        <v>NA</v>
      </c>
      <c r="E306">
        <v>42</v>
      </c>
      <c r="F306" s="1">
        <v>35</v>
      </c>
      <c r="G306" s="1">
        <v>30</v>
      </c>
      <c r="H306" s="10">
        <f t="shared" si="4"/>
        <v>0.1428571428571429</v>
      </c>
    </row>
    <row r="307" spans="1:8" x14ac:dyDescent="0.25">
      <c r="A307" s="4">
        <v>45765</v>
      </c>
      <c r="C307" t="str">
        <f>_xlfn.IFNA(VLOOKUP($B307,ref!$B$2:$C$34,2,FALSE),"NA")</f>
        <v>NA</v>
      </c>
      <c r="E307">
        <v>42</v>
      </c>
      <c r="F307" s="1">
        <v>35</v>
      </c>
      <c r="G307" s="1">
        <v>30</v>
      </c>
      <c r="H307" s="10">
        <f t="shared" si="4"/>
        <v>0.1428571428571429</v>
      </c>
    </row>
    <row r="308" spans="1:8" x14ac:dyDescent="0.25">
      <c r="A308" s="4">
        <v>45765</v>
      </c>
      <c r="C308" t="str">
        <f>_xlfn.IFNA(VLOOKUP($B308,ref!$B$2:$C$34,2,FALSE),"NA")</f>
        <v>NA</v>
      </c>
      <c r="D308" s="5" t="s">
        <v>16</v>
      </c>
      <c r="E308">
        <v>42</v>
      </c>
      <c r="F308" s="1">
        <v>35</v>
      </c>
      <c r="G308" s="1">
        <v>30</v>
      </c>
      <c r="H308" s="10">
        <f t="shared" si="4"/>
        <v>0.1428571428571429</v>
      </c>
    </row>
    <row r="309" spans="1:8" x14ac:dyDescent="0.25">
      <c r="A309" s="4">
        <v>45720</v>
      </c>
      <c r="B309" t="s">
        <v>17</v>
      </c>
      <c r="C309" t="str">
        <f>_xlfn.IFNA(VLOOKUP($B309,ref!$B$2:$C$34,2,FALSE),"NA")</f>
        <v>6 Month</v>
      </c>
      <c r="D309" s="5" t="s">
        <v>16</v>
      </c>
      <c r="E309">
        <v>42</v>
      </c>
      <c r="F309" s="1">
        <v>35</v>
      </c>
      <c r="G309" s="1">
        <v>30</v>
      </c>
      <c r="H309" s="10">
        <f t="shared" si="4"/>
        <v>0.1428571428571429</v>
      </c>
    </row>
    <row r="310" spans="1:8" x14ac:dyDescent="0.25">
      <c r="A310" s="4">
        <v>45706</v>
      </c>
      <c r="B310" t="s">
        <v>17</v>
      </c>
      <c r="C310" t="str">
        <f>_xlfn.IFNA(VLOOKUP($B310,ref!$B$2:$C$34,2,FALSE),"NA")</f>
        <v>6 Month</v>
      </c>
      <c r="E310">
        <v>42</v>
      </c>
      <c r="F310" s="1">
        <v>35</v>
      </c>
      <c r="G310" s="1">
        <v>30</v>
      </c>
      <c r="H310" s="10">
        <f t="shared" si="4"/>
        <v>0.1428571428571429</v>
      </c>
    </row>
    <row r="311" spans="1:8" x14ac:dyDescent="0.25">
      <c r="A311" s="4">
        <v>46068</v>
      </c>
      <c r="B311" t="s">
        <v>31</v>
      </c>
      <c r="C311" t="str">
        <f>_xlfn.IFNA(VLOOKUP($B311,ref!$B$2:$C$34,2,FALSE),"NA")</f>
        <v>1 Month</v>
      </c>
      <c r="E311">
        <v>40</v>
      </c>
      <c r="F311" s="1">
        <v>2.1</v>
      </c>
      <c r="G311" s="1">
        <v>1.85</v>
      </c>
      <c r="H311" s="10">
        <f t="shared" si="4"/>
        <v>0.11904761904761907</v>
      </c>
    </row>
    <row r="312" spans="1:8" x14ac:dyDescent="0.25">
      <c r="A312" s="4">
        <v>46059</v>
      </c>
      <c r="B312" t="s">
        <v>31</v>
      </c>
      <c r="C312" t="str">
        <f>_xlfn.IFNA(VLOOKUP($B312,ref!$B$2:$C$34,2,FALSE),"NA")</f>
        <v>1 Month</v>
      </c>
      <c r="E312">
        <v>40</v>
      </c>
      <c r="F312" s="1">
        <v>1.55</v>
      </c>
      <c r="G312" s="1">
        <v>1.25</v>
      </c>
      <c r="H312" s="10">
        <f t="shared" si="4"/>
        <v>0.19354838709677424</v>
      </c>
    </row>
    <row r="313" spans="1:8" x14ac:dyDescent="0.25">
      <c r="A313" s="4">
        <v>46052</v>
      </c>
      <c r="B313" t="s">
        <v>31</v>
      </c>
      <c r="C313" t="str">
        <f>_xlfn.IFNA(VLOOKUP($B313,ref!$B$2:$C$34,2,FALSE),"NA")</f>
        <v>1 Month</v>
      </c>
      <c r="D313" s="5" t="s">
        <v>7</v>
      </c>
      <c r="E313">
        <v>40</v>
      </c>
      <c r="F313" s="1">
        <v>2</v>
      </c>
      <c r="G313" s="1">
        <v>1.75</v>
      </c>
      <c r="H313" s="10">
        <f t="shared" si="4"/>
        <v>0.125</v>
      </c>
    </row>
    <row r="314" spans="1:8" x14ac:dyDescent="0.25">
      <c r="A314" s="4">
        <v>46004</v>
      </c>
      <c r="B314" t="s">
        <v>61</v>
      </c>
      <c r="C314" t="str">
        <f>_xlfn.IFNA(VLOOKUP($B314,ref!$B$2:$C$34,2,FALSE),"NA")</f>
        <v>Misc</v>
      </c>
      <c r="D314" s="5" t="s">
        <v>46</v>
      </c>
      <c r="E314">
        <v>40</v>
      </c>
      <c r="F314" s="1">
        <v>2.75</v>
      </c>
      <c r="G314" s="1">
        <v>2.6</v>
      </c>
      <c r="H314" s="10">
        <f t="shared" si="4"/>
        <v>5.4545454545454564E-2</v>
      </c>
    </row>
    <row r="315" spans="1:8" x14ac:dyDescent="0.25">
      <c r="A315" s="4">
        <v>45979</v>
      </c>
      <c r="B315" t="s">
        <v>6</v>
      </c>
      <c r="C315" t="str">
        <f>_xlfn.IFNA(VLOOKUP($B315,ref!$B$2:$C$34,2,FALSE),"NA")</f>
        <v>3 Month</v>
      </c>
      <c r="D315" s="5" t="s">
        <v>46</v>
      </c>
      <c r="E315">
        <v>40</v>
      </c>
      <c r="F315" s="1">
        <v>3.5</v>
      </c>
      <c r="G315" s="1">
        <v>3.4</v>
      </c>
      <c r="H315" s="10">
        <f t="shared" si="4"/>
        <v>2.8571428571428581E-2</v>
      </c>
    </row>
    <row r="316" spans="1:8" x14ac:dyDescent="0.25">
      <c r="A316" s="4">
        <v>45978</v>
      </c>
      <c r="B316" t="s">
        <v>31</v>
      </c>
      <c r="C316" t="str">
        <f>_xlfn.IFNA(VLOOKUP($B316,ref!$B$2:$C$34,2,FALSE),"NA")</f>
        <v>1 Month</v>
      </c>
      <c r="D316" s="5" t="s">
        <v>46</v>
      </c>
      <c r="E316">
        <v>40</v>
      </c>
      <c r="F316" s="1">
        <v>2.75</v>
      </c>
      <c r="G316" s="1">
        <v>2.6</v>
      </c>
      <c r="H316" s="10">
        <f t="shared" si="4"/>
        <v>5.4545454545454564E-2</v>
      </c>
    </row>
    <row r="317" spans="1:8" x14ac:dyDescent="0.25">
      <c r="A317" s="4">
        <v>45978</v>
      </c>
      <c r="B317" t="s">
        <v>31</v>
      </c>
      <c r="C317" t="str">
        <f>_xlfn.IFNA(VLOOKUP($B317,ref!$B$2:$C$34,2,FALSE),"NA")</f>
        <v>1 Month</v>
      </c>
      <c r="D317" s="5" t="s">
        <v>46</v>
      </c>
      <c r="E317">
        <v>40</v>
      </c>
      <c r="F317" s="1">
        <v>2.75</v>
      </c>
      <c r="G317" s="1">
        <v>2.6</v>
      </c>
      <c r="H317" s="10">
        <f t="shared" si="4"/>
        <v>5.4545454545454564E-2</v>
      </c>
    </row>
    <row r="318" spans="1:8" x14ac:dyDescent="0.25">
      <c r="A318" s="4">
        <v>45978</v>
      </c>
      <c r="B318" t="s">
        <v>31</v>
      </c>
      <c r="C318" t="str">
        <f>_xlfn.IFNA(VLOOKUP($B318,ref!$B$2:$C$34,2,FALSE),"NA")</f>
        <v>1 Month</v>
      </c>
      <c r="D318" s="5" t="s">
        <v>46</v>
      </c>
      <c r="E318">
        <v>40</v>
      </c>
      <c r="F318" s="1">
        <v>2.75</v>
      </c>
      <c r="G318" s="1">
        <v>2.6</v>
      </c>
      <c r="H318" s="10">
        <f t="shared" si="4"/>
        <v>5.4545454545454564E-2</v>
      </c>
    </row>
    <row r="319" spans="1:8" x14ac:dyDescent="0.25">
      <c r="A319" s="4">
        <v>45978</v>
      </c>
      <c r="B319" t="s">
        <v>31</v>
      </c>
      <c r="C319" t="str">
        <f>_xlfn.IFNA(VLOOKUP($B319,ref!$B$2:$C$34,2,FALSE),"NA")</f>
        <v>1 Month</v>
      </c>
      <c r="D319" s="5" t="s">
        <v>46</v>
      </c>
      <c r="E319">
        <v>40</v>
      </c>
      <c r="F319" s="1">
        <v>2.75</v>
      </c>
      <c r="G319" s="1">
        <v>2.6</v>
      </c>
      <c r="H319" s="10">
        <f t="shared" si="4"/>
        <v>5.4545454545454564E-2</v>
      </c>
    </row>
    <row r="320" spans="1:8" x14ac:dyDescent="0.25">
      <c r="A320" s="4">
        <v>45978</v>
      </c>
      <c r="B320" t="s">
        <v>31</v>
      </c>
      <c r="C320" t="str">
        <f>_xlfn.IFNA(VLOOKUP($B320,ref!$B$2:$C$34,2,FALSE),"NA")</f>
        <v>1 Month</v>
      </c>
      <c r="D320" s="5" t="s">
        <v>46</v>
      </c>
      <c r="E320">
        <v>40</v>
      </c>
      <c r="F320" s="1">
        <v>2.75</v>
      </c>
      <c r="G320" s="1">
        <v>2.6</v>
      </c>
      <c r="H320" s="10">
        <f t="shared" si="4"/>
        <v>5.4545454545454564E-2</v>
      </c>
    </row>
    <row r="321" spans="1:8" x14ac:dyDescent="0.25">
      <c r="A321" s="4">
        <v>45861</v>
      </c>
      <c r="B321" t="s">
        <v>31</v>
      </c>
      <c r="C321" t="str">
        <f>_xlfn.IFNA(VLOOKUP($B321,ref!$B$2:$C$34,2,FALSE),"NA")</f>
        <v>1 Month</v>
      </c>
      <c r="D321" s="5">
        <v>3090</v>
      </c>
      <c r="E321">
        <v>40</v>
      </c>
      <c r="F321" s="1">
        <v>0.24</v>
      </c>
      <c r="G321" s="1">
        <v>0.21</v>
      </c>
      <c r="H321" s="10">
        <f t="shared" si="4"/>
        <v>0.125</v>
      </c>
    </row>
    <row r="322" spans="1:8" x14ac:dyDescent="0.25">
      <c r="A322" s="4">
        <v>45861</v>
      </c>
      <c r="B322" t="s">
        <v>31</v>
      </c>
      <c r="C322" t="str">
        <f>_xlfn.IFNA(VLOOKUP($B322,ref!$B$2:$C$34,2,FALSE),"NA")</f>
        <v>1 Month</v>
      </c>
      <c r="D322" s="5">
        <v>3090</v>
      </c>
      <c r="E322">
        <v>40</v>
      </c>
      <c r="F322" s="1">
        <v>0.24</v>
      </c>
      <c r="G322" s="1">
        <v>0.21</v>
      </c>
      <c r="H322" s="10">
        <f t="shared" si="4"/>
        <v>0.125</v>
      </c>
    </row>
    <row r="323" spans="1:8" x14ac:dyDescent="0.25">
      <c r="A323" s="4">
        <v>45861</v>
      </c>
      <c r="B323" t="s">
        <v>31</v>
      </c>
      <c r="C323" t="str">
        <f>_xlfn.IFNA(VLOOKUP($B323,ref!$B$2:$C$34,2,FALSE),"NA")</f>
        <v>1 Month</v>
      </c>
      <c r="D323" s="5">
        <v>3090</v>
      </c>
      <c r="E323">
        <v>40</v>
      </c>
      <c r="F323" s="1">
        <v>0.24</v>
      </c>
      <c r="G323" s="1">
        <v>0.21</v>
      </c>
      <c r="H323" s="10">
        <f t="shared" ref="H323:H386" si="5">1-(G323/F323)</f>
        <v>0.125</v>
      </c>
    </row>
    <row r="324" spans="1:8" x14ac:dyDescent="0.25">
      <c r="A324" s="4">
        <v>45827</v>
      </c>
      <c r="B324" t="s">
        <v>9</v>
      </c>
      <c r="C324" t="str">
        <f>_xlfn.IFNA(VLOOKUP($B324,ref!$B$2:$C$34,2,FALSE),"NA")</f>
        <v>12 Month</v>
      </c>
      <c r="D324" s="5" t="s">
        <v>10</v>
      </c>
      <c r="E324">
        <v>40</v>
      </c>
      <c r="F324" s="1">
        <v>2.15</v>
      </c>
      <c r="G324" s="1">
        <v>2.0499999999999998</v>
      </c>
      <c r="H324" s="10">
        <f t="shared" si="5"/>
        <v>4.6511627906976827E-2</v>
      </c>
    </row>
    <row r="325" spans="1:8" x14ac:dyDescent="0.25">
      <c r="A325" s="4">
        <v>45804</v>
      </c>
      <c r="B325" t="s">
        <v>14</v>
      </c>
      <c r="C325" t="str">
        <f>_xlfn.IFNA(VLOOKUP($B325,ref!$B$2:$C$34,2,FALSE),"NA")</f>
        <v>Spot</v>
      </c>
      <c r="D325" s="5" t="s">
        <v>7</v>
      </c>
      <c r="E325">
        <v>40</v>
      </c>
      <c r="F325" s="1">
        <v>3.1</v>
      </c>
      <c r="G325" s="1">
        <v>2.66</v>
      </c>
      <c r="H325" s="10">
        <f t="shared" si="5"/>
        <v>0.14193548387096777</v>
      </c>
    </row>
    <row r="326" spans="1:8" x14ac:dyDescent="0.25">
      <c r="A326" s="4">
        <v>45793</v>
      </c>
      <c r="B326" t="s">
        <v>31</v>
      </c>
      <c r="C326" t="str">
        <f>_xlfn.IFNA(VLOOKUP($B326,ref!$B$2:$C$34,2,FALSE),"NA")</f>
        <v>1 Month</v>
      </c>
      <c r="D326" s="5" t="s">
        <v>10</v>
      </c>
      <c r="E326">
        <v>40</v>
      </c>
      <c r="F326" s="1">
        <v>2.4500000000000002</v>
      </c>
      <c r="G326" s="1">
        <v>2.33</v>
      </c>
      <c r="H326" s="10">
        <f t="shared" si="5"/>
        <v>4.8979591836734726E-2</v>
      </c>
    </row>
    <row r="327" spans="1:8" x14ac:dyDescent="0.25">
      <c r="A327" s="4">
        <v>45793</v>
      </c>
      <c r="B327" t="s">
        <v>31</v>
      </c>
      <c r="C327" t="str">
        <f>_xlfn.IFNA(VLOOKUP($B327,ref!$B$2:$C$34,2,FALSE),"NA")</f>
        <v>1 Month</v>
      </c>
      <c r="D327" s="5" t="s">
        <v>10</v>
      </c>
      <c r="E327">
        <v>40</v>
      </c>
      <c r="F327" s="1">
        <v>2.4500000000000002</v>
      </c>
      <c r="G327" s="1">
        <v>2.33</v>
      </c>
      <c r="H327" s="10">
        <f t="shared" si="5"/>
        <v>4.8979591836734726E-2</v>
      </c>
    </row>
    <row r="328" spans="1:8" x14ac:dyDescent="0.25">
      <c r="A328" s="4">
        <v>45793</v>
      </c>
      <c r="B328" t="s">
        <v>31</v>
      </c>
      <c r="C328" t="str">
        <f>_xlfn.IFNA(VLOOKUP($B328,ref!$B$2:$C$34,2,FALSE),"NA")</f>
        <v>1 Month</v>
      </c>
      <c r="D328" s="5" t="s">
        <v>10</v>
      </c>
      <c r="E328">
        <v>40</v>
      </c>
      <c r="F328" s="1">
        <v>2.4500000000000002</v>
      </c>
      <c r="G328" s="1">
        <v>2.33</v>
      </c>
      <c r="H328" s="10">
        <f t="shared" si="5"/>
        <v>4.8979591836734726E-2</v>
      </c>
    </row>
    <row r="329" spans="1:8" x14ac:dyDescent="0.25">
      <c r="A329" s="4">
        <v>45777</v>
      </c>
      <c r="B329" t="s">
        <v>14</v>
      </c>
      <c r="C329" t="str">
        <f>_xlfn.IFNA(VLOOKUP($B329,ref!$B$2:$C$34,2,FALSE),"NA")</f>
        <v>Spot</v>
      </c>
      <c r="D329" s="5" t="s">
        <v>7</v>
      </c>
      <c r="E329">
        <v>40</v>
      </c>
      <c r="F329" s="1">
        <v>3.1</v>
      </c>
      <c r="G329" s="1">
        <v>2.7</v>
      </c>
      <c r="H329" s="10">
        <f t="shared" si="5"/>
        <v>0.12903225806451613</v>
      </c>
    </row>
    <row r="330" spans="1:8" ht="30" customHeight="1" x14ac:dyDescent="0.25">
      <c r="A330" s="4">
        <v>45777</v>
      </c>
      <c r="B330" t="s">
        <v>14</v>
      </c>
      <c r="C330" t="str">
        <f>_xlfn.IFNA(VLOOKUP($B330,ref!$B$2:$C$34,2,FALSE),"NA")</f>
        <v>Spot</v>
      </c>
      <c r="D330" s="5" t="s">
        <v>7</v>
      </c>
      <c r="E330">
        <v>40</v>
      </c>
      <c r="F330" s="1">
        <v>3.1</v>
      </c>
      <c r="G330" s="1">
        <v>2.7</v>
      </c>
      <c r="H330" s="10">
        <f t="shared" si="5"/>
        <v>0.12903225806451613</v>
      </c>
    </row>
    <row r="331" spans="1:8" x14ac:dyDescent="0.25">
      <c r="A331" s="4">
        <v>45777</v>
      </c>
      <c r="B331" t="s">
        <v>14</v>
      </c>
      <c r="C331" t="str">
        <f>_xlfn.IFNA(VLOOKUP($B331,ref!$B$2:$C$34,2,FALSE),"NA")</f>
        <v>Spot</v>
      </c>
      <c r="D331" s="5" t="s">
        <v>7</v>
      </c>
      <c r="E331">
        <v>40</v>
      </c>
      <c r="F331" s="1">
        <v>3.1</v>
      </c>
      <c r="G331" s="1">
        <v>2.7</v>
      </c>
      <c r="H331" s="10">
        <f t="shared" si="5"/>
        <v>0.12903225806451613</v>
      </c>
    </row>
    <row r="332" spans="1:8" x14ac:dyDescent="0.25">
      <c r="A332" s="4">
        <v>45771</v>
      </c>
      <c r="C332" t="str">
        <f>_xlfn.IFNA(VLOOKUP($B332,ref!$B$2:$C$34,2,FALSE),"NA")</f>
        <v>NA</v>
      </c>
      <c r="D332" s="5" t="s">
        <v>7</v>
      </c>
      <c r="E332">
        <v>40</v>
      </c>
      <c r="F332" s="1">
        <v>3.1</v>
      </c>
      <c r="G332" s="1">
        <v>2.7</v>
      </c>
      <c r="H332" s="10">
        <f t="shared" si="5"/>
        <v>0.12903225806451613</v>
      </c>
    </row>
    <row r="333" spans="1:8" x14ac:dyDescent="0.25">
      <c r="A333" s="4">
        <v>45758</v>
      </c>
      <c r="B333" t="s">
        <v>27</v>
      </c>
      <c r="C333" t="str">
        <f>_xlfn.IFNA(VLOOKUP($B333,ref!$B$2:$C$34,2,FALSE),"NA")</f>
        <v>Misc</v>
      </c>
      <c r="D333" s="5" t="s">
        <v>7</v>
      </c>
      <c r="E333">
        <v>40</v>
      </c>
      <c r="F333" s="1">
        <v>3.1</v>
      </c>
      <c r="G333" s="1">
        <v>2.7</v>
      </c>
      <c r="H333" s="10">
        <f t="shared" si="5"/>
        <v>0.12903225806451613</v>
      </c>
    </row>
    <row r="334" spans="1:8" x14ac:dyDescent="0.25">
      <c r="A334" s="4">
        <v>45758</v>
      </c>
      <c r="B334" t="s">
        <v>27</v>
      </c>
      <c r="C334" t="str">
        <f>_xlfn.IFNA(VLOOKUP($B334,ref!$B$2:$C$34,2,FALSE),"NA")</f>
        <v>Misc</v>
      </c>
      <c r="D334" s="5" t="s">
        <v>7</v>
      </c>
      <c r="E334">
        <v>40</v>
      </c>
      <c r="F334" s="1">
        <v>2.95</v>
      </c>
      <c r="G334" s="1">
        <v>2.5</v>
      </c>
      <c r="H334" s="10">
        <f t="shared" si="5"/>
        <v>0.15254237288135597</v>
      </c>
    </row>
    <row r="335" spans="1:8" x14ac:dyDescent="0.25">
      <c r="A335" s="4">
        <v>45739</v>
      </c>
      <c r="B335" t="s">
        <v>14</v>
      </c>
      <c r="C335" t="str">
        <f>_xlfn.IFNA(VLOOKUP($B335,ref!$B$2:$C$34,2,FALSE),"NA")</f>
        <v>Spot</v>
      </c>
      <c r="D335" s="5">
        <v>4090</v>
      </c>
      <c r="E335">
        <v>40</v>
      </c>
      <c r="F335" s="1">
        <v>0.57999999999999996</v>
      </c>
      <c r="G335" s="1">
        <v>0.50800000000000001</v>
      </c>
      <c r="H335" s="10">
        <f t="shared" si="5"/>
        <v>0.12413793103448267</v>
      </c>
    </row>
    <row r="336" spans="1:8" x14ac:dyDescent="0.25">
      <c r="A336" s="4">
        <v>45739</v>
      </c>
      <c r="B336" t="s">
        <v>14</v>
      </c>
      <c r="C336" t="str">
        <f>_xlfn.IFNA(VLOOKUP($B336,ref!$B$2:$C$34,2,FALSE),"NA")</f>
        <v>Spot</v>
      </c>
      <c r="D336" s="5">
        <v>4090</v>
      </c>
      <c r="E336">
        <v>40</v>
      </c>
      <c r="F336" s="1">
        <v>0.57999999999999996</v>
      </c>
      <c r="G336" s="1">
        <v>0.50800000000000001</v>
      </c>
      <c r="H336" s="10">
        <f t="shared" si="5"/>
        <v>0.12413793103448267</v>
      </c>
    </row>
    <row r="337" spans="1:8" x14ac:dyDescent="0.25">
      <c r="A337" s="4">
        <v>45724</v>
      </c>
      <c r="B337" t="s">
        <v>14</v>
      </c>
      <c r="C337" t="str">
        <f>_xlfn.IFNA(VLOOKUP($B337,ref!$B$2:$C$34,2,FALSE),"NA")</f>
        <v>Spot</v>
      </c>
      <c r="D337" s="5">
        <v>3090</v>
      </c>
      <c r="E337">
        <v>40</v>
      </c>
      <c r="F337" s="1">
        <v>0.34</v>
      </c>
      <c r="G337" s="1">
        <v>0.29799999999999999</v>
      </c>
      <c r="H337" s="10">
        <f t="shared" si="5"/>
        <v>0.123529411764706</v>
      </c>
    </row>
    <row r="338" spans="1:8" x14ac:dyDescent="0.25">
      <c r="A338" s="4">
        <v>45724</v>
      </c>
      <c r="B338" t="s">
        <v>14</v>
      </c>
      <c r="C338" t="str">
        <f>_xlfn.IFNA(VLOOKUP($B338,ref!$B$2:$C$34,2,FALSE),"NA")</f>
        <v>Spot</v>
      </c>
      <c r="D338" s="5">
        <v>3090</v>
      </c>
      <c r="E338">
        <v>40</v>
      </c>
      <c r="F338" s="1">
        <v>0.34</v>
      </c>
      <c r="G338" s="1">
        <v>0.29799999999999999</v>
      </c>
      <c r="H338" s="10">
        <f t="shared" si="5"/>
        <v>0.123529411764706</v>
      </c>
    </row>
    <row r="339" spans="1:8" x14ac:dyDescent="0.25">
      <c r="A339" s="4">
        <v>45714</v>
      </c>
      <c r="B339" t="s">
        <v>14</v>
      </c>
      <c r="C339" t="str">
        <f>_xlfn.IFNA(VLOOKUP($B339,ref!$B$2:$C$34,2,FALSE),"NA")</f>
        <v>Spot</v>
      </c>
      <c r="D339" s="5">
        <v>4090</v>
      </c>
      <c r="E339">
        <v>40</v>
      </c>
      <c r="F339" s="1">
        <v>0.57999999999999996</v>
      </c>
      <c r="G339" s="1">
        <v>0.50800000000000001</v>
      </c>
      <c r="H339" s="10">
        <f t="shared" si="5"/>
        <v>0.12413793103448267</v>
      </c>
    </row>
    <row r="340" spans="1:8" x14ac:dyDescent="0.25">
      <c r="A340" s="4">
        <v>45680</v>
      </c>
      <c r="B340" t="s">
        <v>14</v>
      </c>
      <c r="C340" t="str">
        <f>_xlfn.IFNA(VLOOKUP($B340,ref!$B$2:$C$34,2,FALSE),"NA")</f>
        <v>Spot</v>
      </c>
      <c r="D340" s="5">
        <v>4090</v>
      </c>
      <c r="E340">
        <v>40</v>
      </c>
      <c r="F340" s="1">
        <v>0.62</v>
      </c>
      <c r="G340" s="1">
        <v>0.54300000000000004</v>
      </c>
      <c r="H340" s="10">
        <f t="shared" si="5"/>
        <v>0.12419354838709673</v>
      </c>
    </row>
    <row r="341" spans="1:8" x14ac:dyDescent="0.25">
      <c r="A341" s="4">
        <v>45659</v>
      </c>
      <c r="B341" t="s">
        <v>14</v>
      </c>
      <c r="C341" t="str">
        <f>_xlfn.IFNA(VLOOKUP($B341,ref!$B$2:$C$34,2,FALSE),"NA")</f>
        <v>Spot</v>
      </c>
      <c r="D341" s="5">
        <v>4090</v>
      </c>
      <c r="E341">
        <v>40</v>
      </c>
      <c r="F341" s="1">
        <v>0.65</v>
      </c>
      <c r="G341" s="1">
        <v>0.56999999999999995</v>
      </c>
      <c r="H341" s="10">
        <f t="shared" si="5"/>
        <v>0.12307692307692319</v>
      </c>
    </row>
    <row r="342" spans="1:8" x14ac:dyDescent="0.25">
      <c r="A342" s="4">
        <v>45659</v>
      </c>
      <c r="B342" t="s">
        <v>14</v>
      </c>
      <c r="C342" t="str">
        <f>_xlfn.IFNA(VLOOKUP($B342,ref!$B$2:$C$34,2,FALSE),"NA")</f>
        <v>Spot</v>
      </c>
      <c r="D342" s="5">
        <v>4090</v>
      </c>
      <c r="E342">
        <v>40</v>
      </c>
      <c r="F342" s="1">
        <v>0.65</v>
      </c>
      <c r="G342" s="1">
        <v>0.56999999999999995</v>
      </c>
      <c r="H342" s="10">
        <f t="shared" si="5"/>
        <v>0.12307692307692319</v>
      </c>
    </row>
    <row r="343" spans="1:8" x14ac:dyDescent="0.25">
      <c r="A343" s="4">
        <v>46068</v>
      </c>
      <c r="B343" t="s">
        <v>31</v>
      </c>
      <c r="C343" t="str">
        <f>_xlfn.IFNA(VLOOKUP($B343,ref!$B$2:$C$34,2,FALSE),"NA")</f>
        <v>1 Month</v>
      </c>
      <c r="E343">
        <v>32</v>
      </c>
      <c r="F343" s="1">
        <v>2.1</v>
      </c>
      <c r="G343" s="1">
        <v>1.85</v>
      </c>
      <c r="H343" s="10">
        <f t="shared" si="5"/>
        <v>0.11904761904761907</v>
      </c>
    </row>
    <row r="344" spans="1:8" x14ac:dyDescent="0.25">
      <c r="A344" s="4">
        <v>46050</v>
      </c>
      <c r="B344" t="s">
        <v>31</v>
      </c>
      <c r="C344" t="str">
        <f>_xlfn.IFNA(VLOOKUP($B344,ref!$B$2:$C$34,2,FALSE),"NA")</f>
        <v>1 Month</v>
      </c>
      <c r="D344" s="5" t="s">
        <v>10</v>
      </c>
      <c r="E344">
        <v>32</v>
      </c>
      <c r="F344" s="1">
        <v>1.5</v>
      </c>
      <c r="G344" s="1">
        <v>1.25</v>
      </c>
      <c r="H344" s="10">
        <f t="shared" si="5"/>
        <v>0.16666666666666663</v>
      </c>
    </row>
    <row r="345" spans="1:8" x14ac:dyDescent="0.25">
      <c r="A345" s="4">
        <v>46034</v>
      </c>
      <c r="B345" t="s">
        <v>9</v>
      </c>
      <c r="C345" t="str">
        <f>_xlfn.IFNA(VLOOKUP($B345,ref!$B$2:$C$34,2,FALSE),"NA")</f>
        <v>12 Month</v>
      </c>
      <c r="D345" s="5" t="s">
        <v>13</v>
      </c>
      <c r="E345">
        <v>32</v>
      </c>
      <c r="F345" s="1">
        <v>0.76</v>
      </c>
      <c r="G345" s="1">
        <v>0.69</v>
      </c>
      <c r="H345" s="10">
        <f t="shared" si="5"/>
        <v>9.2105263157894801E-2</v>
      </c>
    </row>
    <row r="346" spans="1:8" x14ac:dyDescent="0.25">
      <c r="A346" s="4">
        <v>46034</v>
      </c>
      <c r="B346" t="s">
        <v>9</v>
      </c>
      <c r="C346" t="str">
        <f>_xlfn.IFNA(VLOOKUP($B346,ref!$B$2:$C$34,2,FALSE),"NA")</f>
        <v>12 Month</v>
      </c>
      <c r="D346" s="5" t="s">
        <v>13</v>
      </c>
      <c r="E346">
        <v>32</v>
      </c>
      <c r="F346" s="1">
        <v>0.76</v>
      </c>
      <c r="G346" s="1">
        <v>0.69</v>
      </c>
      <c r="H346" s="10">
        <f t="shared" si="5"/>
        <v>9.2105263157894801E-2</v>
      </c>
    </row>
    <row r="347" spans="1:8" x14ac:dyDescent="0.25">
      <c r="A347" s="4">
        <v>45971</v>
      </c>
      <c r="B347" t="s">
        <v>12</v>
      </c>
      <c r="C347" t="str">
        <f>_xlfn.IFNA(VLOOKUP($B347,ref!$B$2:$C$34,2,FALSE),"NA")</f>
        <v>Spot</v>
      </c>
      <c r="D347" s="5">
        <v>5090</v>
      </c>
      <c r="E347">
        <v>32</v>
      </c>
      <c r="F347" s="1">
        <v>0.8</v>
      </c>
      <c r="G347" s="1">
        <v>0.68</v>
      </c>
      <c r="H347" s="10">
        <f t="shared" si="5"/>
        <v>0.15000000000000002</v>
      </c>
    </row>
    <row r="348" spans="1:8" x14ac:dyDescent="0.25">
      <c r="A348" s="4">
        <v>45971</v>
      </c>
      <c r="B348" t="s">
        <v>12</v>
      </c>
      <c r="C348" t="str">
        <f>_xlfn.IFNA(VLOOKUP($B348,ref!$B$2:$C$34,2,FALSE),"NA")</f>
        <v>Spot</v>
      </c>
      <c r="D348" s="5">
        <v>5090</v>
      </c>
      <c r="E348">
        <v>32</v>
      </c>
      <c r="F348" s="1">
        <v>0.8</v>
      </c>
      <c r="G348" s="1">
        <v>0.68</v>
      </c>
      <c r="H348" s="10">
        <f t="shared" si="5"/>
        <v>0.15000000000000002</v>
      </c>
    </row>
    <row r="349" spans="1:8" x14ac:dyDescent="0.25">
      <c r="A349" s="4">
        <v>45965</v>
      </c>
      <c r="B349" t="s">
        <v>35</v>
      </c>
      <c r="C349" t="str">
        <f>_xlfn.IFNA(VLOOKUP($B349,ref!$B$2:$C$34,2,FALSE),"NA")</f>
        <v>Misc</v>
      </c>
      <c r="D349" s="5" t="s">
        <v>7</v>
      </c>
      <c r="E349">
        <v>32</v>
      </c>
      <c r="F349" s="1">
        <v>1.3</v>
      </c>
      <c r="G349" s="1">
        <v>1.2</v>
      </c>
      <c r="H349" s="10">
        <f t="shared" si="5"/>
        <v>7.6923076923076983E-2</v>
      </c>
    </row>
    <row r="350" spans="1:8" x14ac:dyDescent="0.25">
      <c r="A350" s="4">
        <v>45965</v>
      </c>
      <c r="B350" t="s">
        <v>35</v>
      </c>
      <c r="C350" t="str">
        <f>_xlfn.IFNA(VLOOKUP($B350,ref!$B$2:$C$34,2,FALSE),"NA")</f>
        <v>Misc</v>
      </c>
      <c r="D350" s="5" t="s">
        <v>7</v>
      </c>
      <c r="E350">
        <v>32</v>
      </c>
      <c r="F350" s="1">
        <v>1.3</v>
      </c>
      <c r="G350" s="1">
        <v>1.2</v>
      </c>
      <c r="H350" s="10">
        <f t="shared" si="5"/>
        <v>7.6923076923076983E-2</v>
      </c>
    </row>
    <row r="351" spans="1:8" x14ac:dyDescent="0.25">
      <c r="A351" s="4">
        <v>45965</v>
      </c>
      <c r="B351" t="s">
        <v>35</v>
      </c>
      <c r="C351" t="str">
        <f>_xlfn.IFNA(VLOOKUP($B351,ref!$B$2:$C$34,2,FALSE),"NA")</f>
        <v>Misc</v>
      </c>
      <c r="D351" s="5" t="s">
        <v>7</v>
      </c>
      <c r="E351">
        <v>32</v>
      </c>
      <c r="F351" s="1">
        <v>1.3</v>
      </c>
      <c r="G351" s="1">
        <v>1.2</v>
      </c>
      <c r="H351" s="10">
        <f t="shared" si="5"/>
        <v>7.6923076923076983E-2</v>
      </c>
    </row>
    <row r="352" spans="1:8" x14ac:dyDescent="0.25">
      <c r="A352" s="4">
        <v>45919</v>
      </c>
      <c r="B352" t="s">
        <v>6</v>
      </c>
      <c r="C352" t="str">
        <f>_xlfn.IFNA(VLOOKUP($B352,ref!$B$2:$C$34,2,FALSE),"NA")</f>
        <v>3 Month</v>
      </c>
      <c r="D352" s="5" t="s">
        <v>7</v>
      </c>
      <c r="E352">
        <v>32</v>
      </c>
      <c r="F352" s="1">
        <v>1.72</v>
      </c>
      <c r="G352" s="1">
        <v>1.62</v>
      </c>
      <c r="H352" s="10">
        <f t="shared" si="5"/>
        <v>5.8139534883720811E-2</v>
      </c>
    </row>
    <row r="353" spans="1:8" x14ac:dyDescent="0.25">
      <c r="A353" s="4">
        <v>45919</v>
      </c>
      <c r="B353" t="s">
        <v>6</v>
      </c>
      <c r="C353" t="str">
        <f>_xlfn.IFNA(VLOOKUP($B353,ref!$B$2:$C$34,2,FALSE),"NA")</f>
        <v>3 Month</v>
      </c>
      <c r="D353" s="5" t="s">
        <v>7</v>
      </c>
      <c r="E353">
        <v>32</v>
      </c>
      <c r="F353" s="1">
        <v>1.72</v>
      </c>
      <c r="G353" s="1">
        <v>1.62</v>
      </c>
      <c r="H353" s="10">
        <f t="shared" si="5"/>
        <v>5.8139534883720811E-2</v>
      </c>
    </row>
    <row r="354" spans="1:8" x14ac:dyDescent="0.25">
      <c r="A354" s="4">
        <v>45919</v>
      </c>
      <c r="B354" t="s">
        <v>6</v>
      </c>
      <c r="C354" t="str">
        <f>_xlfn.IFNA(VLOOKUP($B354,ref!$B$2:$C$34,2,FALSE),"NA")</f>
        <v>3 Month</v>
      </c>
      <c r="D354" s="5" t="s">
        <v>7</v>
      </c>
      <c r="E354">
        <v>32</v>
      </c>
      <c r="F354" s="1">
        <v>1.72</v>
      </c>
      <c r="G354" s="1">
        <v>1.62</v>
      </c>
      <c r="H354" s="10">
        <f t="shared" si="5"/>
        <v>5.8139534883720811E-2</v>
      </c>
    </row>
    <row r="355" spans="1:8" x14ac:dyDescent="0.25">
      <c r="A355" s="4">
        <v>45901</v>
      </c>
      <c r="B355" t="s">
        <v>31</v>
      </c>
      <c r="C355" t="str">
        <f>_xlfn.IFNA(VLOOKUP($B355,ref!$B$2:$C$34,2,FALSE),"NA")</f>
        <v>1 Month</v>
      </c>
      <c r="D355" s="5" t="s">
        <v>10</v>
      </c>
      <c r="E355">
        <v>32</v>
      </c>
      <c r="F355" s="1">
        <v>1.65</v>
      </c>
      <c r="G355" s="1">
        <v>1.5</v>
      </c>
      <c r="H355" s="10">
        <f t="shared" si="5"/>
        <v>9.0909090909090828E-2</v>
      </c>
    </row>
    <row r="356" spans="1:8" x14ac:dyDescent="0.25">
      <c r="A356" s="4">
        <v>45901</v>
      </c>
      <c r="B356" t="s">
        <v>31</v>
      </c>
      <c r="C356" t="str">
        <f>_xlfn.IFNA(VLOOKUP($B356,ref!$B$2:$C$34,2,FALSE),"NA")</f>
        <v>1 Month</v>
      </c>
      <c r="D356" s="5" t="s">
        <v>10</v>
      </c>
      <c r="E356">
        <v>32</v>
      </c>
      <c r="F356" s="1">
        <v>1.65</v>
      </c>
      <c r="G356" s="1">
        <v>1.25</v>
      </c>
      <c r="H356" s="10">
        <f t="shared" si="5"/>
        <v>0.24242424242424243</v>
      </c>
    </row>
    <row r="357" spans="1:8" x14ac:dyDescent="0.25">
      <c r="A357" s="4">
        <v>45894</v>
      </c>
      <c r="B357" t="s">
        <v>51</v>
      </c>
      <c r="C357" t="str">
        <f>_xlfn.IFNA(VLOOKUP($B357,ref!$B$2:$C$34,2,FALSE),"NA")</f>
        <v>20 Month</v>
      </c>
      <c r="D357" s="5" t="s">
        <v>7</v>
      </c>
      <c r="E357">
        <v>32</v>
      </c>
      <c r="F357" s="1">
        <v>2.6</v>
      </c>
      <c r="G357" s="1">
        <v>2.5499999999999998</v>
      </c>
      <c r="H357" s="10">
        <f t="shared" si="5"/>
        <v>1.9230769230769384E-2</v>
      </c>
    </row>
    <row r="358" spans="1:8" x14ac:dyDescent="0.25">
      <c r="A358" s="4">
        <v>45894</v>
      </c>
      <c r="B358" t="s">
        <v>51</v>
      </c>
      <c r="C358" t="str">
        <f>_xlfn.IFNA(VLOOKUP($B358,ref!$B$2:$C$34,2,FALSE),"NA")</f>
        <v>20 Month</v>
      </c>
      <c r="D358" s="5" t="s">
        <v>7</v>
      </c>
      <c r="E358">
        <v>32</v>
      </c>
      <c r="F358" s="1">
        <v>2.6</v>
      </c>
      <c r="G358" s="1">
        <v>2.5499999999999998</v>
      </c>
      <c r="H358" s="10">
        <f t="shared" si="5"/>
        <v>1.9230769230769384E-2</v>
      </c>
    </row>
    <row r="359" spans="1:8" x14ac:dyDescent="0.25">
      <c r="A359" s="4">
        <v>45894</v>
      </c>
      <c r="B359" t="s">
        <v>51</v>
      </c>
      <c r="C359" t="str">
        <f>_xlfn.IFNA(VLOOKUP($B359,ref!$B$2:$C$34,2,FALSE),"NA")</f>
        <v>20 Month</v>
      </c>
      <c r="D359" s="5" t="s">
        <v>7</v>
      </c>
      <c r="E359">
        <v>32</v>
      </c>
      <c r="F359" s="1">
        <v>2.6</v>
      </c>
      <c r="G359" s="1">
        <v>2.5499999999999998</v>
      </c>
      <c r="H359" s="10">
        <f t="shared" si="5"/>
        <v>1.9230769230769384E-2</v>
      </c>
    </row>
    <row r="360" spans="1:8" x14ac:dyDescent="0.25">
      <c r="A360" s="4">
        <v>45894</v>
      </c>
      <c r="B360" t="s">
        <v>51</v>
      </c>
      <c r="C360" t="str">
        <f>_xlfn.IFNA(VLOOKUP($B360,ref!$B$2:$C$34,2,FALSE),"NA")</f>
        <v>20 Month</v>
      </c>
      <c r="D360" s="5" t="s">
        <v>7</v>
      </c>
      <c r="E360">
        <v>32</v>
      </c>
      <c r="F360" s="1">
        <v>2.6</v>
      </c>
      <c r="G360" s="1">
        <v>2.5499999999999998</v>
      </c>
      <c r="H360" s="10">
        <f t="shared" si="5"/>
        <v>1.9230769230769384E-2</v>
      </c>
    </row>
    <row r="361" spans="1:8" x14ac:dyDescent="0.25">
      <c r="A361" s="4">
        <v>45894</v>
      </c>
      <c r="B361" t="s">
        <v>51</v>
      </c>
      <c r="C361" t="str">
        <f>_xlfn.IFNA(VLOOKUP($B361,ref!$B$2:$C$34,2,FALSE),"NA")</f>
        <v>20 Month</v>
      </c>
      <c r="D361" s="5" t="s">
        <v>7</v>
      </c>
      <c r="E361">
        <v>32</v>
      </c>
      <c r="F361" s="1">
        <v>2.6</v>
      </c>
      <c r="G361" s="1">
        <v>2.5499999999999998</v>
      </c>
      <c r="H361" s="10">
        <f t="shared" si="5"/>
        <v>1.9230769230769384E-2</v>
      </c>
    </row>
    <row r="362" spans="1:8" x14ac:dyDescent="0.25">
      <c r="A362" s="4">
        <v>45894</v>
      </c>
      <c r="B362" t="s">
        <v>51</v>
      </c>
      <c r="C362" t="str">
        <f>_xlfn.IFNA(VLOOKUP($B362,ref!$B$2:$C$34,2,FALSE),"NA")</f>
        <v>20 Month</v>
      </c>
      <c r="D362" s="5" t="s">
        <v>7</v>
      </c>
      <c r="E362">
        <v>32</v>
      </c>
      <c r="F362" s="1">
        <v>2.6</v>
      </c>
      <c r="G362" s="1">
        <v>2.5499999999999998</v>
      </c>
      <c r="H362" s="10">
        <f t="shared" si="5"/>
        <v>1.9230769230769384E-2</v>
      </c>
    </row>
    <row r="363" spans="1:8" x14ac:dyDescent="0.25">
      <c r="A363" s="4">
        <v>45894</v>
      </c>
      <c r="B363" t="s">
        <v>51</v>
      </c>
      <c r="C363" t="str">
        <f>_xlfn.IFNA(VLOOKUP($B363,ref!$B$2:$C$34,2,FALSE),"NA")</f>
        <v>20 Month</v>
      </c>
      <c r="D363" s="5" t="s">
        <v>7</v>
      </c>
      <c r="E363">
        <v>32</v>
      </c>
      <c r="F363" s="1">
        <v>2.6</v>
      </c>
      <c r="G363" s="1">
        <v>2.5499999999999998</v>
      </c>
      <c r="H363" s="10">
        <f t="shared" si="5"/>
        <v>1.9230769230769384E-2</v>
      </c>
    </row>
    <row r="364" spans="1:8" x14ac:dyDescent="0.25">
      <c r="A364" s="4">
        <v>45861</v>
      </c>
      <c r="B364" t="s">
        <v>31</v>
      </c>
      <c r="C364" t="str">
        <f>_xlfn.IFNA(VLOOKUP($B364,ref!$B$2:$C$34,2,FALSE),"NA")</f>
        <v>1 Month</v>
      </c>
      <c r="D364" s="5">
        <v>3090</v>
      </c>
      <c r="E364">
        <v>32</v>
      </c>
      <c r="F364" s="1">
        <v>0.24</v>
      </c>
      <c r="G364" s="1">
        <v>0.21</v>
      </c>
      <c r="H364" s="10">
        <f t="shared" si="5"/>
        <v>0.125</v>
      </c>
    </row>
    <row r="365" spans="1:8" x14ac:dyDescent="0.25">
      <c r="A365" s="4">
        <v>45809</v>
      </c>
      <c r="B365" t="s">
        <v>31</v>
      </c>
      <c r="C365" t="str">
        <f>_xlfn.IFNA(VLOOKUP($B365,ref!$B$2:$C$34,2,FALSE),"NA")</f>
        <v>1 Month</v>
      </c>
      <c r="D365" s="5" t="s">
        <v>10</v>
      </c>
      <c r="E365">
        <v>32</v>
      </c>
      <c r="F365" s="1">
        <v>2.5</v>
      </c>
      <c r="G365" s="1">
        <v>2.36</v>
      </c>
      <c r="H365" s="10">
        <f t="shared" si="5"/>
        <v>5.600000000000005E-2</v>
      </c>
    </row>
    <row r="366" spans="1:8" x14ac:dyDescent="0.25">
      <c r="A366" s="4">
        <v>45807</v>
      </c>
      <c r="B366" t="s">
        <v>14</v>
      </c>
      <c r="C366" t="str">
        <f>_xlfn.IFNA(VLOOKUP($B366,ref!$B$2:$C$34,2,FALSE),"NA")</f>
        <v>Spot</v>
      </c>
      <c r="D366" s="5" t="s">
        <v>7</v>
      </c>
      <c r="E366">
        <v>32</v>
      </c>
      <c r="F366" s="1">
        <v>2.5499999999999998</v>
      </c>
      <c r="G366" s="1">
        <v>1.8</v>
      </c>
      <c r="H366" s="10">
        <f t="shared" si="5"/>
        <v>0.29411764705882348</v>
      </c>
    </row>
    <row r="367" spans="1:8" x14ac:dyDescent="0.25">
      <c r="A367" s="4">
        <v>45793</v>
      </c>
      <c r="B367" t="s">
        <v>31</v>
      </c>
      <c r="C367" t="str">
        <f>_xlfn.IFNA(VLOOKUP($B367,ref!$B$2:$C$34,2,FALSE),"NA")</f>
        <v>1 Month</v>
      </c>
      <c r="D367" s="5" t="s">
        <v>10</v>
      </c>
      <c r="E367">
        <v>32</v>
      </c>
      <c r="F367" s="1">
        <v>2.4500000000000002</v>
      </c>
      <c r="G367" s="1">
        <v>2.33</v>
      </c>
      <c r="H367" s="10">
        <f t="shared" si="5"/>
        <v>4.8979591836734726E-2</v>
      </c>
    </row>
    <row r="368" spans="1:8" x14ac:dyDescent="0.25">
      <c r="A368" s="4">
        <v>45793</v>
      </c>
      <c r="B368" t="s">
        <v>31</v>
      </c>
      <c r="C368" t="str">
        <f>_xlfn.IFNA(VLOOKUP($B368,ref!$B$2:$C$34,2,FALSE),"NA")</f>
        <v>1 Month</v>
      </c>
      <c r="D368" s="5" t="s">
        <v>10</v>
      </c>
      <c r="E368">
        <v>32</v>
      </c>
      <c r="F368" s="1">
        <v>2.4500000000000002</v>
      </c>
      <c r="G368" s="1">
        <v>2.33</v>
      </c>
      <c r="H368" s="10">
        <f t="shared" si="5"/>
        <v>4.8979591836734726E-2</v>
      </c>
    </row>
    <row r="369" spans="1:8" x14ac:dyDescent="0.25">
      <c r="A369" s="4">
        <v>45785</v>
      </c>
      <c r="B369" t="s">
        <v>14</v>
      </c>
      <c r="C369" t="str">
        <f>_xlfn.IFNA(VLOOKUP($B369,ref!$B$2:$C$34,2,FALSE),"NA")</f>
        <v>Spot</v>
      </c>
      <c r="D369" s="5" t="s">
        <v>7</v>
      </c>
      <c r="E369">
        <v>32</v>
      </c>
      <c r="F369" s="1">
        <v>3.15</v>
      </c>
      <c r="G369" s="1">
        <v>2.7</v>
      </c>
      <c r="H369" s="10">
        <f t="shared" si="5"/>
        <v>0.14285714285714279</v>
      </c>
    </row>
    <row r="370" spans="1:8" x14ac:dyDescent="0.25">
      <c r="A370" s="4">
        <v>45785</v>
      </c>
      <c r="B370" t="s">
        <v>14</v>
      </c>
      <c r="C370" t="str">
        <f>_xlfn.IFNA(VLOOKUP($B370,ref!$B$2:$C$34,2,FALSE),"NA")</f>
        <v>Spot</v>
      </c>
      <c r="D370" s="5" t="s">
        <v>7</v>
      </c>
      <c r="E370">
        <v>32</v>
      </c>
      <c r="F370" s="1">
        <v>3.15</v>
      </c>
      <c r="G370" s="1">
        <v>2.7</v>
      </c>
      <c r="H370" s="10">
        <f t="shared" si="5"/>
        <v>0.14285714285714279</v>
      </c>
    </row>
    <row r="371" spans="1:8" x14ac:dyDescent="0.25">
      <c r="A371" s="4">
        <v>45785</v>
      </c>
      <c r="B371" t="s">
        <v>14</v>
      </c>
      <c r="C371" t="str">
        <f>_xlfn.IFNA(VLOOKUP($B371,ref!$B$2:$C$34,2,FALSE),"NA")</f>
        <v>Spot</v>
      </c>
      <c r="D371" s="5" t="s">
        <v>7</v>
      </c>
      <c r="E371">
        <v>32</v>
      </c>
      <c r="F371" s="1">
        <v>3.15</v>
      </c>
      <c r="G371" s="1">
        <v>2.7</v>
      </c>
      <c r="H371" s="10">
        <f t="shared" si="5"/>
        <v>0.14285714285714279</v>
      </c>
    </row>
    <row r="372" spans="1:8" x14ac:dyDescent="0.25">
      <c r="A372" s="4">
        <v>45785</v>
      </c>
      <c r="B372" t="s">
        <v>14</v>
      </c>
      <c r="C372" t="str">
        <f>_xlfn.IFNA(VLOOKUP($B372,ref!$B$2:$C$34,2,FALSE),"NA")</f>
        <v>Spot</v>
      </c>
      <c r="D372" s="5" t="s">
        <v>7</v>
      </c>
      <c r="E372">
        <v>32</v>
      </c>
      <c r="F372" s="1">
        <v>3.15</v>
      </c>
      <c r="G372" s="1">
        <v>2.7</v>
      </c>
      <c r="H372" s="10">
        <f t="shared" si="5"/>
        <v>0.14285714285714279</v>
      </c>
    </row>
    <row r="373" spans="1:8" x14ac:dyDescent="0.25">
      <c r="A373" s="4">
        <v>45779</v>
      </c>
      <c r="B373" t="s">
        <v>14</v>
      </c>
      <c r="C373" t="str">
        <f>_xlfn.IFNA(VLOOKUP($B373,ref!$B$2:$C$34,2,FALSE),"NA")</f>
        <v>Spot</v>
      </c>
      <c r="D373" s="5">
        <v>4090</v>
      </c>
      <c r="E373">
        <v>32</v>
      </c>
      <c r="F373" s="1">
        <v>0.52</v>
      </c>
      <c r="G373" s="1">
        <v>0.48099999999999998</v>
      </c>
      <c r="H373" s="10">
        <f t="shared" si="5"/>
        <v>7.5000000000000067E-2</v>
      </c>
    </row>
    <row r="374" spans="1:8" x14ac:dyDescent="0.25">
      <c r="A374" s="4">
        <v>45779</v>
      </c>
      <c r="B374" t="s">
        <v>14</v>
      </c>
      <c r="C374" t="str">
        <f>_xlfn.IFNA(VLOOKUP($B374,ref!$B$2:$C$34,2,FALSE),"NA")</f>
        <v>Spot</v>
      </c>
      <c r="D374" s="5">
        <v>4090</v>
      </c>
      <c r="E374">
        <v>32</v>
      </c>
      <c r="F374" s="1">
        <v>0.52</v>
      </c>
      <c r="G374" s="1">
        <v>0.48099999999999998</v>
      </c>
      <c r="H374" s="10">
        <f t="shared" si="5"/>
        <v>7.5000000000000067E-2</v>
      </c>
    </row>
    <row r="375" spans="1:8" x14ac:dyDescent="0.25">
      <c r="A375" s="4">
        <v>45779</v>
      </c>
      <c r="B375" t="s">
        <v>14</v>
      </c>
      <c r="C375" t="str">
        <f>_xlfn.IFNA(VLOOKUP($B375,ref!$B$2:$C$34,2,FALSE),"NA")</f>
        <v>Spot</v>
      </c>
      <c r="D375" s="5">
        <v>4090</v>
      </c>
      <c r="E375">
        <v>32</v>
      </c>
      <c r="F375" s="1">
        <v>0.52</v>
      </c>
      <c r="G375" s="1">
        <v>0.48099999999999998</v>
      </c>
      <c r="H375" s="10">
        <f t="shared" si="5"/>
        <v>7.5000000000000067E-2</v>
      </c>
    </row>
    <row r="376" spans="1:8" x14ac:dyDescent="0.25">
      <c r="A376" s="4">
        <v>45779</v>
      </c>
      <c r="B376" t="s">
        <v>14</v>
      </c>
      <c r="C376" t="str">
        <f>_xlfn.IFNA(VLOOKUP($B376,ref!$B$2:$C$34,2,FALSE),"NA")</f>
        <v>Spot</v>
      </c>
      <c r="D376" s="5">
        <v>4090</v>
      </c>
      <c r="E376">
        <v>32</v>
      </c>
      <c r="F376" s="1">
        <v>0.52</v>
      </c>
      <c r="G376" s="1">
        <v>0.48099999999999998</v>
      </c>
      <c r="H376" s="10">
        <f t="shared" si="5"/>
        <v>7.5000000000000067E-2</v>
      </c>
    </row>
    <row r="377" spans="1:8" x14ac:dyDescent="0.25">
      <c r="A377" s="4">
        <v>45779</v>
      </c>
      <c r="B377" t="s">
        <v>14</v>
      </c>
      <c r="C377" t="str">
        <f>_xlfn.IFNA(VLOOKUP($B377,ref!$B$2:$C$34,2,FALSE),"NA")</f>
        <v>Spot</v>
      </c>
      <c r="D377" s="5">
        <v>4090</v>
      </c>
      <c r="E377">
        <v>32</v>
      </c>
      <c r="F377" s="1">
        <v>0.52</v>
      </c>
      <c r="G377" s="1">
        <v>0.48099999999999998</v>
      </c>
      <c r="H377" s="10">
        <f t="shared" si="5"/>
        <v>7.5000000000000067E-2</v>
      </c>
    </row>
    <row r="378" spans="1:8" x14ac:dyDescent="0.25">
      <c r="A378" s="4">
        <v>45776</v>
      </c>
      <c r="B378" t="s">
        <v>14</v>
      </c>
      <c r="C378" t="str">
        <f>_xlfn.IFNA(VLOOKUP($B378,ref!$B$2:$C$34,2,FALSE),"NA")</f>
        <v>Spot</v>
      </c>
      <c r="D378" s="5" t="s">
        <v>7</v>
      </c>
      <c r="E378">
        <v>32</v>
      </c>
      <c r="F378" s="1">
        <v>3.15</v>
      </c>
      <c r="G378" s="1">
        <v>2.7</v>
      </c>
      <c r="H378" s="10">
        <f t="shared" si="5"/>
        <v>0.14285714285714279</v>
      </c>
    </row>
    <row r="379" spans="1:8" x14ac:dyDescent="0.25">
      <c r="A379" s="4">
        <v>45776</v>
      </c>
      <c r="B379" t="s">
        <v>14</v>
      </c>
      <c r="C379" t="str">
        <f>_xlfn.IFNA(VLOOKUP($B379,ref!$B$2:$C$34,2,FALSE),"NA")</f>
        <v>Spot</v>
      </c>
      <c r="D379" s="5" t="s">
        <v>7</v>
      </c>
      <c r="E379">
        <v>32</v>
      </c>
      <c r="F379" s="1">
        <v>3.15</v>
      </c>
      <c r="G379" s="1">
        <v>2.7</v>
      </c>
      <c r="H379" s="10">
        <f t="shared" si="5"/>
        <v>0.14285714285714279</v>
      </c>
    </row>
    <row r="380" spans="1:8" x14ac:dyDescent="0.25">
      <c r="A380" s="4">
        <v>45776</v>
      </c>
      <c r="B380" t="s">
        <v>14</v>
      </c>
      <c r="C380" t="str">
        <f>_xlfn.IFNA(VLOOKUP($B380,ref!$B$2:$C$34,2,FALSE),"NA")</f>
        <v>Spot</v>
      </c>
      <c r="D380" s="5" t="s">
        <v>7</v>
      </c>
      <c r="E380">
        <v>32</v>
      </c>
      <c r="F380" s="1">
        <v>3.15</v>
      </c>
      <c r="G380" s="1">
        <v>2.7</v>
      </c>
      <c r="H380" s="10">
        <f t="shared" si="5"/>
        <v>0.14285714285714279</v>
      </c>
    </row>
    <row r="381" spans="1:8" x14ac:dyDescent="0.25">
      <c r="A381" s="4">
        <v>45776</v>
      </c>
      <c r="B381" t="s">
        <v>14</v>
      </c>
      <c r="C381" t="str">
        <f>_xlfn.IFNA(VLOOKUP($B381,ref!$B$2:$C$34,2,FALSE),"NA")</f>
        <v>Spot</v>
      </c>
      <c r="D381" s="5" t="s">
        <v>7</v>
      </c>
      <c r="E381">
        <v>32</v>
      </c>
      <c r="F381" s="1">
        <v>3.15</v>
      </c>
      <c r="G381" s="1">
        <v>2.7</v>
      </c>
      <c r="H381" s="10">
        <f t="shared" si="5"/>
        <v>0.14285714285714279</v>
      </c>
    </row>
    <row r="382" spans="1:8" x14ac:dyDescent="0.25">
      <c r="A382" s="4">
        <v>45776</v>
      </c>
      <c r="B382" t="s">
        <v>14</v>
      </c>
      <c r="C382" t="str">
        <f>_xlfn.IFNA(VLOOKUP($B382,ref!$B$2:$C$34,2,FALSE),"NA")</f>
        <v>Spot</v>
      </c>
      <c r="D382" s="5" t="s">
        <v>7</v>
      </c>
      <c r="E382">
        <v>32</v>
      </c>
      <c r="F382" s="1">
        <v>3.15</v>
      </c>
      <c r="G382" s="1">
        <v>2.7</v>
      </c>
      <c r="H382" s="10">
        <f t="shared" si="5"/>
        <v>0.14285714285714279</v>
      </c>
    </row>
    <row r="383" spans="1:8" x14ac:dyDescent="0.25">
      <c r="A383" s="4">
        <v>45762</v>
      </c>
      <c r="C383" t="str">
        <f>_xlfn.IFNA(VLOOKUP($B383,ref!$B$2:$C$34,2,FALSE),"NA")</f>
        <v>NA</v>
      </c>
      <c r="D383" s="5">
        <v>3090</v>
      </c>
      <c r="E383">
        <v>32</v>
      </c>
      <c r="F383" s="1">
        <v>0.3</v>
      </c>
      <c r="G383" s="1">
        <v>0.26300000000000001</v>
      </c>
      <c r="H383" s="10">
        <f t="shared" si="5"/>
        <v>0.12333333333333329</v>
      </c>
    </row>
    <row r="384" spans="1:8" x14ac:dyDescent="0.25">
      <c r="A384" s="4">
        <v>45762</v>
      </c>
      <c r="C384" t="str">
        <f>_xlfn.IFNA(VLOOKUP($B384,ref!$B$2:$C$34,2,FALSE),"NA")</f>
        <v>NA</v>
      </c>
      <c r="D384" s="5">
        <v>3090</v>
      </c>
      <c r="E384">
        <v>32</v>
      </c>
      <c r="F384" s="1">
        <v>0.3</v>
      </c>
      <c r="G384" s="1">
        <v>0.26300000000000001</v>
      </c>
      <c r="H384" s="10">
        <f t="shared" si="5"/>
        <v>0.12333333333333329</v>
      </c>
    </row>
    <row r="385" spans="1:8" x14ac:dyDescent="0.25">
      <c r="A385" s="4">
        <v>45762</v>
      </c>
      <c r="C385" t="str">
        <f>_xlfn.IFNA(VLOOKUP($B385,ref!$B$2:$C$34,2,FALSE),"NA")</f>
        <v>NA</v>
      </c>
      <c r="D385" s="5">
        <v>3090</v>
      </c>
      <c r="E385">
        <v>32</v>
      </c>
      <c r="F385" s="1">
        <v>0.3</v>
      </c>
      <c r="G385" s="1">
        <v>0.26300000000000001</v>
      </c>
      <c r="H385" s="10">
        <f t="shared" si="5"/>
        <v>0.12333333333333329</v>
      </c>
    </row>
    <row r="386" spans="1:8" x14ac:dyDescent="0.25">
      <c r="A386" s="4">
        <v>45759</v>
      </c>
      <c r="B386" t="s">
        <v>14</v>
      </c>
      <c r="C386" t="str">
        <f>_xlfn.IFNA(VLOOKUP($B386,ref!$B$2:$C$34,2,FALSE),"NA")</f>
        <v>Spot</v>
      </c>
      <c r="D386" s="5" t="s">
        <v>7</v>
      </c>
      <c r="E386">
        <v>32</v>
      </c>
      <c r="F386" s="1">
        <v>3.1</v>
      </c>
      <c r="G386" s="1">
        <v>2.7</v>
      </c>
      <c r="H386" s="10">
        <f t="shared" si="5"/>
        <v>0.12903225806451613</v>
      </c>
    </row>
    <row r="387" spans="1:8" x14ac:dyDescent="0.25">
      <c r="A387" s="4">
        <v>45759</v>
      </c>
      <c r="B387" t="s">
        <v>14</v>
      </c>
      <c r="C387" t="str">
        <f>_xlfn.IFNA(VLOOKUP($B387,ref!$B$2:$C$34,2,FALSE),"NA")</f>
        <v>Spot</v>
      </c>
      <c r="D387" s="5" t="s">
        <v>7</v>
      </c>
      <c r="E387">
        <v>32</v>
      </c>
      <c r="F387" s="1">
        <v>3.1</v>
      </c>
      <c r="G387" s="1">
        <v>2.7</v>
      </c>
      <c r="H387" s="10">
        <f t="shared" ref="H387:H450" si="6">1-(G387/F387)</f>
        <v>0.12903225806451613</v>
      </c>
    </row>
    <row r="388" spans="1:8" x14ac:dyDescent="0.25">
      <c r="A388" s="4">
        <v>45759</v>
      </c>
      <c r="B388" t="s">
        <v>14</v>
      </c>
      <c r="C388" t="str">
        <f>_xlfn.IFNA(VLOOKUP($B388,ref!$B$2:$C$34,2,FALSE),"NA")</f>
        <v>Spot</v>
      </c>
      <c r="D388" s="5" t="s">
        <v>7</v>
      </c>
      <c r="E388">
        <v>32</v>
      </c>
      <c r="F388" s="1">
        <v>3.1</v>
      </c>
      <c r="G388" s="1">
        <v>2.7</v>
      </c>
      <c r="H388" s="10">
        <f t="shared" si="6"/>
        <v>0.12903225806451613</v>
      </c>
    </row>
    <row r="389" spans="1:8" x14ac:dyDescent="0.25">
      <c r="A389" s="4">
        <v>45759</v>
      </c>
      <c r="B389" t="s">
        <v>14</v>
      </c>
      <c r="C389" t="str">
        <f>_xlfn.IFNA(VLOOKUP($B389,ref!$B$2:$C$34,2,FALSE),"NA")</f>
        <v>Spot</v>
      </c>
      <c r="D389" s="5" t="s">
        <v>7</v>
      </c>
      <c r="E389">
        <v>32</v>
      </c>
      <c r="F389" s="1">
        <v>3.1</v>
      </c>
      <c r="G389" s="1">
        <v>2.7</v>
      </c>
      <c r="H389" s="10">
        <f t="shared" si="6"/>
        <v>0.12903225806451613</v>
      </c>
    </row>
    <row r="390" spans="1:8" x14ac:dyDescent="0.25">
      <c r="A390" s="4">
        <v>45759</v>
      </c>
      <c r="B390" t="s">
        <v>14</v>
      </c>
      <c r="C390" t="str">
        <f>_xlfn.IFNA(VLOOKUP($B390,ref!$B$2:$C$34,2,FALSE),"NA")</f>
        <v>Spot</v>
      </c>
      <c r="D390" s="5" t="s">
        <v>7</v>
      </c>
      <c r="E390">
        <v>32</v>
      </c>
      <c r="F390" s="1">
        <v>3.1</v>
      </c>
      <c r="G390" s="1">
        <v>2.7</v>
      </c>
      <c r="H390" s="10">
        <f t="shared" si="6"/>
        <v>0.12903225806451613</v>
      </c>
    </row>
    <row r="391" spans="1:8" x14ac:dyDescent="0.25">
      <c r="A391" s="4">
        <v>45759</v>
      </c>
      <c r="B391" t="s">
        <v>14</v>
      </c>
      <c r="C391" t="str">
        <f>_xlfn.IFNA(VLOOKUP($B391,ref!$B$2:$C$34,2,FALSE),"NA")</f>
        <v>Spot</v>
      </c>
      <c r="D391" s="5" t="s">
        <v>7</v>
      </c>
      <c r="E391">
        <v>32</v>
      </c>
      <c r="F391" s="1">
        <v>3.1</v>
      </c>
      <c r="G391" s="1">
        <v>2.7</v>
      </c>
      <c r="H391" s="10">
        <f t="shared" si="6"/>
        <v>0.12903225806451613</v>
      </c>
    </row>
    <row r="392" spans="1:8" x14ac:dyDescent="0.25">
      <c r="A392" s="4">
        <v>45758</v>
      </c>
      <c r="B392" t="s">
        <v>14</v>
      </c>
      <c r="C392" t="str">
        <f>_xlfn.IFNA(VLOOKUP($B392,ref!$B$2:$C$34,2,FALSE),"NA")</f>
        <v>Spot</v>
      </c>
      <c r="D392" s="5">
        <v>4090</v>
      </c>
      <c r="E392">
        <v>32</v>
      </c>
      <c r="F392" s="1">
        <v>0.54</v>
      </c>
      <c r="G392" s="1">
        <v>0.39</v>
      </c>
      <c r="H392" s="10">
        <f t="shared" si="6"/>
        <v>0.27777777777777779</v>
      </c>
    </row>
    <row r="393" spans="1:8" x14ac:dyDescent="0.25">
      <c r="A393" s="4">
        <v>45758</v>
      </c>
      <c r="B393" t="s">
        <v>14</v>
      </c>
      <c r="C393" t="str">
        <f>_xlfn.IFNA(VLOOKUP($B393,ref!$B$2:$C$34,2,FALSE),"NA")</f>
        <v>Spot</v>
      </c>
      <c r="D393" s="5">
        <v>4090</v>
      </c>
      <c r="E393">
        <v>32</v>
      </c>
      <c r="F393" s="1">
        <v>0.54</v>
      </c>
      <c r="G393" s="1">
        <v>0.39</v>
      </c>
      <c r="H393" s="10">
        <f t="shared" si="6"/>
        <v>0.27777777777777779</v>
      </c>
    </row>
    <row r="394" spans="1:8" x14ac:dyDescent="0.25">
      <c r="A394" s="4">
        <v>45753</v>
      </c>
      <c r="C394" t="str">
        <f>_xlfn.IFNA(VLOOKUP($B394,ref!$B$2:$C$34,2,FALSE),"NA")</f>
        <v>NA</v>
      </c>
      <c r="D394" s="5" t="s">
        <v>7</v>
      </c>
      <c r="E394">
        <v>32</v>
      </c>
      <c r="F394" s="1">
        <v>3.1</v>
      </c>
      <c r="G394" s="1">
        <v>2.66</v>
      </c>
      <c r="H394" s="10">
        <f t="shared" si="6"/>
        <v>0.14193548387096777</v>
      </c>
    </row>
    <row r="395" spans="1:8" x14ac:dyDescent="0.25">
      <c r="A395" s="4">
        <v>45753</v>
      </c>
      <c r="C395" t="str">
        <f>_xlfn.IFNA(VLOOKUP($B395,ref!$B$2:$C$34,2,FALSE),"NA")</f>
        <v>NA</v>
      </c>
      <c r="D395" s="5" t="s">
        <v>7</v>
      </c>
      <c r="E395">
        <v>32</v>
      </c>
      <c r="F395" s="1">
        <v>3.1</v>
      </c>
      <c r="G395" s="1">
        <v>2.66</v>
      </c>
      <c r="H395" s="10">
        <f t="shared" si="6"/>
        <v>0.14193548387096777</v>
      </c>
    </row>
    <row r="396" spans="1:8" x14ac:dyDescent="0.25">
      <c r="A396" s="4">
        <v>45753</v>
      </c>
      <c r="B396" t="s">
        <v>14</v>
      </c>
      <c r="C396" t="str">
        <f>_xlfn.IFNA(VLOOKUP($B396,ref!$B$2:$C$34,2,FALSE),"NA")</f>
        <v>Spot</v>
      </c>
      <c r="D396" s="5" t="s">
        <v>7</v>
      </c>
      <c r="E396">
        <v>32</v>
      </c>
      <c r="F396" s="1">
        <v>3.1</v>
      </c>
      <c r="G396" s="1">
        <v>2.66</v>
      </c>
      <c r="H396" s="10">
        <f t="shared" si="6"/>
        <v>0.14193548387096777</v>
      </c>
    </row>
    <row r="397" spans="1:8" x14ac:dyDescent="0.25">
      <c r="A397" s="4">
        <v>45753</v>
      </c>
      <c r="C397" t="str">
        <f>_xlfn.IFNA(VLOOKUP($B397,ref!$B$2:$C$34,2,FALSE),"NA")</f>
        <v>NA</v>
      </c>
      <c r="D397" s="5" t="s">
        <v>7</v>
      </c>
      <c r="E397">
        <v>32</v>
      </c>
      <c r="F397" s="1">
        <v>3.1</v>
      </c>
      <c r="G397" s="1">
        <v>2.66</v>
      </c>
      <c r="H397" s="10">
        <f t="shared" si="6"/>
        <v>0.14193548387096777</v>
      </c>
    </row>
    <row r="398" spans="1:8" x14ac:dyDescent="0.25">
      <c r="A398" s="4">
        <v>45753</v>
      </c>
      <c r="C398" t="str">
        <f>_xlfn.IFNA(VLOOKUP($B398,ref!$B$2:$C$34,2,FALSE),"NA")</f>
        <v>NA</v>
      </c>
      <c r="D398" s="5" t="s">
        <v>7</v>
      </c>
      <c r="E398">
        <v>32</v>
      </c>
      <c r="F398" s="1">
        <v>3.1</v>
      </c>
      <c r="G398" s="1">
        <v>2.66</v>
      </c>
      <c r="H398" s="10">
        <f t="shared" si="6"/>
        <v>0.14193548387096777</v>
      </c>
    </row>
    <row r="399" spans="1:8" x14ac:dyDescent="0.25">
      <c r="A399" s="4">
        <v>45753</v>
      </c>
      <c r="C399" t="str">
        <f>_xlfn.IFNA(VLOOKUP($B399,ref!$B$2:$C$34,2,FALSE),"NA")</f>
        <v>NA</v>
      </c>
      <c r="D399" s="5" t="s">
        <v>7</v>
      </c>
      <c r="E399">
        <v>32</v>
      </c>
      <c r="F399" s="1">
        <v>3.1</v>
      </c>
      <c r="G399" s="1">
        <v>2.66</v>
      </c>
      <c r="H399" s="10">
        <f t="shared" si="6"/>
        <v>0.14193548387096777</v>
      </c>
    </row>
    <row r="400" spans="1:8" x14ac:dyDescent="0.25">
      <c r="A400" s="4">
        <v>45753</v>
      </c>
      <c r="B400" t="s">
        <v>14</v>
      </c>
      <c r="C400" t="str">
        <f>_xlfn.IFNA(VLOOKUP($B400,ref!$B$2:$C$34,2,FALSE),"NA")</f>
        <v>Spot</v>
      </c>
      <c r="D400" s="5" t="s">
        <v>7</v>
      </c>
      <c r="E400">
        <v>32</v>
      </c>
      <c r="F400" s="1">
        <v>3.1</v>
      </c>
      <c r="G400" s="1">
        <v>2.66</v>
      </c>
      <c r="H400" s="10">
        <f t="shared" si="6"/>
        <v>0.14193548387096777</v>
      </c>
    </row>
    <row r="401" spans="1:8" x14ac:dyDescent="0.25">
      <c r="A401" s="4">
        <v>45746</v>
      </c>
      <c r="B401" t="s">
        <v>14</v>
      </c>
      <c r="C401" t="str">
        <f>_xlfn.IFNA(VLOOKUP($B401,ref!$B$2:$C$34,2,FALSE),"NA")</f>
        <v>Spot</v>
      </c>
      <c r="D401" s="5" t="s">
        <v>7</v>
      </c>
      <c r="E401">
        <v>32</v>
      </c>
      <c r="F401" s="1">
        <v>3.1</v>
      </c>
      <c r="G401" s="1">
        <v>2.66</v>
      </c>
      <c r="H401" s="10">
        <f t="shared" si="6"/>
        <v>0.14193548387096777</v>
      </c>
    </row>
    <row r="402" spans="1:8" x14ac:dyDescent="0.25">
      <c r="A402" s="4">
        <v>45739</v>
      </c>
      <c r="B402" t="s">
        <v>14</v>
      </c>
      <c r="C402" t="str">
        <f>_xlfn.IFNA(VLOOKUP($B402,ref!$B$2:$C$34,2,FALSE),"NA")</f>
        <v>Spot</v>
      </c>
      <c r="D402" s="5">
        <v>4090</v>
      </c>
      <c r="E402">
        <v>32</v>
      </c>
      <c r="F402" s="1">
        <v>0.57999999999999996</v>
      </c>
      <c r="G402" s="1">
        <v>0.50800000000000001</v>
      </c>
      <c r="H402" s="10">
        <f t="shared" si="6"/>
        <v>0.12413793103448267</v>
      </c>
    </row>
    <row r="403" spans="1:8" x14ac:dyDescent="0.25">
      <c r="A403" s="4">
        <v>45739</v>
      </c>
      <c r="B403" t="s">
        <v>14</v>
      </c>
      <c r="C403" t="str">
        <f>_xlfn.IFNA(VLOOKUP($B403,ref!$B$2:$C$34,2,FALSE),"NA")</f>
        <v>Spot</v>
      </c>
      <c r="D403" s="5">
        <v>4090</v>
      </c>
      <c r="E403">
        <v>32</v>
      </c>
      <c r="F403" s="1">
        <v>0.57999999999999996</v>
      </c>
      <c r="G403" s="1">
        <v>0.50800000000000001</v>
      </c>
      <c r="H403" s="10">
        <f t="shared" si="6"/>
        <v>0.12413793103448267</v>
      </c>
    </row>
    <row r="404" spans="1:8" x14ac:dyDescent="0.25">
      <c r="A404" s="4">
        <v>45738</v>
      </c>
      <c r="B404" t="s">
        <v>14</v>
      </c>
      <c r="C404" t="str">
        <f>_xlfn.IFNA(VLOOKUP($B404,ref!$B$2:$C$34,2,FALSE),"NA")</f>
        <v>Spot</v>
      </c>
      <c r="D404" s="5" t="s">
        <v>7</v>
      </c>
      <c r="E404">
        <v>32</v>
      </c>
      <c r="F404" s="1">
        <v>3.1</v>
      </c>
      <c r="G404" s="1">
        <v>2.66</v>
      </c>
      <c r="H404" s="10">
        <f t="shared" si="6"/>
        <v>0.14193548387096777</v>
      </c>
    </row>
    <row r="405" spans="1:8" x14ac:dyDescent="0.25">
      <c r="A405" s="4">
        <v>45731</v>
      </c>
      <c r="B405" t="s">
        <v>14</v>
      </c>
      <c r="C405" t="str">
        <f>_xlfn.IFNA(VLOOKUP($B405,ref!$B$2:$C$34,2,FALSE),"NA")</f>
        <v>Spot</v>
      </c>
      <c r="D405" s="5" t="s">
        <v>7</v>
      </c>
      <c r="E405">
        <v>32</v>
      </c>
      <c r="F405" s="1">
        <v>3.1</v>
      </c>
      <c r="G405" s="1">
        <v>2.66</v>
      </c>
      <c r="H405" s="10">
        <f t="shared" si="6"/>
        <v>0.14193548387096777</v>
      </c>
    </row>
    <row r="406" spans="1:8" x14ac:dyDescent="0.25">
      <c r="A406" s="4">
        <v>45731</v>
      </c>
      <c r="B406" t="s">
        <v>14</v>
      </c>
      <c r="C406" t="str">
        <f>_xlfn.IFNA(VLOOKUP($B406,ref!$B$2:$C$34,2,FALSE),"NA")</f>
        <v>Spot</v>
      </c>
      <c r="D406" s="5">
        <v>3090</v>
      </c>
      <c r="E406">
        <v>32</v>
      </c>
      <c r="F406" s="1">
        <v>0.3</v>
      </c>
      <c r="G406" s="1">
        <v>0.26300000000000001</v>
      </c>
      <c r="H406" s="10">
        <f t="shared" si="6"/>
        <v>0.12333333333333329</v>
      </c>
    </row>
    <row r="407" spans="1:8" x14ac:dyDescent="0.25">
      <c r="A407" s="4">
        <v>45727</v>
      </c>
      <c r="B407" t="s">
        <v>14</v>
      </c>
      <c r="C407" t="str">
        <f>_xlfn.IFNA(VLOOKUP($B407,ref!$B$2:$C$34,2,FALSE),"NA")</f>
        <v>Spot</v>
      </c>
      <c r="D407" s="5">
        <v>4090</v>
      </c>
      <c r="E407">
        <v>32</v>
      </c>
      <c r="F407" s="1">
        <v>0.54</v>
      </c>
      <c r="G407" s="1">
        <v>0.39</v>
      </c>
      <c r="H407" s="10">
        <f t="shared" si="6"/>
        <v>0.27777777777777779</v>
      </c>
    </row>
    <row r="408" spans="1:8" x14ac:dyDescent="0.25">
      <c r="A408" s="4">
        <v>45724</v>
      </c>
      <c r="B408" t="s">
        <v>14</v>
      </c>
      <c r="C408" t="str">
        <f>_xlfn.IFNA(VLOOKUP($B408,ref!$B$2:$C$34,2,FALSE),"NA")</f>
        <v>Spot</v>
      </c>
      <c r="D408" s="5" t="s">
        <v>7</v>
      </c>
      <c r="E408">
        <v>32</v>
      </c>
      <c r="F408" s="1">
        <v>3.1</v>
      </c>
      <c r="G408" s="1">
        <v>2.66</v>
      </c>
      <c r="H408" s="10">
        <f t="shared" si="6"/>
        <v>0.14193548387096777</v>
      </c>
    </row>
    <row r="409" spans="1:8" x14ac:dyDescent="0.25">
      <c r="A409" s="4">
        <v>45719</v>
      </c>
      <c r="B409" t="s">
        <v>12</v>
      </c>
      <c r="C409" t="str">
        <f>_xlfn.IFNA(VLOOKUP($B409,ref!$B$2:$C$34,2,FALSE),"NA")</f>
        <v>Spot</v>
      </c>
      <c r="D409" s="5" t="s">
        <v>7</v>
      </c>
      <c r="E409">
        <v>32</v>
      </c>
      <c r="F409" s="1">
        <v>2.4500000000000002</v>
      </c>
      <c r="G409" s="1">
        <v>2.4</v>
      </c>
      <c r="H409" s="10">
        <f t="shared" si="6"/>
        <v>2.0408163265306256E-2</v>
      </c>
    </row>
    <row r="410" spans="1:8" x14ac:dyDescent="0.25">
      <c r="A410" s="4">
        <v>45716</v>
      </c>
      <c r="B410" t="s">
        <v>14</v>
      </c>
      <c r="C410" t="str">
        <f>_xlfn.IFNA(VLOOKUP($B410,ref!$B$2:$C$34,2,FALSE),"NA")</f>
        <v>Spot</v>
      </c>
      <c r="D410" s="5" t="s">
        <v>7</v>
      </c>
      <c r="E410">
        <v>32</v>
      </c>
      <c r="F410" s="1">
        <v>3.1</v>
      </c>
      <c r="G410" s="1">
        <v>2.66</v>
      </c>
      <c r="H410" s="10">
        <f t="shared" si="6"/>
        <v>0.14193548387096777</v>
      </c>
    </row>
    <row r="411" spans="1:8" x14ac:dyDescent="0.25">
      <c r="A411" s="4">
        <v>45714</v>
      </c>
      <c r="B411" t="s">
        <v>14</v>
      </c>
      <c r="C411" t="str">
        <f>_xlfn.IFNA(VLOOKUP($B411,ref!$B$2:$C$34,2,FALSE),"NA")</f>
        <v>Spot</v>
      </c>
      <c r="D411" s="5">
        <v>4090</v>
      </c>
      <c r="E411">
        <v>32</v>
      </c>
      <c r="F411" s="1">
        <v>0.57999999999999996</v>
      </c>
      <c r="G411" s="1">
        <v>0.50800000000000001</v>
      </c>
      <c r="H411" s="10">
        <f t="shared" si="6"/>
        <v>0.12413793103448267</v>
      </c>
    </row>
    <row r="412" spans="1:8" x14ac:dyDescent="0.25">
      <c r="A412" s="4">
        <v>45714</v>
      </c>
      <c r="B412" t="s">
        <v>14</v>
      </c>
      <c r="C412" t="str">
        <f>_xlfn.IFNA(VLOOKUP($B412,ref!$B$2:$C$34,2,FALSE),"NA")</f>
        <v>Spot</v>
      </c>
      <c r="D412" s="5">
        <v>4090</v>
      </c>
      <c r="E412">
        <v>32</v>
      </c>
      <c r="F412" s="1">
        <v>0.57999999999999996</v>
      </c>
      <c r="G412" s="1">
        <v>0.50800000000000001</v>
      </c>
      <c r="H412" s="10">
        <f t="shared" si="6"/>
        <v>0.12413793103448267</v>
      </c>
    </row>
    <row r="413" spans="1:8" x14ac:dyDescent="0.25">
      <c r="A413" s="4">
        <v>45714</v>
      </c>
      <c r="B413" t="s">
        <v>14</v>
      </c>
      <c r="C413" t="str">
        <f>_xlfn.IFNA(VLOOKUP($B413,ref!$B$2:$C$34,2,FALSE),"NA")</f>
        <v>Spot</v>
      </c>
      <c r="D413" s="5">
        <v>4090</v>
      </c>
      <c r="E413">
        <v>32</v>
      </c>
      <c r="F413" s="1">
        <v>0.57999999999999996</v>
      </c>
      <c r="G413" s="1">
        <v>0.50800000000000001</v>
      </c>
      <c r="H413" s="10">
        <f t="shared" si="6"/>
        <v>0.12413793103448267</v>
      </c>
    </row>
    <row r="414" spans="1:8" x14ac:dyDescent="0.25">
      <c r="A414" s="4">
        <v>45714</v>
      </c>
      <c r="B414" t="s">
        <v>14</v>
      </c>
      <c r="C414" t="str">
        <f>_xlfn.IFNA(VLOOKUP($B414,ref!$B$2:$C$34,2,FALSE),"NA")</f>
        <v>Spot</v>
      </c>
      <c r="D414" s="5">
        <v>4090</v>
      </c>
      <c r="E414">
        <v>32</v>
      </c>
      <c r="F414" s="1">
        <v>0.57999999999999996</v>
      </c>
      <c r="G414" s="1">
        <v>0.50800000000000001</v>
      </c>
      <c r="H414" s="10">
        <f t="shared" si="6"/>
        <v>0.12413793103448267</v>
      </c>
    </row>
    <row r="415" spans="1:8" x14ac:dyDescent="0.25">
      <c r="A415" s="4">
        <v>45713</v>
      </c>
      <c r="B415" t="s">
        <v>24</v>
      </c>
      <c r="C415" t="str">
        <f>_xlfn.IFNA(VLOOKUP($B415,ref!$B$2:$C$34,2,FALSE),"NA")</f>
        <v>Misc</v>
      </c>
      <c r="D415" s="5" t="s">
        <v>7</v>
      </c>
      <c r="E415">
        <v>32</v>
      </c>
      <c r="F415" s="1">
        <v>2.95</v>
      </c>
      <c r="G415" s="1">
        <v>2.5</v>
      </c>
      <c r="H415" s="10">
        <f t="shared" si="6"/>
        <v>0.15254237288135597</v>
      </c>
    </row>
    <row r="416" spans="1:8" x14ac:dyDescent="0.25">
      <c r="A416" s="4">
        <v>45713</v>
      </c>
      <c r="B416" t="s">
        <v>24</v>
      </c>
      <c r="C416" t="str">
        <f>_xlfn.IFNA(VLOOKUP($B416,ref!$B$2:$C$34,2,FALSE),"NA")</f>
        <v>Misc</v>
      </c>
      <c r="D416" s="5" t="s">
        <v>7</v>
      </c>
      <c r="E416">
        <v>32</v>
      </c>
      <c r="F416" s="1">
        <v>2.95</v>
      </c>
      <c r="G416" s="1">
        <v>2.5</v>
      </c>
      <c r="H416" s="10">
        <f t="shared" si="6"/>
        <v>0.15254237288135597</v>
      </c>
    </row>
    <row r="417" spans="1:8" x14ac:dyDescent="0.25">
      <c r="A417" s="4">
        <v>45713</v>
      </c>
      <c r="B417" t="s">
        <v>24</v>
      </c>
      <c r="C417" t="str">
        <f>_xlfn.IFNA(VLOOKUP($B417,ref!$B$2:$C$34,2,FALSE),"NA")</f>
        <v>Misc</v>
      </c>
      <c r="D417" s="5" t="s">
        <v>7</v>
      </c>
      <c r="E417">
        <v>32</v>
      </c>
      <c r="F417" s="1">
        <v>2.95</v>
      </c>
      <c r="G417" s="1">
        <v>2.5</v>
      </c>
      <c r="H417" s="10">
        <f t="shared" si="6"/>
        <v>0.15254237288135597</v>
      </c>
    </row>
    <row r="418" spans="1:8" x14ac:dyDescent="0.25">
      <c r="A418" s="4">
        <v>45711</v>
      </c>
      <c r="B418" t="s">
        <v>14</v>
      </c>
      <c r="C418" t="str">
        <f>_xlfn.IFNA(VLOOKUP($B418,ref!$B$2:$C$34,2,FALSE),"NA")</f>
        <v>Spot</v>
      </c>
      <c r="D418" s="5" t="s">
        <v>7</v>
      </c>
      <c r="E418">
        <v>32</v>
      </c>
      <c r="F418" s="1">
        <v>3.1</v>
      </c>
      <c r="G418" s="1">
        <v>2.66</v>
      </c>
      <c r="H418" s="10">
        <f t="shared" si="6"/>
        <v>0.14193548387096777</v>
      </c>
    </row>
    <row r="419" spans="1:8" x14ac:dyDescent="0.25">
      <c r="A419" s="4">
        <v>45709</v>
      </c>
      <c r="B419" t="s">
        <v>24</v>
      </c>
      <c r="C419" t="str">
        <f>_xlfn.IFNA(VLOOKUP($B419,ref!$B$2:$C$34,2,FALSE),"NA")</f>
        <v>Misc</v>
      </c>
      <c r="D419" s="5" t="s">
        <v>7</v>
      </c>
      <c r="E419">
        <v>32</v>
      </c>
      <c r="F419" s="1">
        <v>2.5</v>
      </c>
      <c r="G419" s="1">
        <v>2.1</v>
      </c>
      <c r="H419" s="10">
        <f t="shared" si="6"/>
        <v>0.15999999999999992</v>
      </c>
    </row>
    <row r="420" spans="1:8" x14ac:dyDescent="0.25">
      <c r="A420" s="4">
        <v>45709</v>
      </c>
      <c r="B420" t="s">
        <v>24</v>
      </c>
      <c r="C420" t="str">
        <f>_xlfn.IFNA(VLOOKUP($B420,ref!$B$2:$C$34,2,FALSE),"NA")</f>
        <v>Misc</v>
      </c>
      <c r="D420" s="5" t="s">
        <v>7</v>
      </c>
      <c r="E420">
        <v>32</v>
      </c>
      <c r="F420" s="1">
        <v>3.1</v>
      </c>
      <c r="G420" s="1">
        <v>2.7</v>
      </c>
      <c r="H420" s="10">
        <f t="shared" si="6"/>
        <v>0.12903225806451613</v>
      </c>
    </row>
    <row r="421" spans="1:8" x14ac:dyDescent="0.25">
      <c r="A421" s="4">
        <v>45707</v>
      </c>
      <c r="B421" t="s">
        <v>12</v>
      </c>
      <c r="C421" t="str">
        <f>_xlfn.IFNA(VLOOKUP($B421,ref!$B$2:$C$34,2,FALSE),"NA")</f>
        <v>Spot</v>
      </c>
      <c r="D421" s="5" t="s">
        <v>10</v>
      </c>
      <c r="E421">
        <v>32</v>
      </c>
      <c r="F421" s="1">
        <v>2.25</v>
      </c>
      <c r="G421" s="1">
        <v>1.9</v>
      </c>
      <c r="H421" s="10">
        <f t="shared" si="6"/>
        <v>0.15555555555555556</v>
      </c>
    </row>
    <row r="422" spans="1:8" x14ac:dyDescent="0.25">
      <c r="A422" s="4">
        <v>45689</v>
      </c>
      <c r="B422" t="s">
        <v>12</v>
      </c>
      <c r="C422" t="str">
        <f>_xlfn.IFNA(VLOOKUP($B422,ref!$B$2:$C$34,2,FALSE),"NA")</f>
        <v>Spot</v>
      </c>
      <c r="D422" s="5" t="s">
        <v>7</v>
      </c>
      <c r="E422">
        <v>32</v>
      </c>
      <c r="F422" s="1">
        <v>2.4500000000000002</v>
      </c>
      <c r="G422" s="1">
        <v>2.4</v>
      </c>
      <c r="H422" s="10">
        <f t="shared" si="6"/>
        <v>2.0408163265306256E-2</v>
      </c>
    </row>
    <row r="423" spans="1:8" x14ac:dyDescent="0.25">
      <c r="A423" s="4">
        <v>45671</v>
      </c>
      <c r="C423" t="str">
        <f>_xlfn.IFNA(VLOOKUP($B423,ref!$B$2:$C$34,2,FALSE),"NA")</f>
        <v>NA</v>
      </c>
      <c r="D423" s="5" t="s">
        <v>10</v>
      </c>
      <c r="E423">
        <v>32</v>
      </c>
      <c r="F423" s="1">
        <v>2.15</v>
      </c>
      <c r="G423" s="1">
        <v>1.9</v>
      </c>
      <c r="H423" s="10">
        <f t="shared" si="6"/>
        <v>0.11627906976744184</v>
      </c>
    </row>
    <row r="424" spans="1:8" x14ac:dyDescent="0.25">
      <c r="A424" s="4">
        <v>45671</v>
      </c>
      <c r="C424" t="str">
        <f>_xlfn.IFNA(VLOOKUP($B424,ref!$B$2:$C$34,2,FALSE),"NA")</f>
        <v>NA</v>
      </c>
      <c r="D424" s="5" t="s">
        <v>10</v>
      </c>
      <c r="E424">
        <v>32</v>
      </c>
      <c r="F424" s="1">
        <v>2.15</v>
      </c>
      <c r="G424" s="1">
        <v>1.9</v>
      </c>
      <c r="H424" s="10">
        <f t="shared" si="6"/>
        <v>0.11627906976744184</v>
      </c>
    </row>
    <row r="425" spans="1:8" x14ac:dyDescent="0.25">
      <c r="A425" s="4">
        <v>45670</v>
      </c>
      <c r="B425" t="s">
        <v>12</v>
      </c>
      <c r="C425" t="str">
        <f>_xlfn.IFNA(VLOOKUP($B425,ref!$B$2:$C$34,2,FALSE),"NA")</f>
        <v>Spot</v>
      </c>
      <c r="D425" s="5" t="s">
        <v>7</v>
      </c>
      <c r="E425">
        <v>32</v>
      </c>
      <c r="F425" s="1">
        <v>3.2</v>
      </c>
      <c r="G425" s="1">
        <v>2.72</v>
      </c>
      <c r="H425" s="10">
        <f t="shared" si="6"/>
        <v>0.15000000000000002</v>
      </c>
    </row>
    <row r="426" spans="1:8" x14ac:dyDescent="0.25">
      <c r="A426" s="4">
        <v>45670</v>
      </c>
      <c r="B426" t="s">
        <v>12</v>
      </c>
      <c r="C426" t="str">
        <f>_xlfn.IFNA(VLOOKUP($B426,ref!$B$2:$C$34,2,FALSE),"NA")</f>
        <v>Spot</v>
      </c>
      <c r="D426" s="5" t="s">
        <v>7</v>
      </c>
      <c r="E426">
        <v>32</v>
      </c>
      <c r="F426" s="1">
        <v>3.2</v>
      </c>
      <c r="G426" s="1">
        <v>2.72</v>
      </c>
      <c r="H426" s="10">
        <f t="shared" si="6"/>
        <v>0.15000000000000002</v>
      </c>
    </row>
    <row r="427" spans="1:8" x14ac:dyDescent="0.25">
      <c r="A427" s="4">
        <v>45901</v>
      </c>
      <c r="B427" t="s">
        <v>31</v>
      </c>
      <c r="C427" t="str">
        <f>_xlfn.IFNA(VLOOKUP($B427,ref!$B$2:$C$34,2,FALSE),"NA")</f>
        <v>1 Month</v>
      </c>
      <c r="D427" s="5" t="s">
        <v>16</v>
      </c>
      <c r="E427">
        <v>25</v>
      </c>
      <c r="F427" s="1">
        <v>70</v>
      </c>
      <c r="G427" s="1">
        <v>40</v>
      </c>
      <c r="H427" s="10">
        <f t="shared" si="6"/>
        <v>0.4285714285714286</v>
      </c>
    </row>
    <row r="428" spans="1:8" x14ac:dyDescent="0.25">
      <c r="A428" s="4">
        <v>46066</v>
      </c>
      <c r="B428" t="s">
        <v>68</v>
      </c>
      <c r="C428" t="str">
        <f>_xlfn.IFNA(VLOOKUP($B428,ref!$B$2:$C$34,2,FALSE),"NA")</f>
        <v>4 Month</v>
      </c>
      <c r="D428" s="5">
        <v>5090</v>
      </c>
      <c r="E428">
        <v>24</v>
      </c>
      <c r="F428" s="1">
        <v>0.5</v>
      </c>
      <c r="G428" s="1">
        <v>0.43</v>
      </c>
      <c r="H428" s="10">
        <f t="shared" si="6"/>
        <v>0.14000000000000001</v>
      </c>
    </row>
    <row r="429" spans="1:8" x14ac:dyDescent="0.25">
      <c r="A429" s="4">
        <v>46051</v>
      </c>
      <c r="B429" t="s">
        <v>9</v>
      </c>
      <c r="C429" t="str">
        <f>_xlfn.IFNA(VLOOKUP($B429,ref!$B$2:$C$34,2,FALSE),"NA")</f>
        <v>12 Month</v>
      </c>
      <c r="D429" s="5" t="s">
        <v>10</v>
      </c>
      <c r="E429">
        <v>24</v>
      </c>
      <c r="F429" s="1">
        <v>1.45</v>
      </c>
      <c r="G429" s="1">
        <v>1.35</v>
      </c>
      <c r="H429" s="10">
        <f t="shared" si="6"/>
        <v>6.8965517241379226E-2</v>
      </c>
    </row>
    <row r="430" spans="1:8" x14ac:dyDescent="0.25">
      <c r="A430" s="4">
        <v>46051</v>
      </c>
      <c r="B430" t="s">
        <v>9</v>
      </c>
      <c r="C430" t="str">
        <f>_xlfn.IFNA(VLOOKUP($B430,ref!$B$2:$C$34,2,FALSE),"NA")</f>
        <v>12 Month</v>
      </c>
      <c r="D430" s="5" t="s">
        <v>10</v>
      </c>
      <c r="E430">
        <v>24</v>
      </c>
      <c r="F430" s="1">
        <v>1.45</v>
      </c>
      <c r="G430" s="1">
        <v>1.35</v>
      </c>
      <c r="H430" s="10">
        <f t="shared" si="6"/>
        <v>6.8965517241379226E-2</v>
      </c>
    </row>
    <row r="431" spans="1:8" x14ac:dyDescent="0.25">
      <c r="A431" s="4">
        <v>46051</v>
      </c>
      <c r="B431" t="s">
        <v>9</v>
      </c>
      <c r="C431" t="str">
        <f>_xlfn.IFNA(VLOOKUP($B431,ref!$B$2:$C$34,2,FALSE),"NA")</f>
        <v>12 Month</v>
      </c>
      <c r="D431" s="5" t="s">
        <v>10</v>
      </c>
      <c r="E431">
        <v>24</v>
      </c>
      <c r="F431" s="1">
        <v>1.45</v>
      </c>
      <c r="G431" s="1">
        <v>1.35</v>
      </c>
      <c r="H431" s="10">
        <f t="shared" si="6"/>
        <v>6.8965517241379226E-2</v>
      </c>
    </row>
    <row r="432" spans="1:8" x14ac:dyDescent="0.25">
      <c r="A432" s="4">
        <v>46044</v>
      </c>
      <c r="B432" t="s">
        <v>31</v>
      </c>
      <c r="C432" t="str">
        <f>_xlfn.IFNA(VLOOKUP($B432,ref!$B$2:$C$34,2,FALSE),"NA")</f>
        <v>1 Month</v>
      </c>
      <c r="D432" s="5" t="s">
        <v>64</v>
      </c>
      <c r="E432">
        <v>24</v>
      </c>
      <c r="F432" s="1">
        <v>1.4</v>
      </c>
      <c r="G432" s="1">
        <v>1.2</v>
      </c>
      <c r="H432" s="10">
        <f t="shared" si="6"/>
        <v>0.14285714285714279</v>
      </c>
    </row>
    <row r="433" spans="1:8" x14ac:dyDescent="0.25">
      <c r="A433" s="4">
        <v>46027</v>
      </c>
      <c r="B433" t="s">
        <v>31</v>
      </c>
      <c r="C433" t="str">
        <f>_xlfn.IFNA(VLOOKUP($B433,ref!$B$2:$C$34,2,FALSE),"NA")</f>
        <v>1 Month</v>
      </c>
      <c r="D433" s="5">
        <v>4090</v>
      </c>
      <c r="E433">
        <v>24</v>
      </c>
      <c r="F433" s="1">
        <v>0.45</v>
      </c>
      <c r="G433" s="1">
        <v>0.39</v>
      </c>
      <c r="H433" s="10">
        <f t="shared" si="6"/>
        <v>0.1333333333333333</v>
      </c>
    </row>
    <row r="434" spans="1:8" x14ac:dyDescent="0.25">
      <c r="A434" s="4">
        <v>45992</v>
      </c>
      <c r="C434" t="str">
        <f>_xlfn.IFNA(VLOOKUP($B434,ref!$B$2:$C$34,2,FALSE),"NA")</f>
        <v>NA</v>
      </c>
      <c r="D434" s="5" t="s">
        <v>46</v>
      </c>
      <c r="E434">
        <v>24</v>
      </c>
      <c r="F434" s="1">
        <v>2.8</v>
      </c>
      <c r="G434" s="1">
        <v>2.6</v>
      </c>
      <c r="H434" s="10">
        <f t="shared" si="6"/>
        <v>7.1428571428571286E-2</v>
      </c>
    </row>
    <row r="435" spans="1:8" x14ac:dyDescent="0.25">
      <c r="A435" s="4">
        <v>45992</v>
      </c>
      <c r="B435" t="s">
        <v>6</v>
      </c>
      <c r="C435" t="str">
        <f>_xlfn.IFNA(VLOOKUP($B435,ref!$B$2:$C$34,2,FALSE),"NA")</f>
        <v>3 Month</v>
      </c>
      <c r="D435" s="5" t="s">
        <v>46</v>
      </c>
      <c r="E435">
        <v>24</v>
      </c>
      <c r="F435" s="1">
        <v>3.5</v>
      </c>
      <c r="G435" s="1">
        <v>3.4</v>
      </c>
      <c r="H435" s="10">
        <f t="shared" si="6"/>
        <v>2.8571428571428581E-2</v>
      </c>
    </row>
    <row r="436" spans="1:8" x14ac:dyDescent="0.25">
      <c r="A436" s="4">
        <v>45992</v>
      </c>
      <c r="C436" t="str">
        <f>_xlfn.IFNA(VLOOKUP($B436,ref!$B$2:$C$34,2,FALSE),"NA")</f>
        <v>NA</v>
      </c>
      <c r="D436" s="5" t="s">
        <v>46</v>
      </c>
      <c r="E436">
        <v>24</v>
      </c>
      <c r="F436" s="1">
        <v>2.8</v>
      </c>
      <c r="G436" s="1">
        <v>2.6</v>
      </c>
      <c r="H436" s="10">
        <f t="shared" si="6"/>
        <v>7.1428571428571286E-2</v>
      </c>
    </row>
    <row r="437" spans="1:8" x14ac:dyDescent="0.25">
      <c r="A437" s="4">
        <v>45985</v>
      </c>
      <c r="B437" t="s">
        <v>35</v>
      </c>
      <c r="C437" t="str">
        <f>_xlfn.IFNA(VLOOKUP($B437,ref!$B$2:$C$34,2,FALSE),"NA")</f>
        <v>Misc</v>
      </c>
      <c r="D437" s="5" t="s">
        <v>46</v>
      </c>
      <c r="E437">
        <v>24</v>
      </c>
      <c r="F437" s="1">
        <v>2.8</v>
      </c>
      <c r="G437" s="1">
        <v>2.6</v>
      </c>
      <c r="H437" s="10">
        <f t="shared" si="6"/>
        <v>7.1428571428571286E-2</v>
      </c>
    </row>
    <row r="438" spans="1:8" x14ac:dyDescent="0.25">
      <c r="A438" s="4">
        <v>45982</v>
      </c>
      <c r="B438" t="s">
        <v>35</v>
      </c>
      <c r="C438" t="str">
        <f>_xlfn.IFNA(VLOOKUP($B438,ref!$B$2:$C$34,2,FALSE),"NA")</f>
        <v>Misc</v>
      </c>
      <c r="D438" s="5" t="s">
        <v>46</v>
      </c>
      <c r="E438">
        <v>24</v>
      </c>
      <c r="F438" s="1">
        <v>2.65</v>
      </c>
      <c r="G438" s="1">
        <v>2.4500000000000002</v>
      </c>
      <c r="H438" s="10">
        <f t="shared" si="6"/>
        <v>7.5471698113207419E-2</v>
      </c>
    </row>
    <row r="439" spans="1:8" x14ac:dyDescent="0.25">
      <c r="A439" s="4">
        <v>45982</v>
      </c>
      <c r="B439" t="s">
        <v>27</v>
      </c>
      <c r="C439" t="str">
        <f>_xlfn.IFNA(VLOOKUP($B439,ref!$B$2:$C$34,2,FALSE),"NA")</f>
        <v>Misc</v>
      </c>
      <c r="D439" s="5" t="s">
        <v>46</v>
      </c>
      <c r="E439">
        <v>24</v>
      </c>
      <c r="F439" s="1">
        <v>2.65</v>
      </c>
      <c r="G439" s="1">
        <v>2.5</v>
      </c>
      <c r="H439" s="10">
        <f t="shared" si="6"/>
        <v>5.6603773584905648E-2</v>
      </c>
    </row>
    <row r="440" spans="1:8" x14ac:dyDescent="0.25">
      <c r="A440" s="4">
        <v>45906</v>
      </c>
      <c r="B440" t="s">
        <v>14</v>
      </c>
      <c r="C440" t="str">
        <f>_xlfn.IFNA(VLOOKUP($B440,ref!$B$2:$C$34,2,FALSE),"NA")</f>
        <v>Spot</v>
      </c>
      <c r="D440" s="5" t="s">
        <v>46</v>
      </c>
      <c r="E440">
        <v>24</v>
      </c>
      <c r="F440" s="1">
        <v>2.85</v>
      </c>
      <c r="G440" s="1">
        <v>2.65</v>
      </c>
      <c r="H440" s="10">
        <f t="shared" si="6"/>
        <v>7.0175438596491335E-2</v>
      </c>
    </row>
    <row r="441" spans="1:8" x14ac:dyDescent="0.25">
      <c r="A441" s="4">
        <v>45843</v>
      </c>
      <c r="B441" t="s">
        <v>31</v>
      </c>
      <c r="C441" t="str">
        <f>_xlfn.IFNA(VLOOKUP($B441,ref!$B$2:$C$34,2,FALSE),"NA")</f>
        <v>1 Month</v>
      </c>
      <c r="E441">
        <v>24</v>
      </c>
      <c r="F441" s="1">
        <v>0.55000000000000004</v>
      </c>
      <c r="G441" s="1">
        <v>0.47</v>
      </c>
      <c r="H441" s="10">
        <f t="shared" si="6"/>
        <v>0.14545454545454561</v>
      </c>
    </row>
    <row r="442" spans="1:8" x14ac:dyDescent="0.25">
      <c r="A442" s="4">
        <v>45839</v>
      </c>
      <c r="B442" t="s">
        <v>31</v>
      </c>
      <c r="C442" t="str">
        <f>_xlfn.IFNA(VLOOKUP($B442,ref!$B$2:$C$34,2,FALSE),"NA")</f>
        <v>1 Month</v>
      </c>
      <c r="D442" s="5" t="s">
        <v>10</v>
      </c>
      <c r="E442">
        <v>24</v>
      </c>
      <c r="F442" s="1">
        <v>2.4</v>
      </c>
      <c r="G442" s="1">
        <v>2.1</v>
      </c>
      <c r="H442" s="10">
        <f t="shared" si="6"/>
        <v>0.12499999999999989</v>
      </c>
    </row>
    <row r="443" spans="1:8" x14ac:dyDescent="0.25">
      <c r="A443" s="4">
        <v>45839</v>
      </c>
      <c r="B443" t="s">
        <v>31</v>
      </c>
      <c r="C443" t="str">
        <f>_xlfn.IFNA(VLOOKUP($B443,ref!$B$2:$C$34,2,FALSE),"NA")</f>
        <v>1 Month</v>
      </c>
      <c r="D443" s="5" t="s">
        <v>10</v>
      </c>
      <c r="E443">
        <v>24</v>
      </c>
      <c r="F443" s="1">
        <v>2.4</v>
      </c>
      <c r="G443" s="1">
        <v>2.1</v>
      </c>
      <c r="H443" s="10">
        <f t="shared" si="6"/>
        <v>0.12499999999999989</v>
      </c>
    </row>
    <row r="444" spans="1:8" x14ac:dyDescent="0.25">
      <c r="A444" s="4">
        <v>45839</v>
      </c>
      <c r="B444" t="s">
        <v>31</v>
      </c>
      <c r="C444" t="str">
        <f>_xlfn.IFNA(VLOOKUP($B444,ref!$B$2:$C$34,2,FALSE),"NA")</f>
        <v>1 Month</v>
      </c>
      <c r="D444" s="5" t="s">
        <v>10</v>
      </c>
      <c r="E444">
        <v>24</v>
      </c>
      <c r="F444" s="1">
        <v>2.4</v>
      </c>
      <c r="G444" s="1">
        <v>2.1</v>
      </c>
      <c r="H444" s="10">
        <f t="shared" si="6"/>
        <v>0.12499999999999989</v>
      </c>
    </row>
    <row r="445" spans="1:8" x14ac:dyDescent="0.25">
      <c r="A445" s="4">
        <v>45839</v>
      </c>
      <c r="B445" t="s">
        <v>31</v>
      </c>
      <c r="C445" t="str">
        <f>_xlfn.IFNA(VLOOKUP($B445,ref!$B$2:$C$34,2,FALSE),"NA")</f>
        <v>1 Month</v>
      </c>
      <c r="D445" s="5" t="s">
        <v>10</v>
      </c>
      <c r="E445">
        <v>24</v>
      </c>
      <c r="F445" s="1">
        <v>2.4</v>
      </c>
      <c r="G445" s="1">
        <v>2.1</v>
      </c>
      <c r="H445" s="10">
        <f t="shared" si="6"/>
        <v>0.12499999999999989</v>
      </c>
    </row>
    <row r="446" spans="1:8" x14ac:dyDescent="0.25">
      <c r="A446" s="4">
        <v>45839</v>
      </c>
      <c r="B446" t="s">
        <v>31</v>
      </c>
      <c r="C446" t="str">
        <f>_xlfn.IFNA(VLOOKUP($B446,ref!$B$2:$C$34,2,FALSE),"NA")</f>
        <v>1 Month</v>
      </c>
      <c r="D446" s="5" t="s">
        <v>10</v>
      </c>
      <c r="E446">
        <v>24</v>
      </c>
      <c r="F446" s="1">
        <v>2.4</v>
      </c>
      <c r="G446" s="1">
        <v>2.1</v>
      </c>
      <c r="H446" s="10">
        <f t="shared" si="6"/>
        <v>0.12499999999999989</v>
      </c>
    </row>
    <row r="447" spans="1:8" x14ac:dyDescent="0.25">
      <c r="A447" s="4">
        <v>45839</v>
      </c>
      <c r="B447" t="s">
        <v>31</v>
      </c>
      <c r="C447" t="str">
        <f>_xlfn.IFNA(VLOOKUP($B447,ref!$B$2:$C$34,2,FALSE),"NA")</f>
        <v>1 Month</v>
      </c>
      <c r="D447" s="5" t="s">
        <v>10</v>
      </c>
      <c r="E447">
        <v>24</v>
      </c>
      <c r="F447" s="1">
        <v>2.4</v>
      </c>
      <c r="G447" s="1">
        <v>2.1</v>
      </c>
      <c r="H447" s="10">
        <f t="shared" si="6"/>
        <v>0.12499999999999989</v>
      </c>
    </row>
    <row r="448" spans="1:8" x14ac:dyDescent="0.25">
      <c r="A448" s="4">
        <v>45814</v>
      </c>
      <c r="B448" t="s">
        <v>31</v>
      </c>
      <c r="C448" t="str">
        <f>_xlfn.IFNA(VLOOKUP($B448,ref!$B$2:$C$34,2,FALSE),"NA")</f>
        <v>1 Month</v>
      </c>
      <c r="D448" s="5" t="s">
        <v>18</v>
      </c>
      <c r="E448">
        <v>24</v>
      </c>
      <c r="F448" s="1">
        <v>0.85</v>
      </c>
      <c r="G448" s="1">
        <v>0.75</v>
      </c>
      <c r="H448" s="10">
        <f t="shared" si="6"/>
        <v>0.11764705882352944</v>
      </c>
    </row>
    <row r="449" spans="1:8" x14ac:dyDescent="0.25">
      <c r="A449" s="4">
        <v>45805</v>
      </c>
      <c r="B449" t="s">
        <v>14</v>
      </c>
      <c r="C449" t="str">
        <f>_xlfn.IFNA(VLOOKUP($B449,ref!$B$2:$C$34,2,FALSE),"NA")</f>
        <v>Spot</v>
      </c>
      <c r="D449" s="5">
        <v>4090</v>
      </c>
      <c r="E449">
        <v>24</v>
      </c>
      <c r="F449" s="1">
        <v>0.52</v>
      </c>
      <c r="G449" s="1">
        <v>0.45500000000000002</v>
      </c>
      <c r="H449" s="10">
        <f t="shared" si="6"/>
        <v>0.125</v>
      </c>
    </row>
    <row r="450" spans="1:8" x14ac:dyDescent="0.25">
      <c r="A450" s="4">
        <v>45805</v>
      </c>
      <c r="B450" t="s">
        <v>14</v>
      </c>
      <c r="C450" t="str">
        <f>_xlfn.IFNA(VLOOKUP($B450,ref!$B$2:$C$34,2,FALSE),"NA")</f>
        <v>Spot</v>
      </c>
      <c r="D450" s="5">
        <v>4090</v>
      </c>
      <c r="E450">
        <v>24</v>
      </c>
      <c r="F450" s="1">
        <v>0.52</v>
      </c>
      <c r="G450" s="1">
        <v>0.45500000000000002</v>
      </c>
      <c r="H450" s="10">
        <f t="shared" si="6"/>
        <v>0.125</v>
      </c>
    </row>
    <row r="451" spans="1:8" x14ac:dyDescent="0.25">
      <c r="A451" s="4">
        <v>45805</v>
      </c>
      <c r="B451" t="s">
        <v>14</v>
      </c>
      <c r="C451" t="str">
        <f>_xlfn.IFNA(VLOOKUP($B451,ref!$B$2:$C$34,2,FALSE),"NA")</f>
        <v>Spot</v>
      </c>
      <c r="D451" s="5">
        <v>4090</v>
      </c>
      <c r="E451">
        <v>24</v>
      </c>
      <c r="F451" s="1">
        <v>0.52</v>
      </c>
      <c r="G451" s="1">
        <v>0.45500000000000002</v>
      </c>
      <c r="H451" s="10">
        <f t="shared" ref="H451:H514" si="7">1-(G451/F451)</f>
        <v>0.125</v>
      </c>
    </row>
    <row r="452" spans="1:8" x14ac:dyDescent="0.25">
      <c r="A452" s="4">
        <v>45805</v>
      </c>
      <c r="B452" t="s">
        <v>14</v>
      </c>
      <c r="C452" t="str">
        <f>_xlfn.IFNA(VLOOKUP($B452,ref!$B$2:$C$34,2,FALSE),"NA")</f>
        <v>Spot</v>
      </c>
      <c r="D452" s="5">
        <v>4090</v>
      </c>
      <c r="E452">
        <v>24</v>
      </c>
      <c r="F452" s="1">
        <v>0.52</v>
      </c>
      <c r="G452" s="1">
        <v>0.45500000000000002</v>
      </c>
      <c r="H452" s="10">
        <f t="shared" si="7"/>
        <v>0.125</v>
      </c>
    </row>
    <row r="453" spans="1:8" x14ac:dyDescent="0.25">
      <c r="A453" s="4">
        <v>45805</v>
      </c>
      <c r="B453" t="s">
        <v>14</v>
      </c>
      <c r="C453" t="str">
        <f>_xlfn.IFNA(VLOOKUP($B453,ref!$B$2:$C$34,2,FALSE),"NA")</f>
        <v>Spot</v>
      </c>
      <c r="D453" s="5">
        <v>4090</v>
      </c>
      <c r="E453">
        <v>24</v>
      </c>
      <c r="F453" s="1">
        <v>0.52</v>
      </c>
      <c r="G453" s="1">
        <v>0.45500000000000002</v>
      </c>
      <c r="H453" s="10">
        <f t="shared" si="7"/>
        <v>0.125</v>
      </c>
    </row>
    <row r="454" spans="1:8" x14ac:dyDescent="0.25">
      <c r="A454" s="4">
        <v>45805</v>
      </c>
      <c r="B454" t="s">
        <v>14</v>
      </c>
      <c r="C454" t="str">
        <f>_xlfn.IFNA(VLOOKUP($B454,ref!$B$2:$C$34,2,FALSE),"NA")</f>
        <v>Spot</v>
      </c>
      <c r="D454" s="5">
        <v>4090</v>
      </c>
      <c r="E454">
        <v>24</v>
      </c>
      <c r="F454" s="1">
        <v>0.52</v>
      </c>
      <c r="G454" s="1">
        <v>0.45500000000000002</v>
      </c>
      <c r="H454" s="10">
        <f t="shared" si="7"/>
        <v>0.125</v>
      </c>
    </row>
    <row r="455" spans="1:8" x14ac:dyDescent="0.25">
      <c r="A455" s="4">
        <v>45779</v>
      </c>
      <c r="B455" t="s">
        <v>14</v>
      </c>
      <c r="C455" t="str">
        <f>_xlfn.IFNA(VLOOKUP($B455,ref!$B$2:$C$34,2,FALSE),"NA")</f>
        <v>Spot</v>
      </c>
      <c r="D455" s="5">
        <v>4090</v>
      </c>
      <c r="E455">
        <v>24</v>
      </c>
      <c r="F455" s="1">
        <v>0.52</v>
      </c>
      <c r="G455" s="1">
        <v>0.48099999999999998</v>
      </c>
      <c r="H455" s="10">
        <f t="shared" si="7"/>
        <v>7.5000000000000067E-2</v>
      </c>
    </row>
    <row r="456" spans="1:8" x14ac:dyDescent="0.25">
      <c r="A456" s="4">
        <v>45779</v>
      </c>
      <c r="B456" t="s">
        <v>14</v>
      </c>
      <c r="C456" t="str">
        <f>_xlfn.IFNA(VLOOKUP($B456,ref!$B$2:$C$34,2,FALSE),"NA")</f>
        <v>Spot</v>
      </c>
      <c r="D456" s="5">
        <v>4090</v>
      </c>
      <c r="E456">
        <v>24</v>
      </c>
      <c r="F456" s="1">
        <v>0.52</v>
      </c>
      <c r="G456" s="1">
        <v>0.48099999999999998</v>
      </c>
      <c r="H456" s="10">
        <f t="shared" si="7"/>
        <v>7.5000000000000067E-2</v>
      </c>
    </row>
    <row r="457" spans="1:8" x14ac:dyDescent="0.25">
      <c r="A457" s="4">
        <v>45779</v>
      </c>
      <c r="B457" t="s">
        <v>14</v>
      </c>
      <c r="C457" t="str">
        <f>_xlfn.IFNA(VLOOKUP($B457,ref!$B$2:$C$34,2,FALSE),"NA")</f>
        <v>Spot</v>
      </c>
      <c r="D457" s="5">
        <v>4090</v>
      </c>
      <c r="E457">
        <v>24</v>
      </c>
      <c r="F457" s="1">
        <v>0.52</v>
      </c>
      <c r="G457" s="1">
        <v>0.48099999999999998</v>
      </c>
      <c r="H457" s="10">
        <f t="shared" si="7"/>
        <v>7.5000000000000067E-2</v>
      </c>
    </row>
    <row r="458" spans="1:8" x14ac:dyDescent="0.25">
      <c r="A458" s="4">
        <v>45779</v>
      </c>
      <c r="B458" t="s">
        <v>14</v>
      </c>
      <c r="C458" t="str">
        <f>_xlfn.IFNA(VLOOKUP($B458,ref!$B$2:$C$34,2,FALSE),"NA")</f>
        <v>Spot</v>
      </c>
      <c r="D458" s="5">
        <v>4090</v>
      </c>
      <c r="E458">
        <v>24</v>
      </c>
      <c r="F458" s="1">
        <v>0.52</v>
      </c>
      <c r="G458" s="1">
        <v>0.48099999999999998</v>
      </c>
      <c r="H458" s="10">
        <f t="shared" si="7"/>
        <v>7.5000000000000067E-2</v>
      </c>
    </row>
    <row r="459" spans="1:8" x14ac:dyDescent="0.25">
      <c r="A459" s="4">
        <v>45779</v>
      </c>
      <c r="B459" t="s">
        <v>14</v>
      </c>
      <c r="C459" t="str">
        <f>_xlfn.IFNA(VLOOKUP($B459,ref!$B$2:$C$34,2,FALSE),"NA")</f>
        <v>Spot</v>
      </c>
      <c r="D459" s="5">
        <v>4090</v>
      </c>
      <c r="E459">
        <v>24</v>
      </c>
      <c r="F459" s="1">
        <v>0.52</v>
      </c>
      <c r="G459" s="1">
        <v>0.48099999999999998</v>
      </c>
      <c r="H459" s="10">
        <f t="shared" si="7"/>
        <v>7.5000000000000067E-2</v>
      </c>
    </row>
    <row r="460" spans="1:8" x14ac:dyDescent="0.25">
      <c r="A460" s="4">
        <v>45778</v>
      </c>
      <c r="C460" t="str">
        <f>_xlfn.IFNA(VLOOKUP($B460,ref!$B$2:$C$34,2,FALSE),"NA")</f>
        <v>NA</v>
      </c>
      <c r="D460" s="5" t="s">
        <v>10</v>
      </c>
      <c r="E460">
        <v>24</v>
      </c>
      <c r="F460" s="1">
        <v>2.4</v>
      </c>
      <c r="G460" s="1">
        <v>2.1</v>
      </c>
      <c r="H460" s="10">
        <f t="shared" si="7"/>
        <v>0.12499999999999989</v>
      </c>
    </row>
    <row r="461" spans="1:8" x14ac:dyDescent="0.25">
      <c r="A461" s="4">
        <v>45778</v>
      </c>
      <c r="B461" t="s">
        <v>14</v>
      </c>
      <c r="C461" t="str">
        <f>_xlfn.IFNA(VLOOKUP($B461,ref!$B$2:$C$34,2,FALSE),"NA")</f>
        <v>Spot</v>
      </c>
      <c r="D461" s="5" t="s">
        <v>7</v>
      </c>
      <c r="E461">
        <v>24</v>
      </c>
      <c r="F461" s="1">
        <v>3.1</v>
      </c>
      <c r="G461" s="1">
        <v>2.65</v>
      </c>
      <c r="H461" s="10">
        <f t="shared" si="7"/>
        <v>0.14516129032258074</v>
      </c>
    </row>
    <row r="462" spans="1:8" x14ac:dyDescent="0.25">
      <c r="A462" s="4">
        <v>45778</v>
      </c>
      <c r="C462" t="str">
        <f>_xlfn.IFNA(VLOOKUP($B462,ref!$B$2:$C$34,2,FALSE),"NA")</f>
        <v>NA</v>
      </c>
      <c r="D462" s="5" t="s">
        <v>10</v>
      </c>
      <c r="E462">
        <v>24</v>
      </c>
      <c r="F462" s="1">
        <v>2.4</v>
      </c>
      <c r="G462" s="1">
        <v>2.1</v>
      </c>
      <c r="H462" s="10">
        <f t="shared" si="7"/>
        <v>0.12499999999999989</v>
      </c>
    </row>
    <row r="463" spans="1:8" x14ac:dyDescent="0.25">
      <c r="A463" s="4">
        <v>45778</v>
      </c>
      <c r="B463" t="s">
        <v>14</v>
      </c>
      <c r="C463" t="str">
        <f>_xlfn.IFNA(VLOOKUP($B463,ref!$B$2:$C$34,2,FALSE),"NA")</f>
        <v>Spot</v>
      </c>
      <c r="D463" s="5" t="s">
        <v>7</v>
      </c>
      <c r="E463">
        <v>24</v>
      </c>
      <c r="F463" s="1">
        <v>2.5</v>
      </c>
      <c r="G463" s="1">
        <v>2.25</v>
      </c>
      <c r="H463" s="10">
        <f t="shared" si="7"/>
        <v>9.9999999999999978E-2</v>
      </c>
    </row>
    <row r="464" spans="1:8" x14ac:dyDescent="0.25">
      <c r="A464" s="4">
        <v>45776</v>
      </c>
      <c r="B464" t="s">
        <v>14</v>
      </c>
      <c r="C464" t="str">
        <f>_xlfn.IFNA(VLOOKUP($B464,ref!$B$2:$C$34,2,FALSE),"NA")</f>
        <v>Spot</v>
      </c>
      <c r="D464" s="5" t="s">
        <v>7</v>
      </c>
      <c r="E464">
        <v>24</v>
      </c>
      <c r="F464" s="1">
        <v>2.35</v>
      </c>
      <c r="G464" s="1">
        <v>2.1</v>
      </c>
      <c r="H464" s="10">
        <f t="shared" si="7"/>
        <v>0.1063829787234043</v>
      </c>
    </row>
    <row r="465" spans="1:8" x14ac:dyDescent="0.25">
      <c r="A465" s="4">
        <v>45776</v>
      </c>
      <c r="B465" t="s">
        <v>14</v>
      </c>
      <c r="C465" t="str">
        <f>_xlfn.IFNA(VLOOKUP($B465,ref!$B$2:$C$34,2,FALSE),"NA")</f>
        <v>Spot</v>
      </c>
      <c r="D465" s="5" t="s">
        <v>7</v>
      </c>
      <c r="E465">
        <v>24</v>
      </c>
      <c r="F465" s="1">
        <v>2.35</v>
      </c>
      <c r="G465" s="1">
        <v>2.1</v>
      </c>
      <c r="H465" s="10">
        <f t="shared" si="7"/>
        <v>0.1063829787234043</v>
      </c>
    </row>
    <row r="466" spans="1:8" x14ac:dyDescent="0.25">
      <c r="A466" s="4">
        <v>45776</v>
      </c>
      <c r="B466" t="s">
        <v>14</v>
      </c>
      <c r="C466" t="str">
        <f>_xlfn.IFNA(VLOOKUP($B466,ref!$B$2:$C$34,2,FALSE),"NA")</f>
        <v>Spot</v>
      </c>
      <c r="D466" s="5" t="s">
        <v>7</v>
      </c>
      <c r="E466">
        <v>24</v>
      </c>
      <c r="F466" s="1">
        <v>2.35</v>
      </c>
      <c r="G466" s="1">
        <v>2.1</v>
      </c>
      <c r="H466" s="10">
        <f t="shared" si="7"/>
        <v>0.1063829787234043</v>
      </c>
    </row>
    <row r="467" spans="1:8" x14ac:dyDescent="0.25">
      <c r="A467" s="4">
        <v>45776</v>
      </c>
      <c r="B467" t="s">
        <v>14</v>
      </c>
      <c r="C467" t="str">
        <f>_xlfn.IFNA(VLOOKUP($B467,ref!$B$2:$C$34,2,FALSE),"NA")</f>
        <v>Spot</v>
      </c>
      <c r="D467" s="5" t="s">
        <v>7</v>
      </c>
      <c r="E467">
        <v>24</v>
      </c>
      <c r="F467" s="1">
        <v>2.35</v>
      </c>
      <c r="G467" s="1">
        <v>2.1</v>
      </c>
      <c r="H467" s="10">
        <f t="shared" si="7"/>
        <v>0.1063829787234043</v>
      </c>
    </row>
    <row r="468" spans="1:8" x14ac:dyDescent="0.25">
      <c r="A468" s="4">
        <v>45776</v>
      </c>
      <c r="B468" t="s">
        <v>14</v>
      </c>
      <c r="C468" t="str">
        <f>_xlfn.IFNA(VLOOKUP($B468,ref!$B$2:$C$34,2,FALSE),"NA")</f>
        <v>Spot</v>
      </c>
      <c r="D468" s="5" t="s">
        <v>7</v>
      </c>
      <c r="E468">
        <v>24</v>
      </c>
      <c r="F468" s="1">
        <v>2.35</v>
      </c>
      <c r="G468" s="1">
        <v>2.1</v>
      </c>
      <c r="H468" s="10">
        <f t="shared" si="7"/>
        <v>0.1063829787234043</v>
      </c>
    </row>
    <row r="469" spans="1:8" x14ac:dyDescent="0.25">
      <c r="A469" s="4">
        <v>45776</v>
      </c>
      <c r="B469" t="s">
        <v>14</v>
      </c>
      <c r="C469" t="str">
        <f>_xlfn.IFNA(VLOOKUP($B469,ref!$B$2:$C$34,2,FALSE),"NA")</f>
        <v>Spot</v>
      </c>
      <c r="D469" s="5" t="s">
        <v>7</v>
      </c>
      <c r="E469">
        <v>24</v>
      </c>
      <c r="F469" s="1">
        <v>2.35</v>
      </c>
      <c r="G469" s="1">
        <v>2.1</v>
      </c>
      <c r="H469" s="10">
        <f t="shared" si="7"/>
        <v>0.1063829787234043</v>
      </c>
    </row>
    <row r="470" spans="1:8" x14ac:dyDescent="0.25">
      <c r="A470" s="4">
        <v>45776</v>
      </c>
      <c r="B470" t="s">
        <v>14</v>
      </c>
      <c r="C470" t="str">
        <f>_xlfn.IFNA(VLOOKUP($B470,ref!$B$2:$C$34,2,FALSE),"NA")</f>
        <v>Spot</v>
      </c>
      <c r="D470" s="5" t="s">
        <v>7</v>
      </c>
      <c r="E470">
        <v>24</v>
      </c>
      <c r="F470" s="1">
        <v>2.35</v>
      </c>
      <c r="G470" s="1">
        <v>2.1</v>
      </c>
      <c r="H470" s="10">
        <f t="shared" si="7"/>
        <v>0.1063829787234043</v>
      </c>
    </row>
    <row r="471" spans="1:8" x14ac:dyDescent="0.25">
      <c r="A471" s="4">
        <v>45776</v>
      </c>
      <c r="B471" t="s">
        <v>14</v>
      </c>
      <c r="C471" t="str">
        <f>_xlfn.IFNA(VLOOKUP($B471,ref!$B$2:$C$34,2,FALSE),"NA")</f>
        <v>Spot</v>
      </c>
      <c r="D471" s="5" t="s">
        <v>7</v>
      </c>
      <c r="E471">
        <v>24</v>
      </c>
      <c r="F471" s="1">
        <v>3.15</v>
      </c>
      <c r="G471" s="1">
        <v>2.7</v>
      </c>
      <c r="H471" s="10">
        <f t="shared" si="7"/>
        <v>0.14285714285714279</v>
      </c>
    </row>
    <row r="472" spans="1:8" x14ac:dyDescent="0.25">
      <c r="A472" s="4">
        <v>45776</v>
      </c>
      <c r="B472" t="s">
        <v>14</v>
      </c>
      <c r="C472" t="str">
        <f>_xlfn.IFNA(VLOOKUP($B472,ref!$B$2:$C$34,2,FALSE),"NA")</f>
        <v>Spot</v>
      </c>
      <c r="D472" s="5" t="s">
        <v>7</v>
      </c>
      <c r="E472">
        <v>24</v>
      </c>
      <c r="F472" s="1">
        <v>3.15</v>
      </c>
      <c r="G472" s="1">
        <v>2.7</v>
      </c>
      <c r="H472" s="10">
        <f t="shared" si="7"/>
        <v>0.14285714285714279</v>
      </c>
    </row>
    <row r="473" spans="1:8" x14ac:dyDescent="0.25">
      <c r="A473" s="4">
        <v>45776</v>
      </c>
      <c r="B473" t="s">
        <v>14</v>
      </c>
      <c r="C473" t="str">
        <f>_xlfn.IFNA(VLOOKUP($B473,ref!$B$2:$C$34,2,FALSE),"NA")</f>
        <v>Spot</v>
      </c>
      <c r="D473" s="5" t="s">
        <v>7</v>
      </c>
      <c r="E473">
        <v>24</v>
      </c>
      <c r="F473" s="1">
        <v>3.15</v>
      </c>
      <c r="G473" s="1">
        <v>2.7</v>
      </c>
      <c r="H473" s="10">
        <f t="shared" si="7"/>
        <v>0.14285714285714279</v>
      </c>
    </row>
    <row r="474" spans="1:8" x14ac:dyDescent="0.25">
      <c r="A474" s="4">
        <v>45771</v>
      </c>
      <c r="B474" t="s">
        <v>14</v>
      </c>
      <c r="C474" t="str">
        <f>_xlfn.IFNA(VLOOKUP($B474,ref!$B$2:$C$34,2,FALSE),"NA")</f>
        <v>Spot</v>
      </c>
      <c r="D474" s="5" t="s">
        <v>7</v>
      </c>
      <c r="E474">
        <v>24</v>
      </c>
      <c r="F474" s="1">
        <v>3.1</v>
      </c>
      <c r="G474" s="1">
        <v>2.7</v>
      </c>
      <c r="H474" s="10">
        <f t="shared" si="7"/>
        <v>0.12903225806451613</v>
      </c>
    </row>
    <row r="475" spans="1:8" x14ac:dyDescent="0.25">
      <c r="A475" s="4">
        <v>45771</v>
      </c>
      <c r="B475" t="s">
        <v>14</v>
      </c>
      <c r="C475" t="str">
        <f>_xlfn.IFNA(VLOOKUP($B475,ref!$B$2:$C$34,2,FALSE),"NA")</f>
        <v>Spot</v>
      </c>
      <c r="D475" s="5" t="s">
        <v>7</v>
      </c>
      <c r="E475">
        <v>24</v>
      </c>
      <c r="F475" s="1">
        <v>3.1</v>
      </c>
      <c r="G475" s="1">
        <v>2.7</v>
      </c>
      <c r="H475" s="10">
        <f t="shared" si="7"/>
        <v>0.12903225806451613</v>
      </c>
    </row>
    <row r="476" spans="1:8" x14ac:dyDescent="0.25">
      <c r="A476" s="4">
        <v>45771</v>
      </c>
      <c r="B476" t="s">
        <v>14</v>
      </c>
      <c r="C476" t="str">
        <f>_xlfn.IFNA(VLOOKUP($B476,ref!$B$2:$C$34,2,FALSE),"NA")</f>
        <v>Spot</v>
      </c>
      <c r="D476" s="5" t="s">
        <v>7</v>
      </c>
      <c r="E476">
        <v>24</v>
      </c>
      <c r="F476" s="1">
        <v>3.1</v>
      </c>
      <c r="G476" s="1">
        <v>2.7</v>
      </c>
      <c r="H476" s="10">
        <f t="shared" si="7"/>
        <v>0.12903225806451613</v>
      </c>
    </row>
    <row r="477" spans="1:8" x14ac:dyDescent="0.25">
      <c r="A477" s="4">
        <v>45771</v>
      </c>
      <c r="B477" t="s">
        <v>14</v>
      </c>
      <c r="C477" t="str">
        <f>_xlfn.IFNA(VLOOKUP($B477,ref!$B$2:$C$34,2,FALSE),"NA")</f>
        <v>Spot</v>
      </c>
      <c r="D477" s="5" t="s">
        <v>7</v>
      </c>
      <c r="E477">
        <v>24</v>
      </c>
      <c r="F477" s="1">
        <v>3.1</v>
      </c>
      <c r="G477" s="1">
        <v>2.7</v>
      </c>
      <c r="H477" s="10">
        <f t="shared" si="7"/>
        <v>0.12903225806451613</v>
      </c>
    </row>
    <row r="478" spans="1:8" x14ac:dyDescent="0.25">
      <c r="A478" s="4">
        <v>45763</v>
      </c>
      <c r="B478" t="s">
        <v>14</v>
      </c>
      <c r="C478" t="str">
        <f>_xlfn.IFNA(VLOOKUP($B478,ref!$B$2:$C$34,2,FALSE),"NA")</f>
        <v>Spot</v>
      </c>
      <c r="D478" s="5" t="s">
        <v>7</v>
      </c>
      <c r="E478">
        <v>24</v>
      </c>
      <c r="F478" s="1">
        <v>3.1</v>
      </c>
      <c r="G478" s="1">
        <v>2.7</v>
      </c>
      <c r="H478" s="10">
        <f t="shared" si="7"/>
        <v>0.12903225806451613</v>
      </c>
    </row>
    <row r="479" spans="1:8" x14ac:dyDescent="0.25">
      <c r="A479" s="4">
        <v>45751</v>
      </c>
      <c r="B479" t="s">
        <v>14</v>
      </c>
      <c r="C479" t="str">
        <f>_xlfn.IFNA(VLOOKUP($B479,ref!$B$2:$C$34,2,FALSE),"NA")</f>
        <v>Spot</v>
      </c>
      <c r="D479" s="5" t="s">
        <v>7</v>
      </c>
      <c r="E479">
        <v>24</v>
      </c>
      <c r="F479" s="1">
        <v>3.1</v>
      </c>
      <c r="G479" s="1">
        <v>2.7</v>
      </c>
      <c r="H479" s="10">
        <f t="shared" si="7"/>
        <v>0.12903225806451613</v>
      </c>
    </row>
    <row r="480" spans="1:8" x14ac:dyDescent="0.25">
      <c r="A480" s="4">
        <v>45751</v>
      </c>
      <c r="B480" t="s">
        <v>14</v>
      </c>
      <c r="C480" t="str">
        <f>_xlfn.IFNA(VLOOKUP($B480,ref!$B$2:$C$34,2,FALSE),"NA")</f>
        <v>Spot</v>
      </c>
      <c r="D480" s="5" t="s">
        <v>7</v>
      </c>
      <c r="E480">
        <v>24</v>
      </c>
      <c r="F480" s="1">
        <v>3.1</v>
      </c>
      <c r="G480" s="1">
        <v>2.7</v>
      </c>
      <c r="H480" s="10">
        <f t="shared" si="7"/>
        <v>0.12903225806451613</v>
      </c>
    </row>
    <row r="481" spans="1:8" x14ac:dyDescent="0.25">
      <c r="A481" s="4">
        <v>45751</v>
      </c>
      <c r="B481" t="s">
        <v>14</v>
      </c>
      <c r="C481" t="str">
        <f>_xlfn.IFNA(VLOOKUP($B481,ref!$B$2:$C$34,2,FALSE),"NA")</f>
        <v>Spot</v>
      </c>
      <c r="D481" s="5" t="s">
        <v>7</v>
      </c>
      <c r="E481">
        <v>24</v>
      </c>
      <c r="F481" s="1">
        <v>3.1</v>
      </c>
      <c r="G481" s="1">
        <v>2.7</v>
      </c>
      <c r="H481" s="10">
        <f t="shared" si="7"/>
        <v>0.12903225806451613</v>
      </c>
    </row>
    <row r="482" spans="1:8" x14ac:dyDescent="0.25">
      <c r="A482" s="4">
        <v>45751</v>
      </c>
      <c r="B482" t="s">
        <v>14</v>
      </c>
      <c r="C482" t="str">
        <f>_xlfn.IFNA(VLOOKUP($B482,ref!$B$2:$C$34,2,FALSE),"NA")</f>
        <v>Spot</v>
      </c>
      <c r="D482" s="5" t="s">
        <v>7</v>
      </c>
      <c r="E482">
        <v>24</v>
      </c>
      <c r="F482" s="1">
        <v>3.2</v>
      </c>
      <c r="G482" s="1">
        <v>2.7</v>
      </c>
      <c r="H482" s="10">
        <f t="shared" si="7"/>
        <v>0.15625</v>
      </c>
    </row>
    <row r="483" spans="1:8" x14ac:dyDescent="0.25">
      <c r="A483" s="4">
        <v>45744</v>
      </c>
      <c r="B483" t="s">
        <v>14</v>
      </c>
      <c r="C483" t="str">
        <f>_xlfn.IFNA(VLOOKUP($B483,ref!$B$2:$C$34,2,FALSE),"NA")</f>
        <v>Spot</v>
      </c>
      <c r="D483" s="5" t="s">
        <v>7</v>
      </c>
      <c r="E483">
        <v>24</v>
      </c>
      <c r="F483" s="1">
        <v>3.2</v>
      </c>
      <c r="G483" s="1">
        <v>2.7</v>
      </c>
      <c r="H483" s="10">
        <f t="shared" si="7"/>
        <v>0.15625</v>
      </c>
    </row>
    <row r="484" spans="1:8" x14ac:dyDescent="0.25">
      <c r="A484" s="4">
        <v>45737</v>
      </c>
      <c r="B484" t="s">
        <v>14</v>
      </c>
      <c r="C484" t="str">
        <f>_xlfn.IFNA(VLOOKUP($B484,ref!$B$2:$C$34,2,FALSE),"NA")</f>
        <v>Spot</v>
      </c>
      <c r="D484" s="5" t="s">
        <v>7</v>
      </c>
      <c r="E484">
        <v>24</v>
      </c>
      <c r="F484" s="1">
        <v>3.2</v>
      </c>
      <c r="G484" s="1">
        <v>2.7</v>
      </c>
      <c r="H484" s="10">
        <f t="shared" si="7"/>
        <v>0.15625</v>
      </c>
    </row>
    <row r="485" spans="1:8" x14ac:dyDescent="0.25">
      <c r="A485" s="4">
        <v>45733</v>
      </c>
      <c r="B485" t="s">
        <v>14</v>
      </c>
      <c r="C485" t="str">
        <f>_xlfn.IFNA(VLOOKUP($B485,ref!$B$2:$C$34,2,FALSE),"NA")</f>
        <v>Spot</v>
      </c>
      <c r="D485" s="5" t="s">
        <v>7</v>
      </c>
      <c r="E485">
        <v>24</v>
      </c>
      <c r="F485" s="1">
        <v>2.7</v>
      </c>
      <c r="G485" s="1">
        <v>2.35</v>
      </c>
      <c r="H485" s="10">
        <f t="shared" si="7"/>
        <v>0.12962962962962965</v>
      </c>
    </row>
    <row r="486" spans="1:8" x14ac:dyDescent="0.25">
      <c r="A486" s="4">
        <v>45720</v>
      </c>
      <c r="B486" t="s">
        <v>12</v>
      </c>
      <c r="C486" t="str">
        <f>_xlfn.IFNA(VLOOKUP($B486,ref!$B$2:$C$34,2,FALSE),"NA")</f>
        <v>Spot</v>
      </c>
      <c r="D486" s="5">
        <v>4090</v>
      </c>
      <c r="E486">
        <v>24</v>
      </c>
      <c r="F486" s="1">
        <v>0.65</v>
      </c>
      <c r="G486" s="1">
        <v>0.55300000000000005</v>
      </c>
      <c r="H486" s="10">
        <f t="shared" si="7"/>
        <v>0.14923076923076917</v>
      </c>
    </row>
    <row r="487" spans="1:8" x14ac:dyDescent="0.25">
      <c r="A487" s="4">
        <v>45709</v>
      </c>
      <c r="B487" t="s">
        <v>12</v>
      </c>
      <c r="C487" t="str">
        <f>_xlfn.IFNA(VLOOKUP($B487,ref!$B$2:$C$34,2,FALSE),"NA")</f>
        <v>Spot</v>
      </c>
      <c r="D487" s="5" t="s">
        <v>10</v>
      </c>
      <c r="E487">
        <v>24</v>
      </c>
      <c r="F487" s="1">
        <v>2.2999999999999998</v>
      </c>
      <c r="G487" s="1">
        <v>1.95</v>
      </c>
      <c r="H487" s="10">
        <f t="shared" si="7"/>
        <v>0.15217391304347816</v>
      </c>
    </row>
    <row r="488" spans="1:8" x14ac:dyDescent="0.25">
      <c r="A488" s="4">
        <v>45706</v>
      </c>
      <c r="B488" t="s">
        <v>24</v>
      </c>
      <c r="C488" t="str">
        <f>_xlfn.IFNA(VLOOKUP($B488,ref!$B$2:$C$34,2,FALSE),"NA")</f>
        <v>Misc</v>
      </c>
      <c r="D488" s="5" t="s">
        <v>7</v>
      </c>
      <c r="E488">
        <v>24</v>
      </c>
      <c r="F488" s="1">
        <v>2.85</v>
      </c>
      <c r="G488" s="1">
        <v>2.5</v>
      </c>
      <c r="H488" s="10">
        <f t="shared" si="7"/>
        <v>0.1228070175438597</v>
      </c>
    </row>
    <row r="489" spans="1:8" x14ac:dyDescent="0.25">
      <c r="A489" s="4">
        <v>45692</v>
      </c>
      <c r="B489" t="s">
        <v>12</v>
      </c>
      <c r="C489" t="str">
        <f>_xlfn.IFNA(VLOOKUP($B489,ref!$B$2:$C$34,2,FALSE),"NA")</f>
        <v>Spot</v>
      </c>
      <c r="D489" s="5">
        <v>4090</v>
      </c>
      <c r="E489">
        <v>24</v>
      </c>
      <c r="F489" s="1">
        <v>0.65</v>
      </c>
      <c r="G489" s="1">
        <v>0.55300000000000005</v>
      </c>
      <c r="H489" s="10">
        <f t="shared" si="7"/>
        <v>0.14923076923076917</v>
      </c>
    </row>
    <row r="490" spans="1:8" x14ac:dyDescent="0.25">
      <c r="A490" s="4">
        <v>45689</v>
      </c>
      <c r="B490" t="s">
        <v>12</v>
      </c>
      <c r="C490" t="str">
        <f>_xlfn.IFNA(VLOOKUP($B490,ref!$B$2:$C$34,2,FALSE),"NA")</f>
        <v>Spot</v>
      </c>
      <c r="D490" s="5" t="s">
        <v>10</v>
      </c>
      <c r="E490">
        <v>24</v>
      </c>
      <c r="F490" s="1">
        <v>2.4</v>
      </c>
      <c r="G490" s="1">
        <v>2.1</v>
      </c>
      <c r="H490" s="10">
        <f t="shared" si="7"/>
        <v>0.12499999999999989</v>
      </c>
    </row>
    <row r="491" spans="1:8" x14ac:dyDescent="0.25">
      <c r="A491" s="4">
        <v>45689</v>
      </c>
      <c r="B491" t="s">
        <v>12</v>
      </c>
      <c r="C491" t="str">
        <f>_xlfn.IFNA(VLOOKUP($B491,ref!$B$2:$C$34,2,FALSE),"NA")</f>
        <v>Spot</v>
      </c>
      <c r="D491" s="5" t="s">
        <v>10</v>
      </c>
      <c r="E491">
        <v>24</v>
      </c>
      <c r="F491" s="1">
        <v>2.4</v>
      </c>
      <c r="G491" s="1">
        <v>2.1</v>
      </c>
      <c r="H491" s="10">
        <f t="shared" si="7"/>
        <v>0.12499999999999989</v>
      </c>
    </row>
    <row r="492" spans="1:8" x14ac:dyDescent="0.25">
      <c r="A492" s="4">
        <v>45658</v>
      </c>
      <c r="B492" t="s">
        <v>12</v>
      </c>
      <c r="C492" t="str">
        <f>_xlfn.IFNA(VLOOKUP($B492,ref!$B$2:$C$34,2,FALSE),"NA")</f>
        <v>Spot</v>
      </c>
      <c r="D492" s="5" t="s">
        <v>10</v>
      </c>
      <c r="E492">
        <v>24</v>
      </c>
      <c r="F492" s="1">
        <v>2.4</v>
      </c>
      <c r="G492" s="1">
        <v>2.1</v>
      </c>
      <c r="H492" s="10">
        <f t="shared" si="7"/>
        <v>0.12499999999999989</v>
      </c>
    </row>
    <row r="493" spans="1:8" x14ac:dyDescent="0.25">
      <c r="A493" s="4">
        <v>46030</v>
      </c>
      <c r="B493" t="s">
        <v>31</v>
      </c>
      <c r="C493" t="str">
        <f>_xlfn.IFNA(VLOOKUP($B493,ref!$B$2:$C$34,2,FALSE),"NA")</f>
        <v>1 Month</v>
      </c>
      <c r="D493" s="5">
        <v>5090</v>
      </c>
      <c r="E493">
        <v>16</v>
      </c>
      <c r="F493" s="1">
        <v>0.5</v>
      </c>
      <c r="G493" s="1">
        <v>0.46</v>
      </c>
      <c r="H493" s="10">
        <f t="shared" si="7"/>
        <v>7.999999999999996E-2</v>
      </c>
    </row>
    <row r="494" spans="1:8" x14ac:dyDescent="0.25">
      <c r="A494" s="4">
        <v>46013</v>
      </c>
      <c r="B494" t="s">
        <v>31</v>
      </c>
      <c r="C494" t="str">
        <f>_xlfn.IFNA(VLOOKUP($B494,ref!$B$2:$C$34,2,FALSE),"NA")</f>
        <v>1 Month</v>
      </c>
      <c r="D494" s="5" t="s">
        <v>10</v>
      </c>
      <c r="E494">
        <v>16</v>
      </c>
      <c r="F494" s="1">
        <v>1.5</v>
      </c>
      <c r="G494" s="1">
        <v>1.25</v>
      </c>
      <c r="H494" s="10">
        <f t="shared" si="7"/>
        <v>0.16666666666666663</v>
      </c>
    </row>
    <row r="495" spans="1:8" x14ac:dyDescent="0.25">
      <c r="A495" s="4">
        <v>46013</v>
      </c>
      <c r="B495" t="s">
        <v>31</v>
      </c>
      <c r="C495" t="str">
        <f>_xlfn.IFNA(VLOOKUP($B495,ref!$B$2:$C$34,2,FALSE),"NA")</f>
        <v>1 Month</v>
      </c>
      <c r="D495" s="5" t="s">
        <v>10</v>
      </c>
      <c r="E495">
        <v>16</v>
      </c>
      <c r="F495" s="1">
        <v>1.5</v>
      </c>
      <c r="G495" s="1">
        <v>1.25</v>
      </c>
      <c r="H495" s="10">
        <f t="shared" si="7"/>
        <v>0.16666666666666663</v>
      </c>
    </row>
    <row r="496" spans="1:8" x14ac:dyDescent="0.25">
      <c r="A496" s="4">
        <v>46008</v>
      </c>
      <c r="C496" t="str">
        <f>_xlfn.IFNA(VLOOKUP($B496,ref!$B$2:$C$34,2,FALSE),"NA")</f>
        <v>NA</v>
      </c>
      <c r="D496" s="5" t="s">
        <v>13</v>
      </c>
      <c r="E496">
        <v>16</v>
      </c>
      <c r="F496" s="1">
        <v>1.18</v>
      </c>
      <c r="G496" s="1">
        <v>1.02</v>
      </c>
      <c r="H496" s="10">
        <f t="shared" si="7"/>
        <v>0.13559322033898302</v>
      </c>
    </row>
    <row r="497" spans="1:8" x14ac:dyDescent="0.25">
      <c r="A497" s="4">
        <v>46004</v>
      </c>
      <c r="C497" t="str">
        <f>_xlfn.IFNA(VLOOKUP($B497,ref!$B$2:$C$34,2,FALSE),"NA")</f>
        <v>NA</v>
      </c>
      <c r="D497" s="5" t="s">
        <v>46</v>
      </c>
      <c r="E497">
        <v>16</v>
      </c>
      <c r="F497" s="1">
        <v>2.65</v>
      </c>
      <c r="G497" s="1">
        <v>2.5</v>
      </c>
      <c r="H497" s="10">
        <f t="shared" si="7"/>
        <v>5.6603773584905648E-2</v>
      </c>
    </row>
    <row r="498" spans="1:8" x14ac:dyDescent="0.25">
      <c r="A498" s="4">
        <v>45987</v>
      </c>
      <c r="B498" t="s">
        <v>31</v>
      </c>
      <c r="C498" t="str">
        <f>_xlfn.IFNA(VLOOKUP($B498,ref!$B$2:$C$34,2,FALSE),"NA")</f>
        <v>1 Month</v>
      </c>
      <c r="D498" s="5" t="s">
        <v>7</v>
      </c>
      <c r="E498">
        <v>16</v>
      </c>
      <c r="F498" s="1">
        <v>1.8</v>
      </c>
      <c r="G498" s="1">
        <v>1.6</v>
      </c>
      <c r="H498" s="10">
        <f t="shared" si="7"/>
        <v>0.11111111111111105</v>
      </c>
    </row>
    <row r="499" spans="1:8" x14ac:dyDescent="0.25">
      <c r="A499" s="4">
        <v>45987</v>
      </c>
      <c r="B499" t="s">
        <v>31</v>
      </c>
      <c r="C499" t="str">
        <f>_xlfn.IFNA(VLOOKUP($B499,ref!$B$2:$C$34,2,FALSE),"NA")</f>
        <v>1 Month</v>
      </c>
      <c r="D499" s="5" t="s">
        <v>7</v>
      </c>
      <c r="E499">
        <v>16</v>
      </c>
      <c r="F499" s="1">
        <v>1.8</v>
      </c>
      <c r="G499" s="1">
        <v>1.6</v>
      </c>
      <c r="H499" s="10">
        <f t="shared" si="7"/>
        <v>0.11111111111111105</v>
      </c>
    </row>
    <row r="500" spans="1:8" x14ac:dyDescent="0.25">
      <c r="A500" s="4">
        <v>45986</v>
      </c>
      <c r="B500" t="s">
        <v>35</v>
      </c>
      <c r="C500" t="str">
        <f>_xlfn.IFNA(VLOOKUP($B500,ref!$B$2:$C$34,2,FALSE),"NA")</f>
        <v>Misc</v>
      </c>
      <c r="D500" s="5" t="s">
        <v>46</v>
      </c>
      <c r="E500">
        <v>16</v>
      </c>
      <c r="F500" s="1">
        <v>2.8</v>
      </c>
      <c r="G500" s="1">
        <v>2.6</v>
      </c>
      <c r="H500" s="10">
        <f t="shared" si="7"/>
        <v>7.1428571428571286E-2</v>
      </c>
    </row>
    <row r="501" spans="1:8" x14ac:dyDescent="0.25">
      <c r="A501" s="4">
        <v>45965</v>
      </c>
      <c r="B501" t="s">
        <v>35</v>
      </c>
      <c r="C501" t="str">
        <f>_xlfn.IFNA(VLOOKUP($B501,ref!$B$2:$C$34,2,FALSE),"NA")</f>
        <v>Misc</v>
      </c>
      <c r="D501" s="5" t="s">
        <v>46</v>
      </c>
      <c r="E501">
        <v>16</v>
      </c>
      <c r="F501" s="1">
        <v>3.1</v>
      </c>
      <c r="G501" s="1">
        <v>2.85</v>
      </c>
      <c r="H501" s="10">
        <f t="shared" si="7"/>
        <v>8.064516129032262E-2</v>
      </c>
    </row>
    <row r="502" spans="1:8" x14ac:dyDescent="0.25">
      <c r="A502" s="4">
        <v>45947</v>
      </c>
      <c r="C502" t="str">
        <f>_xlfn.IFNA(VLOOKUP($B502,ref!$B$2:$C$34,2,FALSE),"NA")</f>
        <v>NA</v>
      </c>
      <c r="E502">
        <v>16</v>
      </c>
      <c r="F502" s="1">
        <v>3.05</v>
      </c>
      <c r="G502" s="1">
        <v>2.85</v>
      </c>
      <c r="H502" s="10">
        <f t="shared" si="7"/>
        <v>6.557377049180324E-2</v>
      </c>
    </row>
    <row r="503" spans="1:8" x14ac:dyDescent="0.25">
      <c r="A503" s="4">
        <v>45917</v>
      </c>
      <c r="B503" t="s">
        <v>9</v>
      </c>
      <c r="C503" t="str">
        <f>_xlfn.IFNA(VLOOKUP($B503,ref!$B$2:$C$34,2,FALSE),"NA")</f>
        <v>12 Month</v>
      </c>
      <c r="D503" s="5" t="s">
        <v>7</v>
      </c>
      <c r="E503">
        <v>16</v>
      </c>
      <c r="F503" s="1">
        <v>1.65</v>
      </c>
      <c r="G503" s="1">
        <v>1.45</v>
      </c>
      <c r="H503" s="10">
        <f t="shared" si="7"/>
        <v>0.12121212121212122</v>
      </c>
    </row>
    <row r="504" spans="1:8" x14ac:dyDescent="0.25">
      <c r="A504" s="4">
        <v>45917</v>
      </c>
      <c r="B504" t="s">
        <v>44</v>
      </c>
      <c r="C504" t="str">
        <f>_xlfn.IFNA(VLOOKUP($B504,ref!$B$2:$C$34,2,FALSE),"NA")</f>
        <v>Spot</v>
      </c>
      <c r="D504" s="5" t="s">
        <v>46</v>
      </c>
      <c r="E504">
        <v>16</v>
      </c>
      <c r="F504" s="1">
        <v>1</v>
      </c>
      <c r="G504" s="1">
        <v>0.95</v>
      </c>
      <c r="H504" s="10">
        <f t="shared" si="7"/>
        <v>5.0000000000000044E-2</v>
      </c>
    </row>
    <row r="505" spans="1:8" x14ac:dyDescent="0.25">
      <c r="A505" s="4">
        <v>45917</v>
      </c>
      <c r="B505" t="s">
        <v>9</v>
      </c>
      <c r="C505" t="str">
        <f>_xlfn.IFNA(VLOOKUP($B505,ref!$B$2:$C$34,2,FALSE),"NA")</f>
        <v>12 Month</v>
      </c>
      <c r="D505" s="5" t="s">
        <v>7</v>
      </c>
      <c r="E505">
        <v>16</v>
      </c>
      <c r="F505" s="1">
        <v>1.65</v>
      </c>
      <c r="G505" s="1">
        <v>1.45</v>
      </c>
      <c r="H505" s="10">
        <f t="shared" si="7"/>
        <v>0.12121212121212122</v>
      </c>
    </row>
    <row r="506" spans="1:8" x14ac:dyDescent="0.25">
      <c r="A506" s="4">
        <v>45916</v>
      </c>
      <c r="B506" t="s">
        <v>54</v>
      </c>
      <c r="C506" t="str">
        <f>_xlfn.IFNA(VLOOKUP($B506,ref!$B$2:$C$34,2,FALSE),"NA")</f>
        <v>Spot</v>
      </c>
      <c r="D506" s="5" t="s">
        <v>7</v>
      </c>
      <c r="E506">
        <v>16</v>
      </c>
      <c r="F506" s="1">
        <v>1.25</v>
      </c>
      <c r="G506" s="1">
        <v>1.2</v>
      </c>
      <c r="H506" s="10">
        <f t="shared" si="7"/>
        <v>4.0000000000000036E-2</v>
      </c>
    </row>
    <row r="507" spans="1:8" x14ac:dyDescent="0.25">
      <c r="A507" s="4">
        <v>45906</v>
      </c>
      <c r="B507" t="s">
        <v>14</v>
      </c>
      <c r="C507" t="str">
        <f>_xlfn.IFNA(VLOOKUP($B507,ref!$B$2:$C$34,2,FALSE),"NA")</f>
        <v>Spot</v>
      </c>
      <c r="D507" s="5" t="s">
        <v>46</v>
      </c>
      <c r="E507">
        <v>16</v>
      </c>
      <c r="F507" s="1">
        <v>3.05</v>
      </c>
      <c r="G507" s="1">
        <v>2.85</v>
      </c>
      <c r="H507" s="10">
        <f t="shared" si="7"/>
        <v>6.557377049180324E-2</v>
      </c>
    </row>
    <row r="508" spans="1:8" x14ac:dyDescent="0.25">
      <c r="A508" s="4">
        <v>45906</v>
      </c>
      <c r="B508" t="s">
        <v>14</v>
      </c>
      <c r="C508" t="str">
        <f>_xlfn.IFNA(VLOOKUP($B508,ref!$B$2:$C$34,2,FALSE),"NA")</f>
        <v>Spot</v>
      </c>
      <c r="D508" s="5" t="s">
        <v>46</v>
      </c>
      <c r="E508">
        <v>16</v>
      </c>
      <c r="F508" s="1">
        <v>3.05</v>
      </c>
      <c r="G508" s="1">
        <v>2.85</v>
      </c>
      <c r="H508" s="10">
        <f t="shared" si="7"/>
        <v>6.557377049180324E-2</v>
      </c>
    </row>
    <row r="509" spans="1:8" x14ac:dyDescent="0.25">
      <c r="A509" s="4">
        <v>45906</v>
      </c>
      <c r="B509" t="s">
        <v>14</v>
      </c>
      <c r="C509" t="str">
        <f>_xlfn.IFNA(VLOOKUP($B509,ref!$B$2:$C$34,2,FALSE),"NA")</f>
        <v>Spot</v>
      </c>
      <c r="D509" s="5" t="s">
        <v>46</v>
      </c>
      <c r="E509">
        <v>16</v>
      </c>
      <c r="F509" s="1">
        <v>4.1500000000000004</v>
      </c>
      <c r="G509" s="1">
        <v>3.75</v>
      </c>
      <c r="H509" s="10">
        <f t="shared" si="7"/>
        <v>9.6385542168674787E-2</v>
      </c>
    </row>
    <row r="510" spans="1:8" x14ac:dyDescent="0.25">
      <c r="A510" s="4">
        <v>45898</v>
      </c>
      <c r="B510" t="s">
        <v>6</v>
      </c>
      <c r="C510" t="str">
        <f>_xlfn.IFNA(VLOOKUP($B510,ref!$B$2:$C$34,2,FALSE),"NA")</f>
        <v>3 Month</v>
      </c>
      <c r="D510" s="5" t="s">
        <v>7</v>
      </c>
      <c r="E510">
        <v>16</v>
      </c>
      <c r="F510" s="1">
        <v>2.25</v>
      </c>
      <c r="G510" s="1">
        <v>2.0499999999999998</v>
      </c>
      <c r="H510" s="10">
        <f t="shared" si="7"/>
        <v>8.8888888888889017E-2</v>
      </c>
    </row>
    <row r="511" spans="1:8" x14ac:dyDescent="0.25">
      <c r="A511" s="4">
        <v>45898</v>
      </c>
      <c r="B511" t="s">
        <v>6</v>
      </c>
      <c r="C511" t="str">
        <f>_xlfn.IFNA(VLOOKUP($B511,ref!$B$2:$C$34,2,FALSE),"NA")</f>
        <v>3 Month</v>
      </c>
      <c r="D511" s="5" t="s">
        <v>7</v>
      </c>
      <c r="E511">
        <v>16</v>
      </c>
      <c r="F511" s="1">
        <v>2.25</v>
      </c>
      <c r="G511" s="1">
        <v>2.0499999999999998</v>
      </c>
      <c r="H511" s="10">
        <f t="shared" si="7"/>
        <v>8.8888888888889017E-2</v>
      </c>
    </row>
    <row r="512" spans="1:8" x14ac:dyDescent="0.25">
      <c r="A512" s="4">
        <v>45898</v>
      </c>
      <c r="B512" t="s">
        <v>6</v>
      </c>
      <c r="C512" t="str">
        <f>_xlfn.IFNA(VLOOKUP($B512,ref!$B$2:$C$34,2,FALSE),"NA")</f>
        <v>3 Month</v>
      </c>
      <c r="D512" s="5" t="s">
        <v>7</v>
      </c>
      <c r="E512">
        <v>16</v>
      </c>
      <c r="F512" s="1">
        <v>2.25</v>
      </c>
      <c r="G512" s="1">
        <v>2.0499999999999998</v>
      </c>
      <c r="H512" s="10">
        <f t="shared" si="7"/>
        <v>8.8888888888889017E-2</v>
      </c>
    </row>
    <row r="513" spans="1:8" x14ac:dyDescent="0.25">
      <c r="A513" s="4">
        <v>45890</v>
      </c>
      <c r="B513" t="s">
        <v>6</v>
      </c>
      <c r="C513" t="str">
        <f>_xlfn.IFNA(VLOOKUP($B513,ref!$B$2:$C$34,2,FALSE),"NA")</f>
        <v>3 Month</v>
      </c>
      <c r="D513" s="5" t="s">
        <v>7</v>
      </c>
      <c r="E513">
        <v>16</v>
      </c>
      <c r="F513" s="1">
        <v>2.35</v>
      </c>
      <c r="G513" s="1">
        <v>2.25</v>
      </c>
      <c r="H513" s="10">
        <f t="shared" si="7"/>
        <v>4.2553191489361764E-2</v>
      </c>
    </row>
    <row r="514" spans="1:8" x14ac:dyDescent="0.25">
      <c r="A514" s="4">
        <v>45890</v>
      </c>
      <c r="B514" t="s">
        <v>6</v>
      </c>
      <c r="C514" t="str">
        <f>_xlfn.IFNA(VLOOKUP($B514,ref!$B$2:$C$34,2,FALSE),"NA")</f>
        <v>3 Month</v>
      </c>
      <c r="D514" s="5" t="s">
        <v>7</v>
      </c>
      <c r="E514">
        <v>16</v>
      </c>
      <c r="F514" s="1">
        <v>2.35</v>
      </c>
      <c r="G514" s="1">
        <v>2.25</v>
      </c>
      <c r="H514" s="10">
        <f t="shared" si="7"/>
        <v>4.2553191489361764E-2</v>
      </c>
    </row>
    <row r="515" spans="1:8" x14ac:dyDescent="0.25">
      <c r="A515" s="4">
        <v>45890</v>
      </c>
      <c r="B515" t="s">
        <v>6</v>
      </c>
      <c r="C515" t="str">
        <f>_xlfn.IFNA(VLOOKUP($B515,ref!$B$2:$C$34,2,FALSE),"NA")</f>
        <v>3 Month</v>
      </c>
      <c r="D515" s="5" t="s">
        <v>7</v>
      </c>
      <c r="E515">
        <v>16</v>
      </c>
      <c r="F515" s="1">
        <v>2.35</v>
      </c>
      <c r="G515" s="1">
        <v>2.25</v>
      </c>
      <c r="H515" s="10">
        <f t="shared" ref="H515:H578" si="8">1-(G515/F515)</f>
        <v>4.2553191489361764E-2</v>
      </c>
    </row>
    <row r="516" spans="1:8" x14ac:dyDescent="0.25">
      <c r="A516" s="4">
        <v>45890</v>
      </c>
      <c r="B516" t="s">
        <v>6</v>
      </c>
      <c r="C516" t="str">
        <f>_xlfn.IFNA(VLOOKUP($B516,ref!$B$2:$C$34,2,FALSE),"NA")</f>
        <v>3 Month</v>
      </c>
      <c r="D516" s="5" t="s">
        <v>7</v>
      </c>
      <c r="E516">
        <v>16</v>
      </c>
      <c r="F516" s="1">
        <v>2.35</v>
      </c>
      <c r="G516" s="1">
        <v>2.25</v>
      </c>
      <c r="H516" s="10">
        <f t="shared" si="8"/>
        <v>4.2553191489361764E-2</v>
      </c>
    </row>
    <row r="517" spans="1:8" x14ac:dyDescent="0.25">
      <c r="A517" s="4">
        <v>45884</v>
      </c>
      <c r="B517" t="s">
        <v>49</v>
      </c>
      <c r="C517" t="str">
        <f>_xlfn.IFNA(VLOOKUP($B517,ref!$B$2:$C$34,2,FALSE),"NA")</f>
        <v>Misc</v>
      </c>
      <c r="D517" s="5" t="s">
        <v>46</v>
      </c>
      <c r="E517">
        <v>16</v>
      </c>
      <c r="F517" s="1">
        <v>4.25</v>
      </c>
      <c r="G517" s="1">
        <v>4</v>
      </c>
      <c r="H517" s="10">
        <f t="shared" si="8"/>
        <v>5.8823529411764719E-2</v>
      </c>
    </row>
    <row r="518" spans="1:8" x14ac:dyDescent="0.25">
      <c r="A518" s="4">
        <v>45880</v>
      </c>
      <c r="B518" t="s">
        <v>44</v>
      </c>
      <c r="C518" t="str">
        <f>_xlfn.IFNA(VLOOKUP($B518,ref!$B$2:$C$34,2,FALSE),"NA")</f>
        <v>Spot</v>
      </c>
      <c r="D518" s="5" t="s">
        <v>46</v>
      </c>
      <c r="E518">
        <v>16</v>
      </c>
      <c r="F518" s="1">
        <v>1</v>
      </c>
      <c r="G518" s="1">
        <v>0.95</v>
      </c>
      <c r="H518" s="10">
        <f t="shared" si="8"/>
        <v>5.0000000000000044E-2</v>
      </c>
    </row>
    <row r="519" spans="1:8" x14ac:dyDescent="0.25">
      <c r="A519" s="4">
        <v>45880</v>
      </c>
      <c r="B519" t="s">
        <v>44</v>
      </c>
      <c r="C519" t="str">
        <f>_xlfn.IFNA(VLOOKUP($B519,ref!$B$2:$C$34,2,FALSE),"NA")</f>
        <v>Spot</v>
      </c>
      <c r="D519" s="5" t="s">
        <v>46</v>
      </c>
      <c r="E519">
        <v>16</v>
      </c>
      <c r="F519" s="1">
        <v>1</v>
      </c>
      <c r="G519" s="1">
        <v>0.95</v>
      </c>
      <c r="H519" s="10">
        <f t="shared" si="8"/>
        <v>5.0000000000000044E-2</v>
      </c>
    </row>
    <row r="520" spans="1:8" x14ac:dyDescent="0.25">
      <c r="A520" s="4">
        <v>45869</v>
      </c>
      <c r="C520" t="str">
        <f>_xlfn.IFNA(VLOOKUP($B520,ref!$B$2:$C$34,2,FALSE),"NA")</f>
        <v>NA</v>
      </c>
      <c r="D520" s="5">
        <v>4090</v>
      </c>
      <c r="E520">
        <v>16</v>
      </c>
      <c r="F520" s="1">
        <v>0.38</v>
      </c>
      <c r="G520" s="1">
        <v>0.33</v>
      </c>
      <c r="H520" s="10">
        <f t="shared" si="8"/>
        <v>0.13157894736842102</v>
      </c>
    </row>
    <row r="521" spans="1:8" x14ac:dyDescent="0.25">
      <c r="A521" s="4">
        <v>45846</v>
      </c>
      <c r="B521" t="s">
        <v>45</v>
      </c>
      <c r="C521" t="str">
        <f>_xlfn.IFNA(VLOOKUP($B521,ref!$B$2:$C$34,2,FALSE),"NA")</f>
        <v>7 Month</v>
      </c>
      <c r="D521" s="5" t="s">
        <v>10</v>
      </c>
      <c r="E521">
        <v>16</v>
      </c>
      <c r="F521" s="1">
        <v>2.66</v>
      </c>
      <c r="G521" s="1">
        <v>2.5099999999999998</v>
      </c>
      <c r="H521" s="10">
        <f t="shared" si="8"/>
        <v>5.6390977443609103E-2</v>
      </c>
    </row>
    <row r="522" spans="1:8" x14ac:dyDescent="0.25">
      <c r="A522" s="4">
        <v>45846</v>
      </c>
      <c r="B522" t="s">
        <v>45</v>
      </c>
      <c r="C522" t="str">
        <f>_xlfn.IFNA(VLOOKUP($B522,ref!$B$2:$C$34,2,FALSE),"NA")</f>
        <v>7 Month</v>
      </c>
      <c r="D522" s="5" t="s">
        <v>10</v>
      </c>
      <c r="E522">
        <v>16</v>
      </c>
      <c r="F522" s="1">
        <v>2.66</v>
      </c>
      <c r="G522" s="1">
        <v>2.5099999999999998</v>
      </c>
      <c r="H522" s="10">
        <f t="shared" si="8"/>
        <v>5.6390977443609103E-2</v>
      </c>
    </row>
    <row r="523" spans="1:8" x14ac:dyDescent="0.25">
      <c r="A523" s="4">
        <v>45846</v>
      </c>
      <c r="B523" t="s">
        <v>45</v>
      </c>
      <c r="C523" t="str">
        <f>_xlfn.IFNA(VLOOKUP($B523,ref!$B$2:$C$34,2,FALSE),"NA")</f>
        <v>7 Month</v>
      </c>
      <c r="D523" s="5" t="s">
        <v>10</v>
      </c>
      <c r="E523">
        <v>16</v>
      </c>
      <c r="F523" s="1">
        <v>2.66</v>
      </c>
      <c r="G523" s="1">
        <v>2.5099999999999998</v>
      </c>
      <c r="H523" s="10">
        <f t="shared" si="8"/>
        <v>5.6390977443609103E-2</v>
      </c>
    </row>
    <row r="524" spans="1:8" x14ac:dyDescent="0.25">
      <c r="A524" s="4">
        <v>45846</v>
      </c>
      <c r="B524" t="s">
        <v>45</v>
      </c>
      <c r="C524" t="str">
        <f>_xlfn.IFNA(VLOOKUP($B524,ref!$B$2:$C$34,2,FALSE),"NA")</f>
        <v>7 Month</v>
      </c>
      <c r="D524" s="5" t="s">
        <v>10</v>
      </c>
      <c r="E524">
        <v>16</v>
      </c>
      <c r="F524" s="1">
        <v>2.66</v>
      </c>
      <c r="G524" s="1">
        <v>2.5099999999999998</v>
      </c>
      <c r="H524" s="10">
        <f t="shared" si="8"/>
        <v>5.6390977443609103E-2</v>
      </c>
    </row>
    <row r="525" spans="1:8" x14ac:dyDescent="0.25">
      <c r="A525" s="4">
        <v>45846</v>
      </c>
      <c r="B525" t="s">
        <v>45</v>
      </c>
      <c r="C525" t="str">
        <f>_xlfn.IFNA(VLOOKUP($B525,ref!$B$2:$C$34,2,FALSE),"NA")</f>
        <v>7 Month</v>
      </c>
      <c r="D525" s="5" t="s">
        <v>10</v>
      </c>
      <c r="E525">
        <v>16</v>
      </c>
      <c r="F525" s="1">
        <v>2.66</v>
      </c>
      <c r="G525" s="1">
        <v>2.5099999999999998</v>
      </c>
      <c r="H525" s="10">
        <f t="shared" si="8"/>
        <v>5.6390977443609103E-2</v>
      </c>
    </row>
    <row r="526" spans="1:8" x14ac:dyDescent="0.25">
      <c r="A526" s="4">
        <v>45846</v>
      </c>
      <c r="B526" t="s">
        <v>45</v>
      </c>
      <c r="C526" t="str">
        <f>_xlfn.IFNA(VLOOKUP($B526,ref!$B$2:$C$34,2,FALSE),"NA")</f>
        <v>7 Month</v>
      </c>
      <c r="D526" s="5" t="s">
        <v>10</v>
      </c>
      <c r="E526">
        <v>16</v>
      </c>
      <c r="F526" s="1">
        <v>2.66</v>
      </c>
      <c r="G526" s="1">
        <v>2.5099999999999998</v>
      </c>
      <c r="H526" s="10">
        <f t="shared" si="8"/>
        <v>5.6390977443609103E-2</v>
      </c>
    </row>
    <row r="527" spans="1:8" x14ac:dyDescent="0.25">
      <c r="A527" s="4">
        <v>45843</v>
      </c>
      <c r="B527" t="s">
        <v>31</v>
      </c>
      <c r="C527" t="str">
        <f>_xlfn.IFNA(VLOOKUP($B527,ref!$B$2:$C$34,2,FALSE),"NA")</f>
        <v>1 Month</v>
      </c>
      <c r="D527" s="5">
        <v>3090</v>
      </c>
      <c r="E527">
        <v>16</v>
      </c>
      <c r="F527" s="1">
        <v>0.3</v>
      </c>
      <c r="G527" s="1">
        <v>0.26</v>
      </c>
      <c r="H527" s="10">
        <f t="shared" si="8"/>
        <v>0.1333333333333333</v>
      </c>
    </row>
    <row r="528" spans="1:8" x14ac:dyDescent="0.25">
      <c r="A528" s="4">
        <v>45843</v>
      </c>
      <c r="B528" t="s">
        <v>31</v>
      </c>
      <c r="C528" t="str">
        <f>_xlfn.IFNA(VLOOKUP($B528,ref!$B$2:$C$34,2,FALSE),"NA")</f>
        <v>1 Month</v>
      </c>
      <c r="D528" s="5">
        <v>3090</v>
      </c>
      <c r="E528">
        <v>16</v>
      </c>
      <c r="F528" s="1">
        <v>0.3</v>
      </c>
      <c r="G528" s="1">
        <v>0.26</v>
      </c>
      <c r="H528" s="10">
        <f t="shared" si="8"/>
        <v>0.1333333333333333</v>
      </c>
    </row>
    <row r="529" spans="1:8" x14ac:dyDescent="0.25">
      <c r="A529" s="4">
        <v>45843</v>
      </c>
      <c r="B529" t="s">
        <v>31</v>
      </c>
      <c r="C529" t="str">
        <f>_xlfn.IFNA(VLOOKUP($B529,ref!$B$2:$C$34,2,FALSE),"NA")</f>
        <v>1 Month</v>
      </c>
      <c r="D529" s="5">
        <v>3090</v>
      </c>
      <c r="E529">
        <v>16</v>
      </c>
      <c r="F529" s="1">
        <v>0.3</v>
      </c>
      <c r="G529" s="1">
        <v>0.26</v>
      </c>
      <c r="H529" s="10">
        <f t="shared" si="8"/>
        <v>0.1333333333333333</v>
      </c>
    </row>
    <row r="530" spans="1:8" x14ac:dyDescent="0.25">
      <c r="A530" s="4">
        <v>45843</v>
      </c>
      <c r="B530" t="s">
        <v>31</v>
      </c>
      <c r="C530" t="str">
        <f>_xlfn.IFNA(VLOOKUP($B530,ref!$B$2:$C$34,2,FALSE),"NA")</f>
        <v>1 Month</v>
      </c>
      <c r="D530" s="5">
        <v>3090</v>
      </c>
      <c r="E530">
        <v>16</v>
      </c>
      <c r="F530" s="1">
        <v>0.3</v>
      </c>
      <c r="G530" s="1">
        <v>0.26</v>
      </c>
      <c r="H530" s="10">
        <f t="shared" si="8"/>
        <v>0.1333333333333333</v>
      </c>
    </row>
    <row r="531" spans="1:8" x14ac:dyDescent="0.25">
      <c r="A531" s="4">
        <v>45843</v>
      </c>
      <c r="B531" t="s">
        <v>31</v>
      </c>
      <c r="C531" t="str">
        <f>_xlfn.IFNA(VLOOKUP($B531,ref!$B$2:$C$34,2,FALSE),"NA")</f>
        <v>1 Month</v>
      </c>
      <c r="D531" s="5">
        <v>3090</v>
      </c>
      <c r="E531">
        <v>16</v>
      </c>
      <c r="F531" s="1">
        <v>0.3</v>
      </c>
      <c r="G531" s="1">
        <v>0.26</v>
      </c>
      <c r="H531" s="10">
        <f t="shared" si="8"/>
        <v>0.1333333333333333</v>
      </c>
    </row>
    <row r="532" spans="1:8" x14ac:dyDescent="0.25">
      <c r="A532" s="4">
        <v>45835</v>
      </c>
      <c r="B532" t="s">
        <v>42</v>
      </c>
      <c r="C532" t="str">
        <f>_xlfn.IFNA(VLOOKUP($B532,ref!$B$2:$C$34,2,FALSE),"NA")</f>
        <v>Misc</v>
      </c>
      <c r="D532" s="5" t="s">
        <v>7</v>
      </c>
      <c r="E532">
        <v>16</v>
      </c>
      <c r="F532" s="1">
        <v>2.2000000000000002</v>
      </c>
      <c r="G532" s="1">
        <v>1.8</v>
      </c>
      <c r="H532" s="10">
        <f t="shared" si="8"/>
        <v>0.18181818181818188</v>
      </c>
    </row>
    <row r="533" spans="1:8" x14ac:dyDescent="0.25">
      <c r="A533" s="4">
        <v>45815</v>
      </c>
      <c r="B533" t="s">
        <v>35</v>
      </c>
      <c r="C533" t="str">
        <f>_xlfn.IFNA(VLOOKUP($B533,ref!$B$2:$C$34,2,FALSE),"NA")</f>
        <v>Misc</v>
      </c>
      <c r="D533" s="5" t="s">
        <v>7</v>
      </c>
      <c r="E533">
        <v>16</v>
      </c>
      <c r="F533" s="1">
        <v>2.25</v>
      </c>
      <c r="G533" s="1">
        <v>2</v>
      </c>
      <c r="H533" s="10">
        <f t="shared" si="8"/>
        <v>0.11111111111111116</v>
      </c>
    </row>
    <row r="534" spans="1:8" x14ac:dyDescent="0.25">
      <c r="A534" s="4">
        <v>45815</v>
      </c>
      <c r="B534" t="s">
        <v>35</v>
      </c>
      <c r="C534" t="str">
        <f>_xlfn.IFNA(VLOOKUP($B534,ref!$B$2:$C$34,2,FALSE),"NA")</f>
        <v>Misc</v>
      </c>
      <c r="D534" s="5" t="s">
        <v>7</v>
      </c>
      <c r="E534">
        <v>16</v>
      </c>
      <c r="F534" s="1">
        <v>2.25</v>
      </c>
      <c r="G534" s="1">
        <v>2</v>
      </c>
      <c r="H534" s="10">
        <f t="shared" si="8"/>
        <v>0.11111111111111116</v>
      </c>
    </row>
    <row r="535" spans="1:8" x14ac:dyDescent="0.25">
      <c r="A535" s="4">
        <v>45815</v>
      </c>
      <c r="B535" t="s">
        <v>35</v>
      </c>
      <c r="C535" t="str">
        <f>_xlfn.IFNA(VLOOKUP($B535,ref!$B$2:$C$34,2,FALSE),"NA")</f>
        <v>Misc</v>
      </c>
      <c r="D535" s="5" t="s">
        <v>7</v>
      </c>
      <c r="E535">
        <v>16</v>
      </c>
      <c r="F535" s="1">
        <v>2.25</v>
      </c>
      <c r="G535" s="1">
        <v>2</v>
      </c>
      <c r="H535" s="10">
        <f t="shared" si="8"/>
        <v>0.11111111111111116</v>
      </c>
    </row>
    <row r="536" spans="1:8" x14ac:dyDescent="0.25">
      <c r="A536" s="4">
        <v>45815</v>
      </c>
      <c r="B536" t="s">
        <v>35</v>
      </c>
      <c r="C536" t="str">
        <f>_xlfn.IFNA(VLOOKUP($B536,ref!$B$2:$C$34,2,FALSE),"NA")</f>
        <v>Misc</v>
      </c>
      <c r="D536" s="5" t="s">
        <v>7</v>
      </c>
      <c r="E536">
        <v>16</v>
      </c>
      <c r="F536" s="1">
        <v>2.25</v>
      </c>
      <c r="G536" s="1">
        <v>2</v>
      </c>
      <c r="H536" s="10">
        <f t="shared" si="8"/>
        <v>0.11111111111111116</v>
      </c>
    </row>
    <row r="537" spans="1:8" x14ac:dyDescent="0.25">
      <c r="A537" s="4">
        <v>45815</v>
      </c>
      <c r="B537" t="s">
        <v>35</v>
      </c>
      <c r="C537" t="str">
        <f>_xlfn.IFNA(VLOOKUP($B537,ref!$B$2:$C$34,2,FALSE),"NA")</f>
        <v>Misc</v>
      </c>
      <c r="D537" s="5" t="s">
        <v>7</v>
      </c>
      <c r="E537">
        <v>16</v>
      </c>
      <c r="F537" s="1">
        <v>2.25</v>
      </c>
      <c r="G537" s="1">
        <v>2</v>
      </c>
      <c r="H537" s="10">
        <f t="shared" si="8"/>
        <v>0.11111111111111116</v>
      </c>
    </row>
    <row r="538" spans="1:8" x14ac:dyDescent="0.25">
      <c r="A538" s="4">
        <v>45815</v>
      </c>
      <c r="B538" t="s">
        <v>35</v>
      </c>
      <c r="C538" t="str">
        <f>_xlfn.IFNA(VLOOKUP($B538,ref!$B$2:$C$34,2,FALSE),"NA")</f>
        <v>Misc</v>
      </c>
      <c r="D538" s="5" t="s">
        <v>7</v>
      </c>
      <c r="E538">
        <v>16</v>
      </c>
      <c r="F538" s="1">
        <v>2.25</v>
      </c>
      <c r="G538" s="1">
        <v>2</v>
      </c>
      <c r="H538" s="10">
        <f t="shared" si="8"/>
        <v>0.11111111111111116</v>
      </c>
    </row>
    <row r="539" spans="1:8" x14ac:dyDescent="0.25">
      <c r="A539" s="4">
        <v>45815</v>
      </c>
      <c r="B539" t="s">
        <v>35</v>
      </c>
      <c r="C539" t="str">
        <f>_xlfn.IFNA(VLOOKUP($B539,ref!$B$2:$C$34,2,FALSE),"NA")</f>
        <v>Misc</v>
      </c>
      <c r="D539" s="5" t="s">
        <v>7</v>
      </c>
      <c r="E539">
        <v>16</v>
      </c>
      <c r="F539" s="1">
        <v>2.25</v>
      </c>
      <c r="G539" s="1">
        <v>2</v>
      </c>
      <c r="H539" s="10">
        <f t="shared" si="8"/>
        <v>0.11111111111111116</v>
      </c>
    </row>
    <row r="540" spans="1:8" x14ac:dyDescent="0.25">
      <c r="A540" s="4">
        <v>45815</v>
      </c>
      <c r="B540" t="s">
        <v>35</v>
      </c>
      <c r="C540" t="str">
        <f>_xlfn.IFNA(VLOOKUP($B540,ref!$B$2:$C$34,2,FALSE),"NA")</f>
        <v>Misc</v>
      </c>
      <c r="D540" s="5" t="s">
        <v>7</v>
      </c>
      <c r="E540">
        <v>16</v>
      </c>
      <c r="F540" s="1">
        <v>2.6</v>
      </c>
      <c r="G540" s="1">
        <v>2.25</v>
      </c>
      <c r="H540" s="10">
        <f t="shared" si="8"/>
        <v>0.13461538461538469</v>
      </c>
    </row>
    <row r="541" spans="1:8" x14ac:dyDescent="0.25">
      <c r="A541" s="4">
        <v>45812</v>
      </c>
      <c r="C541" t="str">
        <f>_xlfn.IFNA(VLOOKUP($B541,ref!$B$2:$C$34,2,FALSE),"NA")</f>
        <v>NA</v>
      </c>
      <c r="D541" s="5" t="s">
        <v>7</v>
      </c>
      <c r="E541">
        <v>16</v>
      </c>
      <c r="F541" s="1">
        <v>2.5499999999999998</v>
      </c>
      <c r="G541" s="1">
        <v>1.8</v>
      </c>
      <c r="H541" s="10">
        <f t="shared" si="8"/>
        <v>0.29411764705882348</v>
      </c>
    </row>
    <row r="542" spans="1:8" x14ac:dyDescent="0.25">
      <c r="A542" s="4">
        <v>45809</v>
      </c>
      <c r="B542" t="s">
        <v>31</v>
      </c>
      <c r="C542" t="str">
        <f>_xlfn.IFNA(VLOOKUP($B542,ref!$B$2:$C$34,2,FALSE),"NA")</f>
        <v>1 Month</v>
      </c>
      <c r="D542" s="5" t="s">
        <v>13</v>
      </c>
      <c r="E542">
        <v>16</v>
      </c>
      <c r="F542" s="1">
        <v>1.45</v>
      </c>
      <c r="G542" s="1">
        <v>1.35</v>
      </c>
      <c r="H542" s="10">
        <f t="shared" si="8"/>
        <v>6.8965517241379226E-2</v>
      </c>
    </row>
    <row r="543" spans="1:8" x14ac:dyDescent="0.25">
      <c r="A543" s="4">
        <v>45809</v>
      </c>
      <c r="B543" t="s">
        <v>31</v>
      </c>
      <c r="C543" t="str">
        <f>_xlfn.IFNA(VLOOKUP($B543,ref!$B$2:$C$34,2,FALSE),"NA")</f>
        <v>1 Month</v>
      </c>
      <c r="D543" s="5" t="s">
        <v>13</v>
      </c>
      <c r="E543">
        <v>16</v>
      </c>
      <c r="F543" s="1">
        <v>1.45</v>
      </c>
      <c r="G543" s="1">
        <v>1.35</v>
      </c>
      <c r="H543" s="10">
        <f t="shared" si="8"/>
        <v>6.8965517241379226E-2</v>
      </c>
    </row>
    <row r="544" spans="1:8" x14ac:dyDescent="0.25">
      <c r="A544" s="4">
        <v>45809</v>
      </c>
      <c r="B544" t="s">
        <v>31</v>
      </c>
      <c r="C544" t="str">
        <f>_xlfn.IFNA(VLOOKUP($B544,ref!$B$2:$C$34,2,FALSE),"NA")</f>
        <v>1 Month</v>
      </c>
      <c r="D544" s="5" t="s">
        <v>13</v>
      </c>
      <c r="E544">
        <v>16</v>
      </c>
      <c r="F544" s="1">
        <v>1.45</v>
      </c>
      <c r="G544" s="1">
        <v>1.35</v>
      </c>
      <c r="H544" s="10">
        <f t="shared" si="8"/>
        <v>6.8965517241379226E-2</v>
      </c>
    </row>
    <row r="545" spans="1:8" x14ac:dyDescent="0.25">
      <c r="A545" s="4">
        <v>45809</v>
      </c>
      <c r="B545" t="s">
        <v>31</v>
      </c>
      <c r="C545" t="str">
        <f>_xlfn.IFNA(VLOOKUP($B545,ref!$B$2:$C$34,2,FALSE),"NA")</f>
        <v>1 Month</v>
      </c>
      <c r="D545" s="5" t="s">
        <v>13</v>
      </c>
      <c r="E545">
        <v>16</v>
      </c>
      <c r="F545" s="1">
        <v>1.45</v>
      </c>
      <c r="G545" s="1">
        <v>1.35</v>
      </c>
      <c r="H545" s="10">
        <f t="shared" si="8"/>
        <v>6.8965517241379226E-2</v>
      </c>
    </row>
    <row r="546" spans="1:8" x14ac:dyDescent="0.25">
      <c r="A546" s="4">
        <v>45809</v>
      </c>
      <c r="B546" t="s">
        <v>31</v>
      </c>
      <c r="C546" t="str">
        <f>_xlfn.IFNA(VLOOKUP($B546,ref!$B$2:$C$34,2,FALSE),"NA")</f>
        <v>1 Month</v>
      </c>
      <c r="D546" s="5" t="s">
        <v>13</v>
      </c>
      <c r="E546">
        <v>16</v>
      </c>
      <c r="F546" s="1">
        <v>1.45</v>
      </c>
      <c r="G546" s="1">
        <v>1.35</v>
      </c>
      <c r="H546" s="10">
        <f t="shared" si="8"/>
        <v>6.8965517241379226E-2</v>
      </c>
    </row>
    <row r="547" spans="1:8" x14ac:dyDescent="0.25">
      <c r="A547" s="4">
        <v>45809</v>
      </c>
      <c r="B547" t="s">
        <v>31</v>
      </c>
      <c r="C547" t="str">
        <f>_xlfn.IFNA(VLOOKUP($B547,ref!$B$2:$C$34,2,FALSE),"NA")</f>
        <v>1 Month</v>
      </c>
      <c r="D547" s="5" t="s">
        <v>13</v>
      </c>
      <c r="E547">
        <v>16</v>
      </c>
      <c r="F547" s="1">
        <v>1.45</v>
      </c>
      <c r="G547" s="1">
        <v>1.35</v>
      </c>
      <c r="H547" s="10">
        <f t="shared" si="8"/>
        <v>6.8965517241379226E-2</v>
      </c>
    </row>
    <row r="548" spans="1:8" x14ac:dyDescent="0.25">
      <c r="A548" s="4">
        <v>45809</v>
      </c>
      <c r="B548" t="s">
        <v>31</v>
      </c>
      <c r="C548" t="str">
        <f>_xlfn.IFNA(VLOOKUP($B548,ref!$B$2:$C$34,2,FALSE),"NA")</f>
        <v>1 Month</v>
      </c>
      <c r="D548" s="5" t="s">
        <v>13</v>
      </c>
      <c r="E548">
        <v>16</v>
      </c>
      <c r="F548" s="1">
        <v>1.45</v>
      </c>
      <c r="G548" s="1">
        <v>1.35</v>
      </c>
      <c r="H548" s="10">
        <f t="shared" si="8"/>
        <v>6.8965517241379226E-2</v>
      </c>
    </row>
    <row r="549" spans="1:8" x14ac:dyDescent="0.25">
      <c r="A549" s="4">
        <v>45809</v>
      </c>
      <c r="B549" t="s">
        <v>31</v>
      </c>
      <c r="C549" t="str">
        <f>_xlfn.IFNA(VLOOKUP($B549,ref!$B$2:$C$34,2,FALSE),"NA")</f>
        <v>1 Month</v>
      </c>
      <c r="D549" s="5" t="s">
        <v>13</v>
      </c>
      <c r="E549">
        <v>16</v>
      </c>
      <c r="F549" s="1">
        <v>1.45</v>
      </c>
      <c r="G549" s="1">
        <v>1.35</v>
      </c>
      <c r="H549" s="10">
        <f t="shared" si="8"/>
        <v>6.8965517241379226E-2</v>
      </c>
    </row>
    <row r="550" spans="1:8" x14ac:dyDescent="0.25">
      <c r="A550" s="4">
        <v>45809</v>
      </c>
      <c r="B550" t="s">
        <v>31</v>
      </c>
      <c r="C550" t="str">
        <f>_xlfn.IFNA(VLOOKUP($B550,ref!$B$2:$C$34,2,FALSE),"NA")</f>
        <v>1 Month</v>
      </c>
      <c r="D550" s="5" t="s">
        <v>13</v>
      </c>
      <c r="E550">
        <v>16</v>
      </c>
      <c r="F550" s="1">
        <v>1.45</v>
      </c>
      <c r="G550" s="1">
        <v>1.35</v>
      </c>
      <c r="H550" s="10">
        <f t="shared" si="8"/>
        <v>6.8965517241379226E-2</v>
      </c>
    </row>
    <row r="551" spans="1:8" x14ac:dyDescent="0.25">
      <c r="A551" s="4">
        <v>45778</v>
      </c>
      <c r="C551" t="str">
        <f>_xlfn.IFNA(VLOOKUP($B551,ref!$B$2:$C$34,2,FALSE),"NA")</f>
        <v>NA</v>
      </c>
      <c r="D551" s="5" t="s">
        <v>13</v>
      </c>
      <c r="E551">
        <v>16</v>
      </c>
      <c r="F551" s="1">
        <v>1.45</v>
      </c>
      <c r="G551" s="1">
        <v>1.35</v>
      </c>
      <c r="H551" s="10">
        <f t="shared" si="8"/>
        <v>6.8965517241379226E-2</v>
      </c>
    </row>
    <row r="552" spans="1:8" x14ac:dyDescent="0.25">
      <c r="A552" s="4">
        <v>45776</v>
      </c>
      <c r="B552" t="s">
        <v>14</v>
      </c>
      <c r="C552" t="str">
        <f>_xlfn.IFNA(VLOOKUP($B552,ref!$B$2:$C$34,2,FALSE),"NA")</f>
        <v>Spot</v>
      </c>
      <c r="D552" s="5" t="s">
        <v>7</v>
      </c>
      <c r="E552">
        <v>16</v>
      </c>
      <c r="F552" s="1">
        <v>2.35</v>
      </c>
      <c r="G552" s="1">
        <v>2.1</v>
      </c>
      <c r="H552" s="10">
        <f t="shared" si="8"/>
        <v>0.1063829787234043</v>
      </c>
    </row>
    <row r="553" spans="1:8" x14ac:dyDescent="0.25">
      <c r="A553" s="4">
        <v>45776</v>
      </c>
      <c r="B553" t="s">
        <v>14</v>
      </c>
      <c r="C553" t="str">
        <f>_xlfn.IFNA(VLOOKUP($B553,ref!$B$2:$C$34,2,FALSE),"NA")</f>
        <v>Spot</v>
      </c>
      <c r="D553" s="5" t="s">
        <v>7</v>
      </c>
      <c r="E553">
        <v>16</v>
      </c>
      <c r="F553" s="1">
        <v>2.35</v>
      </c>
      <c r="G553" s="1">
        <v>2.1</v>
      </c>
      <c r="H553" s="10">
        <f t="shared" si="8"/>
        <v>0.1063829787234043</v>
      </c>
    </row>
    <row r="554" spans="1:8" x14ac:dyDescent="0.25">
      <c r="A554" s="4">
        <v>45776</v>
      </c>
      <c r="B554" t="s">
        <v>14</v>
      </c>
      <c r="C554" t="str">
        <f>_xlfn.IFNA(VLOOKUP($B554,ref!$B$2:$C$34,2,FALSE),"NA")</f>
        <v>Spot</v>
      </c>
      <c r="D554" s="5" t="s">
        <v>7</v>
      </c>
      <c r="E554">
        <v>16</v>
      </c>
      <c r="F554" s="1">
        <v>2.35</v>
      </c>
      <c r="G554" s="1">
        <v>2.1</v>
      </c>
      <c r="H554" s="10">
        <f t="shared" si="8"/>
        <v>0.1063829787234043</v>
      </c>
    </row>
    <row r="555" spans="1:8" x14ac:dyDescent="0.25">
      <c r="A555" s="4">
        <v>45772</v>
      </c>
      <c r="B555" t="s">
        <v>14</v>
      </c>
      <c r="C555" t="str">
        <f>_xlfn.IFNA(VLOOKUP($B555,ref!$B$2:$C$34,2,FALSE),"NA")</f>
        <v>Spot</v>
      </c>
      <c r="D555" s="5">
        <v>3090</v>
      </c>
      <c r="E555">
        <v>16</v>
      </c>
      <c r="F555" s="1">
        <v>0.3</v>
      </c>
      <c r="G555" s="1">
        <v>0.26300000000000001</v>
      </c>
      <c r="H555" s="10">
        <f t="shared" si="8"/>
        <v>0.12333333333333329</v>
      </c>
    </row>
    <row r="556" spans="1:8" x14ac:dyDescent="0.25">
      <c r="A556" s="4">
        <v>45772</v>
      </c>
      <c r="B556" t="s">
        <v>14</v>
      </c>
      <c r="C556" t="str">
        <f>_xlfn.IFNA(VLOOKUP($B556,ref!$B$2:$C$34,2,FALSE),"NA")</f>
        <v>Spot</v>
      </c>
      <c r="D556" s="5">
        <v>4090</v>
      </c>
      <c r="E556">
        <v>16</v>
      </c>
      <c r="F556" s="1">
        <v>0.52</v>
      </c>
      <c r="G556" s="1">
        <v>0.45500000000000002</v>
      </c>
      <c r="H556" s="10">
        <f t="shared" si="8"/>
        <v>0.125</v>
      </c>
    </row>
    <row r="557" spans="1:8" x14ac:dyDescent="0.25">
      <c r="A557" s="4">
        <v>45772</v>
      </c>
      <c r="B557" t="s">
        <v>14</v>
      </c>
      <c r="C557" t="str">
        <f>_xlfn.IFNA(VLOOKUP($B557,ref!$B$2:$C$34,2,FALSE),"NA")</f>
        <v>Spot</v>
      </c>
      <c r="D557" s="5">
        <v>3090</v>
      </c>
      <c r="E557">
        <v>16</v>
      </c>
      <c r="F557" s="1">
        <v>0.3</v>
      </c>
      <c r="G557" s="1">
        <v>0.26300000000000001</v>
      </c>
      <c r="H557" s="10">
        <f t="shared" si="8"/>
        <v>0.12333333333333329</v>
      </c>
    </row>
    <row r="558" spans="1:8" x14ac:dyDescent="0.25">
      <c r="A558" s="4">
        <v>45772</v>
      </c>
      <c r="B558" t="s">
        <v>14</v>
      </c>
      <c r="C558" t="str">
        <f>_xlfn.IFNA(VLOOKUP($B558,ref!$B$2:$C$34,2,FALSE),"NA")</f>
        <v>Spot</v>
      </c>
      <c r="D558" s="5">
        <v>4090</v>
      </c>
      <c r="E558">
        <v>16</v>
      </c>
      <c r="F558" s="1">
        <v>0.52</v>
      </c>
      <c r="G558" s="1">
        <v>0.45500000000000002</v>
      </c>
      <c r="H558" s="10">
        <f t="shared" si="8"/>
        <v>0.125</v>
      </c>
    </row>
    <row r="559" spans="1:8" x14ac:dyDescent="0.25">
      <c r="A559" s="4">
        <v>45772</v>
      </c>
      <c r="B559" t="s">
        <v>14</v>
      </c>
      <c r="C559" t="str">
        <f>_xlfn.IFNA(VLOOKUP($B559,ref!$B$2:$C$34,2,FALSE),"NA")</f>
        <v>Spot</v>
      </c>
      <c r="D559" s="5">
        <v>3090</v>
      </c>
      <c r="E559">
        <v>16</v>
      </c>
      <c r="F559" s="1">
        <v>0.3</v>
      </c>
      <c r="G559" s="1">
        <v>0.26300000000000001</v>
      </c>
      <c r="H559" s="10">
        <f t="shared" si="8"/>
        <v>0.12333333333333329</v>
      </c>
    </row>
    <row r="560" spans="1:8" x14ac:dyDescent="0.25">
      <c r="A560" s="4">
        <v>45772</v>
      </c>
      <c r="B560" t="s">
        <v>14</v>
      </c>
      <c r="C560" t="str">
        <f>_xlfn.IFNA(VLOOKUP($B560,ref!$B$2:$C$34,2,FALSE),"NA")</f>
        <v>Spot</v>
      </c>
      <c r="D560" s="5">
        <v>4090</v>
      </c>
      <c r="E560">
        <v>16</v>
      </c>
      <c r="F560" s="1">
        <v>0.52</v>
      </c>
      <c r="G560" s="1">
        <v>0.45500000000000002</v>
      </c>
      <c r="H560" s="10">
        <f t="shared" si="8"/>
        <v>0.125</v>
      </c>
    </row>
    <row r="561" spans="1:8" x14ac:dyDescent="0.25">
      <c r="A561" s="4">
        <v>45772</v>
      </c>
      <c r="B561" t="s">
        <v>14</v>
      </c>
      <c r="C561" t="str">
        <f>_xlfn.IFNA(VLOOKUP($B561,ref!$B$2:$C$34,2,FALSE),"NA")</f>
        <v>Spot</v>
      </c>
      <c r="D561" s="5">
        <v>3090</v>
      </c>
      <c r="E561">
        <v>16</v>
      </c>
      <c r="F561" s="1">
        <v>0.3</v>
      </c>
      <c r="G561" s="1">
        <v>0.26300000000000001</v>
      </c>
      <c r="H561" s="10">
        <f t="shared" si="8"/>
        <v>0.12333333333333329</v>
      </c>
    </row>
    <row r="562" spans="1:8" x14ac:dyDescent="0.25">
      <c r="A562" s="4">
        <v>45772</v>
      </c>
      <c r="B562" t="s">
        <v>14</v>
      </c>
      <c r="C562" t="str">
        <f>_xlfn.IFNA(VLOOKUP($B562,ref!$B$2:$C$34,2,FALSE),"NA")</f>
        <v>Spot</v>
      </c>
      <c r="D562" s="5">
        <v>4090</v>
      </c>
      <c r="E562">
        <v>16</v>
      </c>
      <c r="F562" s="1">
        <v>0.52</v>
      </c>
      <c r="G562" s="1">
        <v>0.45500000000000002</v>
      </c>
      <c r="H562" s="10">
        <f t="shared" si="8"/>
        <v>0.125</v>
      </c>
    </row>
    <row r="563" spans="1:8" x14ac:dyDescent="0.25">
      <c r="A563" s="4">
        <v>45772</v>
      </c>
      <c r="B563" t="s">
        <v>14</v>
      </c>
      <c r="C563" t="str">
        <f>_xlfn.IFNA(VLOOKUP($B563,ref!$B$2:$C$34,2,FALSE),"NA")</f>
        <v>Spot</v>
      </c>
      <c r="D563" s="5">
        <v>3090</v>
      </c>
      <c r="E563">
        <v>16</v>
      </c>
      <c r="F563" s="1">
        <v>0.3</v>
      </c>
      <c r="G563" s="1">
        <v>0.26300000000000001</v>
      </c>
      <c r="H563" s="10">
        <f t="shared" si="8"/>
        <v>0.12333333333333329</v>
      </c>
    </row>
    <row r="564" spans="1:8" x14ac:dyDescent="0.25">
      <c r="A564" s="4">
        <v>45772</v>
      </c>
      <c r="B564" t="s">
        <v>14</v>
      </c>
      <c r="C564" t="str">
        <f>_xlfn.IFNA(VLOOKUP($B564,ref!$B$2:$C$34,2,FALSE),"NA")</f>
        <v>Spot</v>
      </c>
      <c r="D564" s="5">
        <v>4090</v>
      </c>
      <c r="E564">
        <v>16</v>
      </c>
      <c r="F564" s="1">
        <v>0.52</v>
      </c>
      <c r="G564" s="1">
        <v>0.45500000000000002</v>
      </c>
      <c r="H564" s="10">
        <f t="shared" si="8"/>
        <v>0.125</v>
      </c>
    </row>
    <row r="565" spans="1:8" x14ac:dyDescent="0.25">
      <c r="A565" s="4">
        <v>45772</v>
      </c>
      <c r="B565" t="s">
        <v>14</v>
      </c>
      <c r="C565" t="str">
        <f>_xlfn.IFNA(VLOOKUP($B565,ref!$B$2:$C$34,2,FALSE),"NA")</f>
        <v>Spot</v>
      </c>
      <c r="D565" s="5">
        <v>3090</v>
      </c>
      <c r="E565">
        <v>16</v>
      </c>
      <c r="F565" s="1">
        <v>0.3</v>
      </c>
      <c r="G565" s="1">
        <v>0.26300000000000001</v>
      </c>
      <c r="H565" s="10">
        <f t="shared" si="8"/>
        <v>0.12333333333333329</v>
      </c>
    </row>
    <row r="566" spans="1:8" x14ac:dyDescent="0.25">
      <c r="A566" s="4">
        <v>45772</v>
      </c>
      <c r="B566" t="s">
        <v>14</v>
      </c>
      <c r="C566" t="str">
        <f>_xlfn.IFNA(VLOOKUP($B566,ref!$B$2:$C$34,2,FALSE),"NA")</f>
        <v>Spot</v>
      </c>
      <c r="D566" s="5">
        <v>4090</v>
      </c>
      <c r="E566">
        <v>16</v>
      </c>
      <c r="F566" s="1">
        <v>0.52</v>
      </c>
      <c r="G566" s="1">
        <v>0.45500000000000002</v>
      </c>
      <c r="H566" s="10">
        <f t="shared" si="8"/>
        <v>0.125</v>
      </c>
    </row>
    <row r="567" spans="1:8" x14ac:dyDescent="0.25">
      <c r="A567" s="4">
        <v>45772</v>
      </c>
      <c r="B567" t="s">
        <v>14</v>
      </c>
      <c r="C567" t="str">
        <f>_xlfn.IFNA(VLOOKUP($B567,ref!$B$2:$C$34,2,FALSE),"NA")</f>
        <v>Spot</v>
      </c>
      <c r="D567" s="5">
        <v>3090</v>
      </c>
      <c r="E567">
        <v>16</v>
      </c>
      <c r="F567" s="1">
        <v>0.3</v>
      </c>
      <c r="G567" s="1">
        <v>0.26300000000000001</v>
      </c>
      <c r="H567" s="10">
        <f t="shared" si="8"/>
        <v>0.12333333333333329</v>
      </c>
    </row>
    <row r="568" spans="1:8" x14ac:dyDescent="0.25">
      <c r="A568" s="4">
        <v>45772</v>
      </c>
      <c r="B568" t="s">
        <v>14</v>
      </c>
      <c r="C568" t="str">
        <f>_xlfn.IFNA(VLOOKUP($B568,ref!$B$2:$C$34,2,FALSE),"NA")</f>
        <v>Spot</v>
      </c>
      <c r="D568" s="5">
        <v>4090</v>
      </c>
      <c r="E568">
        <v>16</v>
      </c>
      <c r="F568" s="1">
        <v>0.52</v>
      </c>
      <c r="G568" s="1">
        <v>0.45500000000000002</v>
      </c>
      <c r="H568" s="10">
        <f t="shared" si="8"/>
        <v>0.125</v>
      </c>
    </row>
    <row r="569" spans="1:8" x14ac:dyDescent="0.25">
      <c r="A569" s="4">
        <v>45772</v>
      </c>
      <c r="B569" t="s">
        <v>14</v>
      </c>
      <c r="C569" t="str">
        <f>_xlfn.IFNA(VLOOKUP($B569,ref!$B$2:$C$34,2,FALSE),"NA")</f>
        <v>Spot</v>
      </c>
      <c r="D569" s="5">
        <v>3090</v>
      </c>
      <c r="E569">
        <v>16</v>
      </c>
      <c r="F569" s="1">
        <v>0.3</v>
      </c>
      <c r="G569" s="1">
        <v>0.26300000000000001</v>
      </c>
      <c r="H569" s="10">
        <f t="shared" si="8"/>
        <v>0.12333333333333329</v>
      </c>
    </row>
    <row r="570" spans="1:8" x14ac:dyDescent="0.25">
      <c r="A570" s="4">
        <v>45772</v>
      </c>
      <c r="B570" t="s">
        <v>14</v>
      </c>
      <c r="C570" t="str">
        <f>_xlfn.IFNA(VLOOKUP($B570,ref!$B$2:$C$34,2,FALSE),"NA")</f>
        <v>Spot</v>
      </c>
      <c r="D570" s="5">
        <v>4090</v>
      </c>
      <c r="E570">
        <v>16</v>
      </c>
      <c r="F570" s="1">
        <v>0.52</v>
      </c>
      <c r="G570" s="1">
        <v>0.45500000000000002</v>
      </c>
      <c r="H570" s="10">
        <f t="shared" si="8"/>
        <v>0.125</v>
      </c>
    </row>
    <row r="571" spans="1:8" x14ac:dyDescent="0.25">
      <c r="A571" s="4">
        <v>45772</v>
      </c>
      <c r="B571" t="s">
        <v>14</v>
      </c>
      <c r="C571" t="str">
        <f>_xlfn.IFNA(VLOOKUP($B571,ref!$B$2:$C$34,2,FALSE),"NA")</f>
        <v>Spot</v>
      </c>
      <c r="D571" s="5">
        <v>3090</v>
      </c>
      <c r="E571">
        <v>16</v>
      </c>
      <c r="F571" s="1">
        <v>0.3</v>
      </c>
      <c r="G571" s="1">
        <v>0.26300000000000001</v>
      </c>
      <c r="H571" s="10">
        <f t="shared" si="8"/>
        <v>0.12333333333333329</v>
      </c>
    </row>
    <row r="572" spans="1:8" x14ac:dyDescent="0.25">
      <c r="A572" s="4">
        <v>45772</v>
      </c>
      <c r="B572" t="s">
        <v>14</v>
      </c>
      <c r="C572" t="str">
        <f>_xlfn.IFNA(VLOOKUP($B572,ref!$B$2:$C$34,2,FALSE),"NA")</f>
        <v>Spot</v>
      </c>
      <c r="D572" s="5">
        <v>4090</v>
      </c>
      <c r="E572">
        <v>16</v>
      </c>
      <c r="F572" s="1">
        <v>0.52</v>
      </c>
      <c r="G572" s="1">
        <v>0.45500000000000002</v>
      </c>
      <c r="H572" s="10">
        <f t="shared" si="8"/>
        <v>0.125</v>
      </c>
    </row>
    <row r="573" spans="1:8" x14ac:dyDescent="0.25">
      <c r="A573" s="4">
        <v>45772</v>
      </c>
      <c r="B573" t="s">
        <v>14</v>
      </c>
      <c r="C573" t="str">
        <f>_xlfn.IFNA(VLOOKUP($B573,ref!$B$2:$C$34,2,FALSE),"NA")</f>
        <v>Spot</v>
      </c>
      <c r="D573" s="5">
        <v>3090</v>
      </c>
      <c r="E573">
        <v>16</v>
      </c>
      <c r="F573" s="1">
        <v>0.3</v>
      </c>
      <c r="G573" s="1">
        <v>0.26300000000000001</v>
      </c>
      <c r="H573" s="10">
        <f t="shared" si="8"/>
        <v>0.12333333333333329</v>
      </c>
    </row>
    <row r="574" spans="1:8" x14ac:dyDescent="0.25">
      <c r="A574" s="4">
        <v>45772</v>
      </c>
      <c r="B574" t="s">
        <v>14</v>
      </c>
      <c r="C574" t="str">
        <f>_xlfn.IFNA(VLOOKUP($B574,ref!$B$2:$C$34,2,FALSE),"NA")</f>
        <v>Spot</v>
      </c>
      <c r="D574" s="5">
        <v>4090</v>
      </c>
      <c r="E574">
        <v>16</v>
      </c>
      <c r="F574" s="1">
        <v>0.52</v>
      </c>
      <c r="G574" s="1">
        <v>0.45500000000000002</v>
      </c>
      <c r="H574" s="10">
        <f t="shared" si="8"/>
        <v>0.125</v>
      </c>
    </row>
    <row r="575" spans="1:8" x14ac:dyDescent="0.25">
      <c r="A575" s="4">
        <v>45772</v>
      </c>
      <c r="B575" t="s">
        <v>14</v>
      </c>
      <c r="C575" t="str">
        <f>_xlfn.IFNA(VLOOKUP($B575,ref!$B$2:$C$34,2,FALSE),"NA")</f>
        <v>Spot</v>
      </c>
      <c r="D575" s="5">
        <v>3090</v>
      </c>
      <c r="E575">
        <v>16</v>
      </c>
      <c r="F575" s="1">
        <v>0.3</v>
      </c>
      <c r="G575" s="1">
        <v>0.26300000000000001</v>
      </c>
      <c r="H575" s="10">
        <f t="shared" si="8"/>
        <v>0.12333333333333329</v>
      </c>
    </row>
    <row r="576" spans="1:8" x14ac:dyDescent="0.25">
      <c r="A576" s="4">
        <v>45772</v>
      </c>
      <c r="B576" t="s">
        <v>14</v>
      </c>
      <c r="C576" t="str">
        <f>_xlfn.IFNA(VLOOKUP($B576,ref!$B$2:$C$34,2,FALSE),"NA")</f>
        <v>Spot</v>
      </c>
      <c r="D576" s="5">
        <v>4090</v>
      </c>
      <c r="E576">
        <v>16</v>
      </c>
      <c r="F576" s="1">
        <v>0.52</v>
      </c>
      <c r="G576" s="1">
        <v>0.45500000000000002</v>
      </c>
      <c r="H576" s="10">
        <f t="shared" si="8"/>
        <v>0.125</v>
      </c>
    </row>
    <row r="577" spans="1:8" x14ac:dyDescent="0.25">
      <c r="A577" s="4">
        <v>45766</v>
      </c>
      <c r="B577" t="s">
        <v>12</v>
      </c>
      <c r="C577" t="str">
        <f>_xlfn.IFNA(VLOOKUP($B577,ref!$B$2:$C$34,2,FALSE),"NA")</f>
        <v>Spot</v>
      </c>
      <c r="D577" s="5" t="s">
        <v>10</v>
      </c>
      <c r="E577">
        <v>16</v>
      </c>
      <c r="F577" s="1">
        <v>2.25</v>
      </c>
      <c r="G577" s="1">
        <v>1.9</v>
      </c>
      <c r="H577" s="10">
        <f t="shared" si="8"/>
        <v>0.15555555555555556</v>
      </c>
    </row>
    <row r="578" spans="1:8" x14ac:dyDescent="0.25">
      <c r="A578" s="4">
        <v>45763</v>
      </c>
      <c r="C578" t="str">
        <f>_xlfn.IFNA(VLOOKUP($B578,ref!$B$2:$C$34,2,FALSE),"NA")</f>
        <v>NA</v>
      </c>
      <c r="D578" s="5" t="s">
        <v>13</v>
      </c>
      <c r="E578">
        <v>16</v>
      </c>
      <c r="F578" s="1">
        <v>1.18</v>
      </c>
      <c r="G578" s="1">
        <v>1.02</v>
      </c>
      <c r="H578" s="10">
        <f t="shared" si="8"/>
        <v>0.13559322033898302</v>
      </c>
    </row>
    <row r="579" spans="1:8" x14ac:dyDescent="0.25">
      <c r="A579" s="4">
        <v>45763</v>
      </c>
      <c r="C579" t="str">
        <f>_xlfn.IFNA(VLOOKUP($B579,ref!$B$2:$C$34,2,FALSE),"NA")</f>
        <v>NA</v>
      </c>
      <c r="D579" s="5" t="s">
        <v>13</v>
      </c>
      <c r="E579">
        <v>16</v>
      </c>
      <c r="F579" s="1">
        <v>1.18</v>
      </c>
      <c r="G579" s="1">
        <v>1.02</v>
      </c>
      <c r="H579" s="10">
        <f t="shared" ref="H579:H642" si="9">1-(G579/F579)</f>
        <v>0.13559322033898302</v>
      </c>
    </row>
    <row r="580" spans="1:8" x14ac:dyDescent="0.25">
      <c r="A580" s="4">
        <v>45763</v>
      </c>
      <c r="C580" t="str">
        <f>_xlfn.IFNA(VLOOKUP($B580,ref!$B$2:$C$34,2,FALSE),"NA")</f>
        <v>NA</v>
      </c>
      <c r="D580" s="5" t="s">
        <v>13</v>
      </c>
      <c r="E580">
        <v>16</v>
      </c>
      <c r="F580" s="1">
        <v>1.18</v>
      </c>
      <c r="G580" s="1">
        <v>1.02</v>
      </c>
      <c r="H580" s="10">
        <f t="shared" si="9"/>
        <v>0.13559322033898302</v>
      </c>
    </row>
    <row r="581" spans="1:8" x14ac:dyDescent="0.25">
      <c r="A581" s="4">
        <v>45763</v>
      </c>
      <c r="C581" t="str">
        <f>_xlfn.IFNA(VLOOKUP($B581,ref!$B$2:$C$34,2,FALSE),"NA")</f>
        <v>NA</v>
      </c>
      <c r="D581" s="5" t="s">
        <v>13</v>
      </c>
      <c r="E581">
        <v>16</v>
      </c>
      <c r="F581" s="1">
        <v>1.18</v>
      </c>
      <c r="G581" s="1">
        <v>1.02</v>
      </c>
      <c r="H581" s="10">
        <f t="shared" si="9"/>
        <v>0.13559322033898302</v>
      </c>
    </row>
    <row r="582" spans="1:8" x14ac:dyDescent="0.25">
      <c r="A582" s="4">
        <v>45763</v>
      </c>
      <c r="C582" t="str">
        <f>_xlfn.IFNA(VLOOKUP($B582,ref!$B$2:$C$34,2,FALSE),"NA")</f>
        <v>NA</v>
      </c>
      <c r="D582" s="5" t="s">
        <v>13</v>
      </c>
      <c r="E582">
        <v>16</v>
      </c>
      <c r="F582" s="1">
        <v>1.18</v>
      </c>
      <c r="G582" s="1">
        <v>1.02</v>
      </c>
      <c r="H582" s="10">
        <f t="shared" si="9"/>
        <v>0.13559322033898302</v>
      </c>
    </row>
    <row r="583" spans="1:8" x14ac:dyDescent="0.25">
      <c r="A583" s="4">
        <v>45763</v>
      </c>
      <c r="C583" t="str">
        <f>_xlfn.IFNA(VLOOKUP($B583,ref!$B$2:$C$34,2,FALSE),"NA")</f>
        <v>NA</v>
      </c>
      <c r="D583" s="5" t="s">
        <v>13</v>
      </c>
      <c r="E583">
        <v>16</v>
      </c>
      <c r="F583" s="1">
        <v>1.18</v>
      </c>
      <c r="G583" s="1">
        <v>1.02</v>
      </c>
      <c r="H583" s="10">
        <f t="shared" si="9"/>
        <v>0.13559322033898302</v>
      </c>
    </row>
    <row r="584" spans="1:8" x14ac:dyDescent="0.25">
      <c r="A584" s="4">
        <v>45763</v>
      </c>
      <c r="C584" t="str">
        <f>_xlfn.IFNA(VLOOKUP($B584,ref!$B$2:$C$34,2,FALSE),"NA")</f>
        <v>NA</v>
      </c>
      <c r="D584" s="5" t="s">
        <v>13</v>
      </c>
      <c r="E584">
        <v>16</v>
      </c>
      <c r="F584" s="1">
        <v>1.18</v>
      </c>
      <c r="G584" s="1">
        <v>1.02</v>
      </c>
      <c r="H584" s="10">
        <f t="shared" si="9"/>
        <v>0.13559322033898302</v>
      </c>
    </row>
    <row r="585" spans="1:8" x14ac:dyDescent="0.25">
      <c r="A585" s="4">
        <v>45763</v>
      </c>
      <c r="C585" t="str">
        <f>_xlfn.IFNA(VLOOKUP($B585,ref!$B$2:$C$34,2,FALSE),"NA")</f>
        <v>NA</v>
      </c>
      <c r="D585" s="5" t="s">
        <v>13</v>
      </c>
      <c r="E585">
        <v>16</v>
      </c>
      <c r="F585" s="1">
        <v>1.18</v>
      </c>
      <c r="G585" s="1">
        <v>1.02</v>
      </c>
      <c r="H585" s="10">
        <f t="shared" si="9"/>
        <v>0.13559322033898302</v>
      </c>
    </row>
    <row r="586" spans="1:8" x14ac:dyDescent="0.25">
      <c r="A586" s="4">
        <v>45753</v>
      </c>
      <c r="B586" t="s">
        <v>14</v>
      </c>
      <c r="C586" t="str">
        <f>_xlfn.IFNA(VLOOKUP($B586,ref!$B$2:$C$34,2,FALSE),"NA")</f>
        <v>Spot</v>
      </c>
      <c r="D586" s="5" t="s">
        <v>7</v>
      </c>
      <c r="E586">
        <v>16</v>
      </c>
      <c r="F586" s="1">
        <v>3.1</v>
      </c>
      <c r="G586" s="1">
        <v>2.7</v>
      </c>
      <c r="H586" s="10">
        <f t="shared" si="9"/>
        <v>0.12903225806451613</v>
      </c>
    </row>
    <row r="587" spans="1:8" x14ac:dyDescent="0.25">
      <c r="A587" s="4">
        <v>45753</v>
      </c>
      <c r="B587" t="s">
        <v>14</v>
      </c>
      <c r="C587" t="str">
        <f>_xlfn.IFNA(VLOOKUP($B587,ref!$B$2:$C$34,2,FALSE),"NA")</f>
        <v>Spot</v>
      </c>
      <c r="D587" s="5" t="s">
        <v>7</v>
      </c>
      <c r="E587">
        <v>16</v>
      </c>
      <c r="F587" s="1">
        <v>3.1</v>
      </c>
      <c r="G587" s="1">
        <v>2.7</v>
      </c>
      <c r="H587" s="10">
        <f t="shared" si="9"/>
        <v>0.12903225806451613</v>
      </c>
    </row>
    <row r="588" spans="1:8" x14ac:dyDescent="0.25">
      <c r="A588" s="4">
        <v>45753</v>
      </c>
      <c r="C588" t="str">
        <f>_xlfn.IFNA(VLOOKUP($B588,ref!$B$2:$C$34,2,FALSE),"NA")</f>
        <v>NA</v>
      </c>
      <c r="D588" s="5" t="s">
        <v>10</v>
      </c>
      <c r="E588">
        <v>16</v>
      </c>
      <c r="F588" s="1">
        <v>2.66</v>
      </c>
      <c r="G588" s="1">
        <v>2.5099999999999998</v>
      </c>
      <c r="H588" s="10">
        <f t="shared" si="9"/>
        <v>5.6390977443609103E-2</v>
      </c>
    </row>
    <row r="589" spans="1:8" x14ac:dyDescent="0.25">
      <c r="A589" s="4">
        <v>45753</v>
      </c>
      <c r="B589" t="s">
        <v>14</v>
      </c>
      <c r="C589" t="str">
        <f>_xlfn.IFNA(VLOOKUP($B589,ref!$B$2:$C$34,2,FALSE),"NA")</f>
        <v>Spot</v>
      </c>
      <c r="D589" s="5" t="s">
        <v>7</v>
      </c>
      <c r="E589">
        <v>16</v>
      </c>
      <c r="F589" s="1">
        <v>3.1</v>
      </c>
      <c r="G589" s="1">
        <v>2.7</v>
      </c>
      <c r="H589" s="10">
        <f t="shared" si="9"/>
        <v>0.12903225806451613</v>
      </c>
    </row>
    <row r="590" spans="1:8" x14ac:dyDescent="0.25">
      <c r="A590" s="4">
        <v>45753</v>
      </c>
      <c r="B590" t="s">
        <v>14</v>
      </c>
      <c r="C590" t="str">
        <f>_xlfn.IFNA(VLOOKUP($B590,ref!$B$2:$C$34,2,FALSE),"NA")</f>
        <v>Spot</v>
      </c>
      <c r="D590" s="5" t="s">
        <v>7</v>
      </c>
      <c r="E590">
        <v>16</v>
      </c>
      <c r="F590" s="1">
        <v>3.1</v>
      </c>
      <c r="G590" s="1">
        <v>2.7</v>
      </c>
      <c r="H590" s="10">
        <f t="shared" si="9"/>
        <v>0.12903225806451613</v>
      </c>
    </row>
    <row r="591" spans="1:8" x14ac:dyDescent="0.25">
      <c r="A591" s="4">
        <v>45753</v>
      </c>
      <c r="B591" t="s">
        <v>14</v>
      </c>
      <c r="C591" t="str">
        <f>_xlfn.IFNA(VLOOKUP($B591,ref!$B$2:$C$34,2,FALSE),"NA")</f>
        <v>Spot</v>
      </c>
      <c r="D591" s="5" t="s">
        <v>7</v>
      </c>
      <c r="E591">
        <v>16</v>
      </c>
      <c r="F591" s="1">
        <v>3.1</v>
      </c>
      <c r="G591" s="1">
        <v>2.7</v>
      </c>
      <c r="H591" s="10">
        <f t="shared" si="9"/>
        <v>0.12903225806451613</v>
      </c>
    </row>
    <row r="592" spans="1:8" x14ac:dyDescent="0.25">
      <c r="A592" s="4">
        <v>45753</v>
      </c>
      <c r="B592" t="s">
        <v>14</v>
      </c>
      <c r="C592" t="str">
        <f>_xlfn.IFNA(VLOOKUP($B592,ref!$B$2:$C$34,2,FALSE),"NA")</f>
        <v>Spot</v>
      </c>
      <c r="D592" s="5" t="s">
        <v>7</v>
      </c>
      <c r="E592">
        <v>16</v>
      </c>
      <c r="F592" s="1">
        <v>3.1</v>
      </c>
      <c r="G592" s="1">
        <v>2.7</v>
      </c>
      <c r="H592" s="10">
        <f t="shared" si="9"/>
        <v>0.12903225806451613</v>
      </c>
    </row>
    <row r="593" spans="1:8" x14ac:dyDescent="0.25">
      <c r="A593" s="4">
        <v>45753</v>
      </c>
      <c r="C593" t="str">
        <f>_xlfn.IFNA(VLOOKUP($B593,ref!$B$2:$C$34,2,FALSE),"NA")</f>
        <v>NA</v>
      </c>
      <c r="D593" s="5" t="s">
        <v>10</v>
      </c>
      <c r="E593">
        <v>16</v>
      </c>
      <c r="F593" s="1">
        <v>2.66</v>
      </c>
      <c r="G593" s="1">
        <v>2.5099999999999998</v>
      </c>
      <c r="H593" s="10">
        <f t="shared" si="9"/>
        <v>5.6390977443609103E-2</v>
      </c>
    </row>
    <row r="594" spans="1:8" x14ac:dyDescent="0.25">
      <c r="A594" s="4">
        <v>45752</v>
      </c>
      <c r="C594" t="str">
        <f>_xlfn.IFNA(VLOOKUP($B594,ref!$B$2:$C$34,2,FALSE),"NA")</f>
        <v>NA</v>
      </c>
      <c r="D594" s="5" t="s">
        <v>7</v>
      </c>
      <c r="E594">
        <v>16</v>
      </c>
      <c r="F594" s="1">
        <v>3.15</v>
      </c>
      <c r="G594" s="1">
        <v>2.72</v>
      </c>
      <c r="H594" s="10">
        <f t="shared" si="9"/>
        <v>0.13650793650793647</v>
      </c>
    </row>
    <row r="595" spans="1:8" x14ac:dyDescent="0.25">
      <c r="A595" s="4">
        <v>45752</v>
      </c>
      <c r="B595" t="s">
        <v>14</v>
      </c>
      <c r="C595" t="str">
        <f>_xlfn.IFNA(VLOOKUP($B595,ref!$B$2:$C$34,2,FALSE),"NA")</f>
        <v>Spot</v>
      </c>
      <c r="D595" s="5" t="s">
        <v>7</v>
      </c>
      <c r="E595">
        <v>16</v>
      </c>
      <c r="F595" s="1">
        <v>3.15</v>
      </c>
      <c r="G595" s="1">
        <v>2.72</v>
      </c>
      <c r="H595" s="10">
        <f t="shared" si="9"/>
        <v>0.13650793650793647</v>
      </c>
    </row>
    <row r="596" spans="1:8" x14ac:dyDescent="0.25">
      <c r="A596" s="4">
        <v>45752</v>
      </c>
      <c r="B596" t="s">
        <v>14</v>
      </c>
      <c r="C596" t="str">
        <f>_xlfn.IFNA(VLOOKUP($B596,ref!$B$2:$C$34,2,FALSE),"NA")</f>
        <v>Spot</v>
      </c>
      <c r="D596" s="5" t="s">
        <v>7</v>
      </c>
      <c r="E596">
        <v>16</v>
      </c>
      <c r="F596" s="1">
        <v>3.15</v>
      </c>
      <c r="G596" s="1">
        <v>2.72</v>
      </c>
      <c r="H596" s="10">
        <f t="shared" si="9"/>
        <v>0.13650793650793647</v>
      </c>
    </row>
    <row r="597" spans="1:8" x14ac:dyDescent="0.25">
      <c r="A597" s="4">
        <v>45752</v>
      </c>
      <c r="B597" t="s">
        <v>14</v>
      </c>
      <c r="C597" t="str">
        <f>_xlfn.IFNA(VLOOKUP($B597,ref!$B$2:$C$34,2,FALSE),"NA")</f>
        <v>Spot</v>
      </c>
      <c r="D597" s="5" t="s">
        <v>7</v>
      </c>
      <c r="E597">
        <v>16</v>
      </c>
      <c r="F597" s="1">
        <v>3.15</v>
      </c>
      <c r="G597" s="1">
        <v>2.72</v>
      </c>
      <c r="H597" s="10">
        <f t="shared" si="9"/>
        <v>0.13650793650793647</v>
      </c>
    </row>
    <row r="598" spans="1:8" x14ac:dyDescent="0.25">
      <c r="A598" s="4">
        <v>45752</v>
      </c>
      <c r="B598" t="s">
        <v>14</v>
      </c>
      <c r="C598" t="str">
        <f>_xlfn.IFNA(VLOOKUP($B598,ref!$B$2:$C$34,2,FALSE),"NA")</f>
        <v>Spot</v>
      </c>
      <c r="D598" s="5" t="s">
        <v>7</v>
      </c>
      <c r="E598">
        <v>16</v>
      </c>
      <c r="F598" s="1">
        <v>3.15</v>
      </c>
      <c r="G598" s="1">
        <v>2.72</v>
      </c>
      <c r="H598" s="10">
        <f t="shared" si="9"/>
        <v>0.13650793650793647</v>
      </c>
    </row>
    <row r="599" spans="1:8" x14ac:dyDescent="0.25">
      <c r="A599" s="4">
        <v>45752</v>
      </c>
      <c r="B599" t="s">
        <v>14</v>
      </c>
      <c r="C599" t="str">
        <f>_xlfn.IFNA(VLOOKUP($B599,ref!$B$2:$C$34,2,FALSE),"NA")</f>
        <v>Spot</v>
      </c>
      <c r="D599" s="5" t="s">
        <v>7</v>
      </c>
      <c r="E599">
        <v>16</v>
      </c>
      <c r="F599" s="1">
        <v>3.15</v>
      </c>
      <c r="G599" s="1">
        <v>2.72</v>
      </c>
      <c r="H599" s="10">
        <f t="shared" si="9"/>
        <v>0.13650793650793647</v>
      </c>
    </row>
    <row r="600" spans="1:8" x14ac:dyDescent="0.25">
      <c r="A600" s="4">
        <v>45752</v>
      </c>
      <c r="B600" t="s">
        <v>14</v>
      </c>
      <c r="C600" t="str">
        <f>_xlfn.IFNA(VLOOKUP($B600,ref!$B$2:$C$34,2,FALSE),"NA")</f>
        <v>Spot</v>
      </c>
      <c r="D600" s="5" t="s">
        <v>7</v>
      </c>
      <c r="E600">
        <v>16</v>
      </c>
      <c r="F600" s="1">
        <v>3.15</v>
      </c>
      <c r="G600" s="1">
        <v>2.72</v>
      </c>
      <c r="H600" s="10">
        <f t="shared" si="9"/>
        <v>0.13650793650793647</v>
      </c>
    </row>
    <row r="601" spans="1:8" x14ac:dyDescent="0.25">
      <c r="A601" s="4">
        <v>45751</v>
      </c>
      <c r="B601" t="s">
        <v>14</v>
      </c>
      <c r="C601" t="str">
        <f>_xlfn.IFNA(VLOOKUP($B601,ref!$B$2:$C$34,2,FALSE),"NA")</f>
        <v>Spot</v>
      </c>
      <c r="D601" s="5" t="s">
        <v>7</v>
      </c>
      <c r="E601">
        <v>16</v>
      </c>
      <c r="F601" s="1">
        <v>3.1</v>
      </c>
      <c r="G601" s="1">
        <v>2.7</v>
      </c>
      <c r="H601" s="10">
        <f t="shared" si="9"/>
        <v>0.12903225806451613</v>
      </c>
    </row>
    <row r="602" spans="1:8" x14ac:dyDescent="0.25">
      <c r="A602" s="4">
        <v>45751</v>
      </c>
      <c r="B602" t="s">
        <v>14</v>
      </c>
      <c r="C602" t="str">
        <f>_xlfn.IFNA(VLOOKUP($B602,ref!$B$2:$C$34,2,FALSE),"NA")</f>
        <v>Spot</v>
      </c>
      <c r="D602" s="5" t="s">
        <v>7</v>
      </c>
      <c r="E602">
        <v>16</v>
      </c>
      <c r="F602" s="1">
        <v>3.1</v>
      </c>
      <c r="G602" s="1">
        <v>2.7</v>
      </c>
      <c r="H602" s="10">
        <f t="shared" si="9"/>
        <v>0.12903225806451613</v>
      </c>
    </row>
    <row r="603" spans="1:8" x14ac:dyDescent="0.25">
      <c r="A603" s="4">
        <v>45751</v>
      </c>
      <c r="B603" t="s">
        <v>14</v>
      </c>
      <c r="C603" t="str">
        <f>_xlfn.IFNA(VLOOKUP($B603,ref!$B$2:$C$34,2,FALSE),"NA")</f>
        <v>Spot</v>
      </c>
      <c r="D603" s="5" t="s">
        <v>7</v>
      </c>
      <c r="E603">
        <v>16</v>
      </c>
      <c r="F603" s="1">
        <v>3.1</v>
      </c>
      <c r="G603" s="1">
        <v>2.7</v>
      </c>
      <c r="H603" s="10">
        <f t="shared" si="9"/>
        <v>0.12903225806451613</v>
      </c>
    </row>
    <row r="604" spans="1:8" x14ac:dyDescent="0.25">
      <c r="A604" s="4">
        <v>45748</v>
      </c>
      <c r="B604" t="s">
        <v>14</v>
      </c>
      <c r="C604" t="str">
        <f>_xlfn.IFNA(VLOOKUP($B604,ref!$B$2:$C$34,2,FALSE),"NA")</f>
        <v>Spot</v>
      </c>
      <c r="D604" s="5" t="s">
        <v>10</v>
      </c>
      <c r="E604">
        <v>16</v>
      </c>
      <c r="F604" s="1">
        <v>2.4500000000000002</v>
      </c>
      <c r="G604" s="1">
        <v>2.2400000000000002</v>
      </c>
      <c r="H604" s="10">
        <f t="shared" si="9"/>
        <v>8.5714285714285743E-2</v>
      </c>
    </row>
    <row r="605" spans="1:8" x14ac:dyDescent="0.25">
      <c r="A605" s="4">
        <v>45744</v>
      </c>
      <c r="B605" t="s">
        <v>14</v>
      </c>
      <c r="C605" t="str">
        <f>_xlfn.IFNA(VLOOKUP($B605,ref!$B$2:$C$34,2,FALSE),"NA")</f>
        <v>Spot</v>
      </c>
      <c r="D605" s="5" t="s">
        <v>7</v>
      </c>
      <c r="E605">
        <v>16</v>
      </c>
      <c r="F605" s="1">
        <v>3.15</v>
      </c>
      <c r="G605" s="1">
        <v>2.72</v>
      </c>
      <c r="H605" s="10">
        <f t="shared" si="9"/>
        <v>0.13650793650793647</v>
      </c>
    </row>
    <row r="606" spans="1:8" x14ac:dyDescent="0.25">
      <c r="A606" s="4">
        <v>45738</v>
      </c>
      <c r="B606" t="s">
        <v>14</v>
      </c>
      <c r="C606" t="str">
        <f>_xlfn.IFNA(VLOOKUP($B606,ref!$B$2:$C$34,2,FALSE),"NA")</f>
        <v>Spot</v>
      </c>
      <c r="D606" s="5" t="s">
        <v>7</v>
      </c>
      <c r="E606">
        <v>16</v>
      </c>
      <c r="F606" s="1">
        <v>3.15</v>
      </c>
      <c r="G606" s="1">
        <v>2.72</v>
      </c>
      <c r="H606" s="10">
        <f t="shared" si="9"/>
        <v>0.13650793650793647</v>
      </c>
    </row>
    <row r="607" spans="1:8" x14ac:dyDescent="0.25">
      <c r="A607" s="4">
        <v>45738</v>
      </c>
      <c r="B607" t="s">
        <v>12</v>
      </c>
      <c r="C607" t="str">
        <f>_xlfn.IFNA(VLOOKUP($B607,ref!$B$2:$C$34,2,FALSE),"NA")</f>
        <v>Spot</v>
      </c>
      <c r="D607" s="5" t="s">
        <v>10</v>
      </c>
      <c r="E607">
        <v>16</v>
      </c>
      <c r="F607" s="1">
        <v>2.25</v>
      </c>
      <c r="G607" s="1">
        <v>1.9</v>
      </c>
      <c r="H607" s="10">
        <f t="shared" si="9"/>
        <v>0.15555555555555556</v>
      </c>
    </row>
    <row r="608" spans="1:8" x14ac:dyDescent="0.25">
      <c r="A608" s="4">
        <v>45738</v>
      </c>
      <c r="B608" t="s">
        <v>12</v>
      </c>
      <c r="C608" t="str">
        <f>_xlfn.IFNA(VLOOKUP($B608,ref!$B$2:$C$34,2,FALSE),"NA")</f>
        <v>Spot</v>
      </c>
      <c r="D608" s="5" t="s">
        <v>21</v>
      </c>
      <c r="E608">
        <v>16</v>
      </c>
      <c r="F608" s="1">
        <v>0.5</v>
      </c>
      <c r="G608" s="1">
        <v>0.47</v>
      </c>
      <c r="H608" s="10">
        <f t="shared" si="9"/>
        <v>6.0000000000000053E-2</v>
      </c>
    </row>
    <row r="609" spans="1:8" x14ac:dyDescent="0.25">
      <c r="A609" s="4">
        <v>45731</v>
      </c>
      <c r="B609" t="s">
        <v>14</v>
      </c>
      <c r="C609" t="str">
        <f>_xlfn.IFNA(VLOOKUP($B609,ref!$B$2:$C$34,2,FALSE),"NA")</f>
        <v>Spot</v>
      </c>
      <c r="D609" s="5" t="s">
        <v>7</v>
      </c>
      <c r="E609">
        <v>16</v>
      </c>
      <c r="F609" s="1">
        <v>3.15</v>
      </c>
      <c r="G609" s="1">
        <v>2.72</v>
      </c>
      <c r="H609" s="10">
        <f t="shared" si="9"/>
        <v>0.13650793650793647</v>
      </c>
    </row>
    <row r="610" spans="1:8" x14ac:dyDescent="0.25">
      <c r="A610" s="4">
        <v>45727</v>
      </c>
      <c r="B610" t="s">
        <v>14</v>
      </c>
      <c r="C610" t="str">
        <f>_xlfn.IFNA(VLOOKUP($B610,ref!$B$2:$C$34,2,FALSE),"NA")</f>
        <v>Spot</v>
      </c>
      <c r="D610" s="5">
        <v>4090</v>
      </c>
      <c r="E610">
        <v>16</v>
      </c>
      <c r="F610" s="1">
        <v>0.65</v>
      </c>
      <c r="G610" s="1">
        <v>0.56899999999999995</v>
      </c>
      <c r="H610" s="10">
        <f t="shared" si="9"/>
        <v>0.12461538461538468</v>
      </c>
    </row>
    <row r="611" spans="1:8" x14ac:dyDescent="0.25">
      <c r="A611" s="4">
        <v>45724</v>
      </c>
      <c r="B611" t="s">
        <v>14</v>
      </c>
      <c r="C611" t="str">
        <f>_xlfn.IFNA(VLOOKUP($B611,ref!$B$2:$C$34,2,FALSE),"NA")</f>
        <v>Spot</v>
      </c>
      <c r="D611" s="5">
        <v>4090</v>
      </c>
      <c r="E611">
        <v>16</v>
      </c>
      <c r="F611" s="1">
        <v>0.57999999999999996</v>
      </c>
      <c r="G611" s="1">
        <v>0.50800000000000001</v>
      </c>
      <c r="H611" s="10">
        <f t="shared" si="9"/>
        <v>0.12413793103448267</v>
      </c>
    </row>
    <row r="612" spans="1:8" x14ac:dyDescent="0.25">
      <c r="A612" s="4">
        <v>45724</v>
      </c>
      <c r="B612" t="s">
        <v>14</v>
      </c>
      <c r="C612" t="str">
        <f>_xlfn.IFNA(VLOOKUP($B612,ref!$B$2:$C$34,2,FALSE),"NA")</f>
        <v>Spot</v>
      </c>
      <c r="D612" s="5">
        <v>4090</v>
      </c>
      <c r="E612">
        <v>16</v>
      </c>
      <c r="F612" s="1">
        <v>0.57999999999999996</v>
      </c>
      <c r="G612" s="1">
        <v>0.50800000000000001</v>
      </c>
      <c r="H612" s="10">
        <f t="shared" si="9"/>
        <v>0.12413793103448267</v>
      </c>
    </row>
    <row r="613" spans="1:8" x14ac:dyDescent="0.25">
      <c r="A613" s="4">
        <v>45720</v>
      </c>
      <c r="B613" t="s">
        <v>24</v>
      </c>
      <c r="C613" t="str">
        <f>_xlfn.IFNA(VLOOKUP($B613,ref!$B$2:$C$34,2,FALSE),"NA")</f>
        <v>Misc</v>
      </c>
      <c r="D613" s="5" t="s">
        <v>7</v>
      </c>
      <c r="E613">
        <v>16</v>
      </c>
      <c r="F613" s="1">
        <v>2.85</v>
      </c>
      <c r="G613" s="1">
        <v>2.5</v>
      </c>
      <c r="H613" s="10">
        <f t="shared" si="9"/>
        <v>0.1228070175438597</v>
      </c>
    </row>
    <row r="614" spans="1:8" x14ac:dyDescent="0.25">
      <c r="A614" s="4">
        <v>45720</v>
      </c>
      <c r="B614" t="s">
        <v>24</v>
      </c>
      <c r="C614" t="str">
        <f>_xlfn.IFNA(VLOOKUP($B614,ref!$B$2:$C$34,2,FALSE),"NA")</f>
        <v>Misc</v>
      </c>
      <c r="D614" s="5" t="s">
        <v>7</v>
      </c>
      <c r="E614">
        <v>16</v>
      </c>
      <c r="F614" s="1">
        <v>2.85</v>
      </c>
      <c r="G614" s="1">
        <v>2.5</v>
      </c>
      <c r="H614" s="10">
        <f t="shared" si="9"/>
        <v>0.1228070175438597</v>
      </c>
    </row>
    <row r="615" spans="1:8" x14ac:dyDescent="0.25">
      <c r="A615" s="4">
        <v>45717</v>
      </c>
      <c r="B615" t="s">
        <v>12</v>
      </c>
      <c r="C615" t="str">
        <f>_xlfn.IFNA(VLOOKUP($B615,ref!$B$2:$C$34,2,FALSE),"NA")</f>
        <v>Spot</v>
      </c>
      <c r="D615" s="5" t="s">
        <v>13</v>
      </c>
      <c r="E615">
        <v>16</v>
      </c>
      <c r="F615" s="1">
        <v>1.45</v>
      </c>
      <c r="G615" s="1">
        <v>1.35</v>
      </c>
      <c r="H615" s="10">
        <f t="shared" si="9"/>
        <v>6.8965517241379226E-2</v>
      </c>
    </row>
    <row r="616" spans="1:8" x14ac:dyDescent="0.25">
      <c r="A616" s="4">
        <v>45717</v>
      </c>
      <c r="B616" t="s">
        <v>12</v>
      </c>
      <c r="C616" t="str">
        <f>_xlfn.IFNA(VLOOKUP($B616,ref!$B$2:$C$34,2,FALSE),"NA")</f>
        <v>Spot</v>
      </c>
      <c r="D616" s="5" t="s">
        <v>13</v>
      </c>
      <c r="E616">
        <v>16</v>
      </c>
      <c r="F616" s="1">
        <v>1.45</v>
      </c>
      <c r="G616" s="1">
        <v>1.35</v>
      </c>
      <c r="H616" s="10">
        <f t="shared" si="9"/>
        <v>6.8965517241379226E-2</v>
      </c>
    </row>
    <row r="617" spans="1:8" x14ac:dyDescent="0.25">
      <c r="A617" s="4">
        <v>45716</v>
      </c>
      <c r="B617" t="s">
        <v>14</v>
      </c>
      <c r="C617" t="str">
        <f>_xlfn.IFNA(VLOOKUP($B617,ref!$B$2:$C$34,2,FALSE),"NA")</f>
        <v>Spot</v>
      </c>
      <c r="D617" s="5" t="s">
        <v>7</v>
      </c>
      <c r="E617">
        <v>16</v>
      </c>
      <c r="F617" s="1">
        <v>3.15</v>
      </c>
      <c r="G617" s="1">
        <v>2.72</v>
      </c>
      <c r="H617" s="10">
        <f t="shared" si="9"/>
        <v>0.13650793650793647</v>
      </c>
    </row>
    <row r="618" spans="1:8" x14ac:dyDescent="0.25">
      <c r="A618" s="4">
        <v>45716</v>
      </c>
      <c r="B618" t="s">
        <v>9</v>
      </c>
      <c r="C618" t="str">
        <f>_xlfn.IFNA(VLOOKUP($B618,ref!$B$2:$C$34,2,FALSE),"NA")</f>
        <v>12 Month</v>
      </c>
      <c r="D618" s="5" t="s">
        <v>10</v>
      </c>
      <c r="E618">
        <v>16</v>
      </c>
      <c r="F618" s="1">
        <v>2.66</v>
      </c>
      <c r="G618" s="1">
        <v>2.5099999999999998</v>
      </c>
      <c r="H618" s="10">
        <f t="shared" si="9"/>
        <v>5.6390977443609103E-2</v>
      </c>
    </row>
    <row r="619" spans="1:8" x14ac:dyDescent="0.25">
      <c r="A619" s="4">
        <v>45716</v>
      </c>
      <c r="B619" t="s">
        <v>14</v>
      </c>
      <c r="C619" t="str">
        <f>_xlfn.IFNA(VLOOKUP($B619,ref!$B$2:$C$34,2,FALSE),"NA")</f>
        <v>Spot</v>
      </c>
      <c r="D619" s="5">
        <v>4090</v>
      </c>
      <c r="E619">
        <v>16</v>
      </c>
      <c r="F619" s="1">
        <v>0.62</v>
      </c>
      <c r="G619" s="1">
        <v>0.54300000000000004</v>
      </c>
      <c r="H619" s="10">
        <f t="shared" si="9"/>
        <v>0.12419354838709673</v>
      </c>
    </row>
    <row r="620" spans="1:8" x14ac:dyDescent="0.25">
      <c r="A620" s="4">
        <v>45716</v>
      </c>
      <c r="B620" t="s">
        <v>14</v>
      </c>
      <c r="C620" t="str">
        <f>_xlfn.IFNA(VLOOKUP($B620,ref!$B$2:$C$34,2,FALSE),"NA")</f>
        <v>Spot</v>
      </c>
      <c r="D620" s="5" t="s">
        <v>7</v>
      </c>
      <c r="E620">
        <v>16</v>
      </c>
      <c r="F620" s="1">
        <v>3.15</v>
      </c>
      <c r="G620" s="1">
        <v>2.72</v>
      </c>
      <c r="H620" s="10">
        <f t="shared" si="9"/>
        <v>0.13650793650793647</v>
      </c>
    </row>
    <row r="621" spans="1:8" x14ac:dyDescent="0.25">
      <c r="A621" s="4">
        <v>45713</v>
      </c>
      <c r="B621" t="s">
        <v>24</v>
      </c>
      <c r="C621" t="str">
        <f>_xlfn.IFNA(VLOOKUP($B621,ref!$B$2:$C$34,2,FALSE),"NA")</f>
        <v>Misc</v>
      </c>
      <c r="D621" s="5" t="s">
        <v>7</v>
      </c>
      <c r="E621">
        <v>16</v>
      </c>
      <c r="F621" s="1">
        <v>2.95</v>
      </c>
      <c r="G621" s="1">
        <v>2.5</v>
      </c>
      <c r="H621" s="10">
        <f t="shared" si="9"/>
        <v>0.15254237288135597</v>
      </c>
    </row>
    <row r="622" spans="1:8" x14ac:dyDescent="0.25">
      <c r="A622" s="4">
        <v>45713</v>
      </c>
      <c r="B622" t="s">
        <v>24</v>
      </c>
      <c r="C622" t="str">
        <f>_xlfn.IFNA(VLOOKUP($B622,ref!$B$2:$C$34,2,FALSE),"NA")</f>
        <v>Misc</v>
      </c>
      <c r="D622" s="5" t="s">
        <v>7</v>
      </c>
      <c r="E622">
        <v>16</v>
      </c>
      <c r="F622" s="1">
        <v>2.95</v>
      </c>
      <c r="G622" s="1">
        <v>2.5</v>
      </c>
      <c r="H622" s="10">
        <f t="shared" si="9"/>
        <v>0.15254237288135597</v>
      </c>
    </row>
    <row r="623" spans="1:8" x14ac:dyDescent="0.25">
      <c r="A623" s="4">
        <v>45713</v>
      </c>
      <c r="B623" t="s">
        <v>14</v>
      </c>
      <c r="C623" t="str">
        <f>_xlfn.IFNA(VLOOKUP($B623,ref!$B$2:$C$34,2,FALSE),"NA")</f>
        <v>Spot</v>
      </c>
      <c r="D623" s="5">
        <v>4090</v>
      </c>
      <c r="E623">
        <v>16</v>
      </c>
      <c r="F623" s="1">
        <v>0.62</v>
      </c>
      <c r="G623" s="1">
        <v>0.54300000000000004</v>
      </c>
      <c r="H623" s="10">
        <f t="shared" si="9"/>
        <v>0.12419354838709673</v>
      </c>
    </row>
    <row r="624" spans="1:8" x14ac:dyDescent="0.25">
      <c r="A624" s="4">
        <v>45713</v>
      </c>
      <c r="B624" t="s">
        <v>24</v>
      </c>
      <c r="C624" t="str">
        <f>_xlfn.IFNA(VLOOKUP($B624,ref!$B$2:$C$34,2,FALSE),"NA")</f>
        <v>Misc</v>
      </c>
      <c r="D624" s="5" t="s">
        <v>7</v>
      </c>
      <c r="E624">
        <v>16</v>
      </c>
      <c r="F624" s="1">
        <v>2.7</v>
      </c>
      <c r="G624" s="1">
        <v>2.35</v>
      </c>
      <c r="H624" s="10">
        <f t="shared" si="9"/>
        <v>0.12962962962962965</v>
      </c>
    </row>
    <row r="625" spans="1:8" x14ac:dyDescent="0.25">
      <c r="A625" s="4">
        <v>45713</v>
      </c>
      <c r="B625" t="s">
        <v>24</v>
      </c>
      <c r="C625" t="str">
        <f>_xlfn.IFNA(VLOOKUP($B625,ref!$B$2:$C$34,2,FALSE),"NA")</f>
        <v>Misc</v>
      </c>
      <c r="D625" s="5" t="s">
        <v>7</v>
      </c>
      <c r="E625">
        <v>16</v>
      </c>
      <c r="F625" s="1">
        <v>2.7</v>
      </c>
      <c r="G625" s="1">
        <v>2.35</v>
      </c>
      <c r="H625" s="10">
        <f t="shared" si="9"/>
        <v>0.12962962962962965</v>
      </c>
    </row>
    <row r="626" spans="1:8" x14ac:dyDescent="0.25">
      <c r="A626" s="4">
        <v>45711</v>
      </c>
      <c r="B626" t="s">
        <v>17</v>
      </c>
      <c r="C626" t="str">
        <f>_xlfn.IFNA(VLOOKUP($B626,ref!$B$2:$C$34,2,FALSE),"NA")</f>
        <v>6 Month</v>
      </c>
      <c r="D626" s="5" t="s">
        <v>7</v>
      </c>
      <c r="E626">
        <v>16</v>
      </c>
      <c r="F626" s="1">
        <v>2.35</v>
      </c>
      <c r="G626" s="1">
        <v>2.25</v>
      </c>
      <c r="H626" s="10">
        <f t="shared" si="9"/>
        <v>4.2553191489361764E-2</v>
      </c>
    </row>
    <row r="627" spans="1:8" x14ac:dyDescent="0.25">
      <c r="A627" s="4">
        <v>45709</v>
      </c>
      <c r="B627" t="s">
        <v>12</v>
      </c>
      <c r="C627" t="str">
        <f>_xlfn.IFNA(VLOOKUP($B627,ref!$B$2:$C$34,2,FALSE),"NA")</f>
        <v>Spot</v>
      </c>
      <c r="D627" s="5" t="s">
        <v>21</v>
      </c>
      <c r="E627">
        <v>16</v>
      </c>
      <c r="F627" s="1">
        <v>0.5</v>
      </c>
      <c r="G627" s="1">
        <v>0.47</v>
      </c>
      <c r="H627" s="10">
        <f t="shared" si="9"/>
        <v>6.0000000000000053E-2</v>
      </c>
    </row>
    <row r="628" spans="1:8" x14ac:dyDescent="0.25">
      <c r="A628" s="4">
        <v>45706</v>
      </c>
      <c r="B628" t="s">
        <v>14</v>
      </c>
      <c r="C628" t="str">
        <f>_xlfn.IFNA(VLOOKUP($B628,ref!$B$2:$C$34,2,FALSE),"NA")</f>
        <v>Spot</v>
      </c>
      <c r="D628" s="5" t="s">
        <v>7</v>
      </c>
      <c r="E628">
        <v>16</v>
      </c>
      <c r="F628" s="1">
        <v>2.7</v>
      </c>
      <c r="G628" s="1">
        <v>2.35</v>
      </c>
      <c r="H628" s="10">
        <f t="shared" si="9"/>
        <v>0.12962962962962965</v>
      </c>
    </row>
    <row r="629" spans="1:8" x14ac:dyDescent="0.25">
      <c r="A629" s="4">
        <v>45706</v>
      </c>
      <c r="B629" t="s">
        <v>24</v>
      </c>
      <c r="C629" t="str">
        <f>_xlfn.IFNA(VLOOKUP($B629,ref!$B$2:$C$34,2,FALSE),"NA")</f>
        <v>Misc</v>
      </c>
      <c r="D629" s="5" t="s">
        <v>7</v>
      </c>
      <c r="E629">
        <v>16</v>
      </c>
      <c r="F629" s="1">
        <v>2.7</v>
      </c>
      <c r="G629" s="1">
        <v>2.35</v>
      </c>
      <c r="H629" s="10">
        <f t="shared" si="9"/>
        <v>0.12962962962962965</v>
      </c>
    </row>
    <row r="630" spans="1:8" x14ac:dyDescent="0.25">
      <c r="A630" s="4">
        <v>45706</v>
      </c>
      <c r="B630" t="s">
        <v>14</v>
      </c>
      <c r="C630" t="str">
        <f>_xlfn.IFNA(VLOOKUP($B630,ref!$B$2:$C$34,2,FALSE),"NA")</f>
        <v>Spot</v>
      </c>
      <c r="D630" s="5">
        <v>4090</v>
      </c>
      <c r="E630">
        <v>16</v>
      </c>
      <c r="F630" s="1">
        <v>0.62</v>
      </c>
      <c r="G630" s="1">
        <v>0.54300000000000004</v>
      </c>
      <c r="H630" s="10">
        <f t="shared" si="9"/>
        <v>0.12419354838709673</v>
      </c>
    </row>
    <row r="631" spans="1:8" x14ac:dyDescent="0.25">
      <c r="A631" s="4">
        <v>45689</v>
      </c>
      <c r="B631" t="s">
        <v>12</v>
      </c>
      <c r="C631" t="str">
        <f>_xlfn.IFNA(VLOOKUP($B631,ref!$B$2:$C$34,2,FALSE),"NA")</f>
        <v>Spot</v>
      </c>
      <c r="D631" s="5" t="s">
        <v>13</v>
      </c>
      <c r="E631">
        <v>16</v>
      </c>
      <c r="F631" s="1">
        <v>1.6</v>
      </c>
      <c r="G631" s="1">
        <v>1.5</v>
      </c>
      <c r="H631" s="10">
        <f t="shared" si="9"/>
        <v>6.25E-2</v>
      </c>
    </row>
    <row r="632" spans="1:8" x14ac:dyDescent="0.25">
      <c r="A632" s="4">
        <v>45685</v>
      </c>
      <c r="B632" t="s">
        <v>14</v>
      </c>
      <c r="C632" t="str">
        <f>_xlfn.IFNA(VLOOKUP($B632,ref!$B$2:$C$34,2,FALSE),"NA")</f>
        <v>Spot</v>
      </c>
      <c r="D632" s="5">
        <v>4090</v>
      </c>
      <c r="E632">
        <v>16</v>
      </c>
      <c r="F632" s="1">
        <v>0.62</v>
      </c>
      <c r="G632" s="1">
        <v>0.54300000000000004</v>
      </c>
      <c r="H632" s="10">
        <f t="shared" si="9"/>
        <v>0.12419354838709673</v>
      </c>
    </row>
    <row r="633" spans="1:8" x14ac:dyDescent="0.25">
      <c r="A633" s="4">
        <v>45685</v>
      </c>
      <c r="B633" t="s">
        <v>14</v>
      </c>
      <c r="C633" t="str">
        <f>_xlfn.IFNA(VLOOKUP($B633,ref!$B$2:$C$34,2,FALSE),"NA")</f>
        <v>Spot</v>
      </c>
      <c r="D633" s="5">
        <v>4090</v>
      </c>
      <c r="E633">
        <v>16</v>
      </c>
      <c r="F633" s="1">
        <v>0.62</v>
      </c>
      <c r="G633" s="1">
        <v>0.54300000000000004</v>
      </c>
      <c r="H633" s="10">
        <f t="shared" si="9"/>
        <v>0.12419354838709673</v>
      </c>
    </row>
    <row r="634" spans="1:8" x14ac:dyDescent="0.25">
      <c r="A634" s="4">
        <v>45685</v>
      </c>
      <c r="B634" t="s">
        <v>14</v>
      </c>
      <c r="C634" t="str">
        <f>_xlfn.IFNA(VLOOKUP($B634,ref!$B$2:$C$34,2,FALSE),"NA")</f>
        <v>Spot</v>
      </c>
      <c r="D634" s="5">
        <v>4090</v>
      </c>
      <c r="E634">
        <v>16</v>
      </c>
      <c r="F634" s="1">
        <v>0.62</v>
      </c>
      <c r="G634" s="1">
        <v>0.54300000000000004</v>
      </c>
      <c r="H634" s="10">
        <f t="shared" si="9"/>
        <v>0.12419354838709673</v>
      </c>
    </row>
    <row r="635" spans="1:8" x14ac:dyDescent="0.25">
      <c r="A635" s="4">
        <v>45673</v>
      </c>
      <c r="B635" t="s">
        <v>9</v>
      </c>
      <c r="C635" t="str">
        <f>_xlfn.IFNA(VLOOKUP($B635,ref!$B$2:$C$34,2,FALSE),"NA")</f>
        <v>12 Month</v>
      </c>
      <c r="D635" s="5" t="s">
        <v>13</v>
      </c>
      <c r="E635">
        <v>16</v>
      </c>
      <c r="F635" s="1">
        <v>1.18</v>
      </c>
      <c r="G635" s="1">
        <v>1.02</v>
      </c>
      <c r="H635" s="10">
        <f t="shared" si="9"/>
        <v>0.13559322033898302</v>
      </c>
    </row>
    <row r="636" spans="1:8" x14ac:dyDescent="0.25">
      <c r="A636" s="4">
        <v>45673</v>
      </c>
      <c r="B636" t="s">
        <v>9</v>
      </c>
      <c r="C636" t="str">
        <f>_xlfn.IFNA(VLOOKUP($B636,ref!$B$2:$C$34,2,FALSE),"NA")</f>
        <v>12 Month</v>
      </c>
      <c r="D636" s="5" t="s">
        <v>13</v>
      </c>
      <c r="E636">
        <v>16</v>
      </c>
      <c r="F636" s="1">
        <v>1.18</v>
      </c>
      <c r="G636" s="1">
        <v>1.02</v>
      </c>
      <c r="H636" s="10">
        <f t="shared" si="9"/>
        <v>0.13559322033898302</v>
      </c>
    </row>
    <row r="637" spans="1:8" x14ac:dyDescent="0.25">
      <c r="A637" s="4">
        <v>45673</v>
      </c>
      <c r="B637" t="s">
        <v>9</v>
      </c>
      <c r="C637" t="str">
        <f>_xlfn.IFNA(VLOOKUP($B637,ref!$B$2:$C$34,2,FALSE),"NA")</f>
        <v>12 Month</v>
      </c>
      <c r="D637" s="5" t="s">
        <v>13</v>
      </c>
      <c r="E637">
        <v>16</v>
      </c>
      <c r="F637" s="1">
        <v>1.18</v>
      </c>
      <c r="G637" s="1">
        <v>1.02</v>
      </c>
      <c r="H637" s="10">
        <f t="shared" si="9"/>
        <v>0.13559322033898302</v>
      </c>
    </row>
    <row r="638" spans="1:8" x14ac:dyDescent="0.25">
      <c r="A638" s="4">
        <v>45670</v>
      </c>
      <c r="B638" t="s">
        <v>12</v>
      </c>
      <c r="C638" t="str">
        <f>_xlfn.IFNA(VLOOKUP($B638,ref!$B$2:$C$34,2,FALSE),"NA")</f>
        <v>Spot</v>
      </c>
      <c r="E638">
        <v>16</v>
      </c>
      <c r="F638" s="1">
        <v>2.15</v>
      </c>
      <c r="G638" s="1">
        <v>2.0499999999999998</v>
      </c>
      <c r="H638" s="10">
        <f t="shared" si="9"/>
        <v>4.6511627906976827E-2</v>
      </c>
    </row>
    <row r="639" spans="1:8" x14ac:dyDescent="0.25">
      <c r="A639" s="4">
        <v>45670</v>
      </c>
      <c r="B639" t="s">
        <v>17</v>
      </c>
      <c r="C639" t="str">
        <f>_xlfn.IFNA(VLOOKUP($B639,ref!$B$2:$C$34,2,FALSE),"NA")</f>
        <v>6 Month</v>
      </c>
      <c r="D639" s="5" t="s">
        <v>10</v>
      </c>
      <c r="E639">
        <v>16</v>
      </c>
      <c r="F639" s="1">
        <v>2.15</v>
      </c>
      <c r="G639" s="1">
        <v>2.0499999999999998</v>
      </c>
      <c r="H639" s="10">
        <f t="shared" si="9"/>
        <v>4.6511627906976827E-2</v>
      </c>
    </row>
    <row r="640" spans="1:8" x14ac:dyDescent="0.25">
      <c r="A640" s="4">
        <v>45658</v>
      </c>
      <c r="B640" t="s">
        <v>9</v>
      </c>
      <c r="C640" t="str">
        <f>_xlfn.IFNA(VLOOKUP($B640,ref!$B$2:$C$34,2,FALSE),"NA")</f>
        <v>12 Month</v>
      </c>
      <c r="D640" s="5" t="s">
        <v>10</v>
      </c>
      <c r="E640">
        <v>16</v>
      </c>
      <c r="F640" s="1">
        <v>2.66</v>
      </c>
      <c r="G640" s="1">
        <v>2.5099999999999998</v>
      </c>
      <c r="H640" s="10">
        <f t="shared" si="9"/>
        <v>5.6390977443609103E-2</v>
      </c>
    </row>
    <row r="641" spans="1:8" x14ac:dyDescent="0.25">
      <c r="A641" s="4">
        <v>45658</v>
      </c>
      <c r="B641" t="s">
        <v>9</v>
      </c>
      <c r="C641" t="str">
        <f>_xlfn.IFNA(VLOOKUP($B641,ref!$B$2:$C$34,2,FALSE),"NA")</f>
        <v>12 Month</v>
      </c>
      <c r="D641" s="5" t="s">
        <v>10</v>
      </c>
      <c r="E641">
        <v>16</v>
      </c>
      <c r="F641" s="1">
        <v>2.66</v>
      </c>
      <c r="G641" s="1">
        <v>2.5099999999999998</v>
      </c>
      <c r="H641" s="10">
        <f t="shared" si="9"/>
        <v>5.6390977443609103E-2</v>
      </c>
    </row>
    <row r="642" spans="1:8" x14ac:dyDescent="0.25">
      <c r="A642" s="4">
        <v>45619</v>
      </c>
      <c r="B642" t="s">
        <v>6</v>
      </c>
      <c r="C642" t="str">
        <f>_xlfn.IFNA(VLOOKUP($B642,ref!$B$2:$C$34,2,FALSE),"NA")</f>
        <v>3 Month</v>
      </c>
      <c r="D642" s="5" t="s">
        <v>7</v>
      </c>
      <c r="E642">
        <v>16</v>
      </c>
      <c r="F642" s="1">
        <v>2.6</v>
      </c>
      <c r="G642" s="1">
        <v>2.4</v>
      </c>
      <c r="H642" s="10">
        <f t="shared" si="9"/>
        <v>7.6923076923076983E-2</v>
      </c>
    </row>
    <row r="643" spans="1:8" x14ac:dyDescent="0.25">
      <c r="A643" s="4">
        <v>46024</v>
      </c>
      <c r="B643" t="s">
        <v>31</v>
      </c>
      <c r="C643" t="str">
        <f>_xlfn.IFNA(VLOOKUP($B643,ref!$B$2:$C$34,2,FALSE),"NA")</f>
        <v>1 Month</v>
      </c>
      <c r="D643" s="5" t="s">
        <v>23</v>
      </c>
      <c r="E643">
        <v>12</v>
      </c>
      <c r="F643" s="1">
        <v>0.69</v>
      </c>
      <c r="G643" s="1">
        <v>0.69</v>
      </c>
      <c r="H643" s="10">
        <f t="shared" ref="H643:H706" si="10">1-(G643/F643)</f>
        <v>0</v>
      </c>
    </row>
    <row r="644" spans="1:8" x14ac:dyDescent="0.25">
      <c r="A644" s="4">
        <v>45747</v>
      </c>
      <c r="C644" t="str">
        <f>_xlfn.IFNA(VLOOKUP($B644,ref!$B$2:$C$34,2,FALSE),"NA")</f>
        <v>NA</v>
      </c>
      <c r="D644" s="5">
        <v>4090</v>
      </c>
      <c r="E644">
        <v>12</v>
      </c>
      <c r="F644" s="1">
        <v>0.52</v>
      </c>
      <c r="G644" s="1">
        <v>0.442</v>
      </c>
      <c r="H644" s="10">
        <f t="shared" si="10"/>
        <v>0.15000000000000002</v>
      </c>
    </row>
    <row r="645" spans="1:8" x14ac:dyDescent="0.25">
      <c r="A645" s="4">
        <v>45747</v>
      </c>
      <c r="C645" t="str">
        <f>_xlfn.IFNA(VLOOKUP($B645,ref!$B$2:$C$34,2,FALSE),"NA")</f>
        <v>NA</v>
      </c>
      <c r="D645" s="5">
        <v>4090</v>
      </c>
      <c r="E645">
        <v>12</v>
      </c>
      <c r="F645" s="1">
        <v>0.52</v>
      </c>
      <c r="G645" s="1">
        <v>0.442</v>
      </c>
      <c r="H645" s="10">
        <f t="shared" si="10"/>
        <v>0.15000000000000002</v>
      </c>
    </row>
    <row r="646" spans="1:8" x14ac:dyDescent="0.25">
      <c r="A646" s="4">
        <v>45747</v>
      </c>
      <c r="B646" t="s">
        <v>12</v>
      </c>
      <c r="C646" t="str">
        <f>_xlfn.IFNA(VLOOKUP($B646,ref!$B$2:$C$34,2,FALSE),"NA")</f>
        <v>Spot</v>
      </c>
      <c r="D646" s="5">
        <v>4090</v>
      </c>
      <c r="E646">
        <v>12</v>
      </c>
      <c r="F646" s="1">
        <v>0.52</v>
      </c>
      <c r="G646" s="1">
        <v>0.442</v>
      </c>
      <c r="H646" s="10">
        <f t="shared" si="10"/>
        <v>0.15000000000000002</v>
      </c>
    </row>
    <row r="647" spans="1:8" x14ac:dyDescent="0.25">
      <c r="A647" s="4">
        <v>45747</v>
      </c>
      <c r="B647" t="s">
        <v>12</v>
      </c>
      <c r="C647" t="str">
        <f>_xlfn.IFNA(VLOOKUP($B647,ref!$B$2:$C$34,2,FALSE),"NA")</f>
        <v>Spot</v>
      </c>
      <c r="D647" s="5">
        <v>4090</v>
      </c>
      <c r="E647">
        <v>12</v>
      </c>
      <c r="F647" s="1">
        <v>0.52</v>
      </c>
      <c r="G647" s="1">
        <v>0.442</v>
      </c>
      <c r="H647" s="10">
        <f t="shared" si="10"/>
        <v>0.15000000000000002</v>
      </c>
    </row>
    <row r="648" spans="1:8" x14ac:dyDescent="0.25">
      <c r="A648" s="4">
        <v>45747</v>
      </c>
      <c r="C648" t="str">
        <f>_xlfn.IFNA(VLOOKUP($B648,ref!$B$2:$C$34,2,FALSE),"NA")</f>
        <v>NA</v>
      </c>
      <c r="D648" s="5">
        <v>4090</v>
      </c>
      <c r="E648">
        <v>12</v>
      </c>
      <c r="F648" s="1">
        <v>0.52</v>
      </c>
      <c r="G648" s="1">
        <v>0.442</v>
      </c>
      <c r="H648" s="10">
        <f t="shared" si="10"/>
        <v>0.15000000000000002</v>
      </c>
    </row>
    <row r="649" spans="1:8" x14ac:dyDescent="0.25">
      <c r="A649" s="4">
        <v>45747</v>
      </c>
      <c r="C649" t="str">
        <f>_xlfn.IFNA(VLOOKUP($B649,ref!$B$2:$C$34,2,FALSE),"NA")</f>
        <v>NA</v>
      </c>
      <c r="D649" s="5">
        <v>4090</v>
      </c>
      <c r="E649">
        <v>12</v>
      </c>
      <c r="F649" s="1">
        <v>0.52</v>
      </c>
      <c r="G649" s="1">
        <v>0.442</v>
      </c>
      <c r="H649" s="10">
        <f t="shared" si="10"/>
        <v>0.15000000000000002</v>
      </c>
    </row>
    <row r="650" spans="1:8" x14ac:dyDescent="0.25">
      <c r="A650" s="4">
        <v>45747</v>
      </c>
      <c r="B650" t="s">
        <v>12</v>
      </c>
      <c r="C650" t="str">
        <f>_xlfn.IFNA(VLOOKUP($B650,ref!$B$2:$C$34,2,FALSE),"NA")</f>
        <v>Spot</v>
      </c>
      <c r="D650" s="5">
        <v>4090</v>
      </c>
      <c r="E650">
        <v>12</v>
      </c>
      <c r="F650" s="1">
        <v>0.52</v>
      </c>
      <c r="G650" s="1">
        <v>0.442</v>
      </c>
      <c r="H650" s="10">
        <f t="shared" si="10"/>
        <v>0.15000000000000002</v>
      </c>
    </row>
    <row r="651" spans="1:8" x14ac:dyDescent="0.25">
      <c r="A651" s="4">
        <v>45747</v>
      </c>
      <c r="C651" t="str">
        <f>_xlfn.IFNA(VLOOKUP($B651,ref!$B$2:$C$34,2,FALSE),"NA")</f>
        <v>NA</v>
      </c>
      <c r="D651" s="5">
        <v>4090</v>
      </c>
      <c r="E651">
        <v>12</v>
      </c>
      <c r="F651" s="1">
        <v>0.52</v>
      </c>
      <c r="G651" s="1">
        <v>0.442</v>
      </c>
      <c r="H651" s="10">
        <f t="shared" si="10"/>
        <v>0.15000000000000002</v>
      </c>
    </row>
    <row r="652" spans="1:8" x14ac:dyDescent="0.25">
      <c r="A652" s="4">
        <v>45747</v>
      </c>
      <c r="B652" t="s">
        <v>12</v>
      </c>
      <c r="C652" t="str">
        <f>_xlfn.IFNA(VLOOKUP($B652,ref!$B$2:$C$34,2,FALSE),"NA")</f>
        <v>Spot</v>
      </c>
      <c r="D652" s="5">
        <v>4090</v>
      </c>
      <c r="E652">
        <v>12</v>
      </c>
      <c r="F652" s="1">
        <v>0.52</v>
      </c>
      <c r="G652" s="1">
        <v>0.442</v>
      </c>
      <c r="H652" s="10">
        <f t="shared" si="10"/>
        <v>0.15000000000000002</v>
      </c>
    </row>
    <row r="653" spans="1:8" x14ac:dyDescent="0.25">
      <c r="A653" s="4">
        <v>45747</v>
      </c>
      <c r="C653" t="str">
        <f>_xlfn.IFNA(VLOOKUP($B653,ref!$B$2:$C$34,2,FALSE),"NA")</f>
        <v>NA</v>
      </c>
      <c r="D653" s="5">
        <v>4090</v>
      </c>
      <c r="E653">
        <v>12</v>
      </c>
      <c r="F653" s="1">
        <v>0.52</v>
      </c>
      <c r="G653" s="1">
        <v>0.442</v>
      </c>
      <c r="H653" s="10">
        <f t="shared" si="10"/>
        <v>0.15000000000000002</v>
      </c>
    </row>
    <row r="654" spans="1:8" x14ac:dyDescent="0.25">
      <c r="A654" s="4">
        <v>45716</v>
      </c>
      <c r="B654" t="s">
        <v>12</v>
      </c>
      <c r="C654" t="str">
        <f>_xlfn.IFNA(VLOOKUP($B654,ref!$B$2:$C$34,2,FALSE),"NA")</f>
        <v>Spot</v>
      </c>
      <c r="D654" s="5">
        <v>4090</v>
      </c>
      <c r="E654">
        <v>12</v>
      </c>
      <c r="F654" s="1">
        <v>0.52</v>
      </c>
      <c r="G654" s="1">
        <v>0.442</v>
      </c>
      <c r="H654" s="10">
        <f t="shared" si="10"/>
        <v>0.15000000000000002</v>
      </c>
    </row>
    <row r="655" spans="1:8" x14ac:dyDescent="0.25">
      <c r="A655" s="4">
        <v>45688</v>
      </c>
      <c r="B655" t="s">
        <v>12</v>
      </c>
      <c r="C655" t="str">
        <f>_xlfn.IFNA(VLOOKUP($B655,ref!$B$2:$C$34,2,FALSE),"NA")</f>
        <v>Spot</v>
      </c>
      <c r="E655">
        <v>12</v>
      </c>
      <c r="F655" s="1">
        <v>0.52</v>
      </c>
      <c r="G655" s="1">
        <v>0.442</v>
      </c>
      <c r="H655" s="10">
        <f t="shared" si="10"/>
        <v>0.15000000000000002</v>
      </c>
    </row>
    <row r="656" spans="1:8" x14ac:dyDescent="0.25">
      <c r="A656" s="4">
        <v>45680</v>
      </c>
      <c r="B656" t="s">
        <v>12</v>
      </c>
      <c r="C656" t="str">
        <f>_xlfn.IFNA(VLOOKUP($B656,ref!$B$2:$C$34,2,FALSE),"NA")</f>
        <v>Spot</v>
      </c>
      <c r="D656" s="5">
        <v>4090</v>
      </c>
      <c r="E656">
        <v>12</v>
      </c>
      <c r="F656" s="1">
        <v>0.55000000000000004</v>
      </c>
      <c r="G656" s="1">
        <v>0.46800000000000003</v>
      </c>
      <c r="H656" s="10">
        <f t="shared" si="10"/>
        <v>0.14909090909090916</v>
      </c>
    </row>
    <row r="657" spans="1:8" x14ac:dyDescent="0.25">
      <c r="A657" s="4">
        <v>46008</v>
      </c>
      <c r="B657" t="s">
        <v>31</v>
      </c>
      <c r="C657" t="str">
        <f>_xlfn.IFNA(VLOOKUP($B657,ref!$B$2:$C$34,2,FALSE),"NA")</f>
        <v>1 Month</v>
      </c>
      <c r="D657" s="5" t="s">
        <v>10</v>
      </c>
      <c r="E657">
        <v>11</v>
      </c>
      <c r="F657" s="1">
        <v>1.65</v>
      </c>
      <c r="G657" s="1">
        <v>1.4</v>
      </c>
      <c r="H657" s="10">
        <f t="shared" si="10"/>
        <v>0.15151515151515149</v>
      </c>
    </row>
    <row r="658" spans="1:8" x14ac:dyDescent="0.25">
      <c r="A658" s="4">
        <v>46008</v>
      </c>
      <c r="B658" t="s">
        <v>31</v>
      </c>
      <c r="C658" t="str">
        <f>_xlfn.IFNA(VLOOKUP($B658,ref!$B$2:$C$34,2,FALSE),"NA")</f>
        <v>1 Month</v>
      </c>
      <c r="D658" s="5" t="s">
        <v>10</v>
      </c>
      <c r="E658">
        <v>11</v>
      </c>
      <c r="F658" s="1">
        <v>1.65</v>
      </c>
      <c r="G658" s="1">
        <v>1.4</v>
      </c>
      <c r="H658" s="10">
        <f t="shared" si="10"/>
        <v>0.15151515151515149</v>
      </c>
    </row>
    <row r="659" spans="1:8" x14ac:dyDescent="0.25">
      <c r="A659" s="4">
        <v>46008</v>
      </c>
      <c r="B659" t="s">
        <v>14</v>
      </c>
      <c r="C659" t="str">
        <f>_xlfn.IFNA(VLOOKUP($B659,ref!$B$2:$C$34,2,FALSE),"NA")</f>
        <v>Spot</v>
      </c>
      <c r="D659" s="5" t="s">
        <v>10</v>
      </c>
      <c r="E659">
        <v>11</v>
      </c>
      <c r="F659" s="1">
        <v>1.65</v>
      </c>
      <c r="G659" s="1">
        <v>1.4</v>
      </c>
      <c r="H659" s="10">
        <f t="shared" si="10"/>
        <v>0.15151515151515149</v>
      </c>
    </row>
    <row r="660" spans="1:8" x14ac:dyDescent="0.25">
      <c r="A660" s="4">
        <v>46008</v>
      </c>
      <c r="B660" t="s">
        <v>31</v>
      </c>
      <c r="C660" t="str">
        <f>_xlfn.IFNA(VLOOKUP($B660,ref!$B$2:$C$34,2,FALSE),"NA")</f>
        <v>1 Month</v>
      </c>
      <c r="D660" s="5" t="s">
        <v>10</v>
      </c>
      <c r="E660">
        <v>11</v>
      </c>
      <c r="F660" s="1">
        <v>1.65</v>
      </c>
      <c r="G660" s="1">
        <v>1.4</v>
      </c>
      <c r="H660" s="10">
        <f t="shared" si="10"/>
        <v>0.15151515151515149</v>
      </c>
    </row>
    <row r="661" spans="1:8" x14ac:dyDescent="0.25">
      <c r="A661" s="4">
        <v>45992</v>
      </c>
      <c r="B661" t="s">
        <v>31</v>
      </c>
      <c r="C661" t="str">
        <f>_xlfn.IFNA(VLOOKUP($B661,ref!$B$2:$C$34,2,FALSE),"NA")</f>
        <v>1 Month</v>
      </c>
      <c r="D661" s="5" t="s">
        <v>46</v>
      </c>
      <c r="E661">
        <v>10</v>
      </c>
      <c r="F661" s="1">
        <v>3.2</v>
      </c>
      <c r="G661" s="1">
        <v>3.1</v>
      </c>
      <c r="H661" s="10">
        <f t="shared" si="10"/>
        <v>3.125E-2</v>
      </c>
    </row>
    <row r="662" spans="1:8" x14ac:dyDescent="0.25">
      <c r="A662" s="4">
        <v>46073</v>
      </c>
      <c r="C662" t="str">
        <f>_xlfn.IFNA(VLOOKUP($B662,ref!$B$2:$C$34,2,FALSE),"NA")</f>
        <v>NA</v>
      </c>
      <c r="D662" s="5" t="s">
        <v>47</v>
      </c>
      <c r="E662">
        <v>8</v>
      </c>
      <c r="F662" s="1">
        <v>1.32</v>
      </c>
      <c r="G662" s="1">
        <v>1.25</v>
      </c>
      <c r="H662" s="10">
        <f t="shared" si="10"/>
        <v>5.3030303030303094E-2</v>
      </c>
    </row>
    <row r="663" spans="1:8" x14ac:dyDescent="0.25">
      <c r="A663" s="4">
        <v>46070</v>
      </c>
      <c r="B663" t="s">
        <v>39</v>
      </c>
      <c r="C663" t="str">
        <f>_xlfn.IFNA(VLOOKUP($B663,ref!$B$2:$C$34,2,FALSE),"NA")</f>
        <v>Spot</v>
      </c>
      <c r="D663" s="5" t="s">
        <v>40</v>
      </c>
      <c r="E663">
        <v>8</v>
      </c>
      <c r="F663" s="1">
        <v>0.5</v>
      </c>
      <c r="G663" s="1">
        <v>0.43</v>
      </c>
      <c r="H663" s="10">
        <f t="shared" si="10"/>
        <v>0.14000000000000001</v>
      </c>
    </row>
    <row r="664" spans="1:8" x14ac:dyDescent="0.25">
      <c r="A664" s="4">
        <v>46068</v>
      </c>
      <c r="B664" t="s">
        <v>31</v>
      </c>
      <c r="C664" t="str">
        <f>_xlfn.IFNA(VLOOKUP($B664,ref!$B$2:$C$34,2,FALSE),"NA")</f>
        <v>1 Month</v>
      </c>
      <c r="E664">
        <v>8</v>
      </c>
      <c r="F664" s="1">
        <v>2.1</v>
      </c>
      <c r="G664" s="1">
        <v>1.85</v>
      </c>
      <c r="H664" s="10">
        <f t="shared" si="10"/>
        <v>0.11904761904761907</v>
      </c>
    </row>
    <row r="665" spans="1:8" x14ac:dyDescent="0.25">
      <c r="A665" s="4">
        <v>46068</v>
      </c>
      <c r="B665" t="s">
        <v>29</v>
      </c>
      <c r="C665" t="str">
        <f>_xlfn.IFNA(VLOOKUP($B665,ref!$B$2:$C$34,2,FALSE),"NA")</f>
        <v>Spot</v>
      </c>
      <c r="D665" s="5" t="s">
        <v>50</v>
      </c>
      <c r="E665">
        <v>8</v>
      </c>
      <c r="F665" s="1">
        <v>4.25</v>
      </c>
      <c r="G665" s="1">
        <v>3.7189999999999999</v>
      </c>
      <c r="H665" s="10">
        <f t="shared" si="10"/>
        <v>0.12494117647058822</v>
      </c>
    </row>
    <row r="666" spans="1:8" x14ac:dyDescent="0.25">
      <c r="A666" s="4">
        <v>46066</v>
      </c>
      <c r="B666" t="s">
        <v>29</v>
      </c>
      <c r="C666" t="str">
        <f>_xlfn.IFNA(VLOOKUP($B666,ref!$B$2:$C$34,2,FALSE),"NA")</f>
        <v>Spot</v>
      </c>
      <c r="D666" s="5" t="s">
        <v>50</v>
      </c>
      <c r="E666">
        <v>8</v>
      </c>
      <c r="F666" s="1">
        <v>4.25</v>
      </c>
      <c r="G666" s="1">
        <v>3.82</v>
      </c>
      <c r="H666" s="10">
        <f t="shared" si="10"/>
        <v>0.10117647058823531</v>
      </c>
    </row>
    <row r="667" spans="1:8" x14ac:dyDescent="0.25">
      <c r="A667" s="4">
        <v>46066</v>
      </c>
      <c r="B667" t="s">
        <v>29</v>
      </c>
      <c r="C667" t="str">
        <f>_xlfn.IFNA(VLOOKUP($B667,ref!$B$2:$C$34,2,FALSE),"NA")</f>
        <v>Spot</v>
      </c>
      <c r="D667" s="5" t="s">
        <v>50</v>
      </c>
      <c r="E667">
        <v>8</v>
      </c>
      <c r="F667" s="1">
        <v>4.25</v>
      </c>
      <c r="G667" s="1">
        <v>3.7189999999999999</v>
      </c>
      <c r="H667" s="10">
        <f t="shared" si="10"/>
        <v>0.12494117647058822</v>
      </c>
    </row>
    <row r="668" spans="1:8" x14ac:dyDescent="0.25">
      <c r="A668" s="4">
        <v>46066</v>
      </c>
      <c r="B668" t="s">
        <v>29</v>
      </c>
      <c r="C668" t="str">
        <f>_xlfn.IFNA(VLOOKUP($B668,ref!$B$2:$C$34,2,FALSE),"NA")</f>
        <v>Spot</v>
      </c>
      <c r="D668" s="5" t="s">
        <v>65</v>
      </c>
      <c r="E668">
        <v>8</v>
      </c>
      <c r="F668" s="1">
        <v>5.5</v>
      </c>
      <c r="G668" s="1">
        <v>4.7</v>
      </c>
      <c r="H668" s="10">
        <f t="shared" si="10"/>
        <v>0.14545454545454539</v>
      </c>
    </row>
    <row r="669" spans="1:8" x14ac:dyDescent="0.25">
      <c r="A669" s="4">
        <v>46065</v>
      </c>
      <c r="B669" t="s">
        <v>29</v>
      </c>
      <c r="C669" t="str">
        <f>_xlfn.IFNA(VLOOKUP($B669,ref!$B$2:$C$34,2,FALSE),"NA")</f>
        <v>Spot</v>
      </c>
      <c r="D669" s="5" t="s">
        <v>50</v>
      </c>
      <c r="E669">
        <v>8</v>
      </c>
      <c r="F669" s="1">
        <v>4.25</v>
      </c>
      <c r="G669" s="1">
        <v>3.82</v>
      </c>
      <c r="H669" s="10">
        <f t="shared" si="10"/>
        <v>0.10117647058823531</v>
      </c>
    </row>
    <row r="670" spans="1:8" x14ac:dyDescent="0.25">
      <c r="A670" s="4">
        <v>46065</v>
      </c>
      <c r="B670" t="s">
        <v>29</v>
      </c>
      <c r="C670" t="str">
        <f>_xlfn.IFNA(VLOOKUP($B670,ref!$B$2:$C$34,2,FALSE),"NA")</f>
        <v>Spot</v>
      </c>
      <c r="D670" s="5" t="s">
        <v>50</v>
      </c>
      <c r="E670">
        <v>8</v>
      </c>
      <c r="F670" s="1">
        <v>4.25</v>
      </c>
      <c r="G670" s="1">
        <v>3.82</v>
      </c>
      <c r="H670" s="10">
        <f t="shared" si="10"/>
        <v>0.10117647058823531</v>
      </c>
    </row>
    <row r="671" spans="1:8" x14ac:dyDescent="0.25">
      <c r="A671" s="4">
        <v>46065</v>
      </c>
      <c r="B671" t="s">
        <v>29</v>
      </c>
      <c r="C671" t="str">
        <f>_xlfn.IFNA(VLOOKUP($B671,ref!$B$2:$C$34,2,FALSE),"NA")</f>
        <v>Spot</v>
      </c>
      <c r="D671" s="5" t="s">
        <v>50</v>
      </c>
      <c r="E671">
        <v>8</v>
      </c>
      <c r="F671" s="1">
        <v>4.25</v>
      </c>
      <c r="G671" s="1">
        <v>3.82</v>
      </c>
      <c r="H671" s="10">
        <f t="shared" si="10"/>
        <v>0.10117647058823531</v>
      </c>
    </row>
    <row r="672" spans="1:8" x14ac:dyDescent="0.25">
      <c r="A672" s="4">
        <v>46065</v>
      </c>
      <c r="B672" t="s">
        <v>29</v>
      </c>
      <c r="C672" t="str">
        <f>_xlfn.IFNA(VLOOKUP($B672,ref!$B$2:$C$34,2,FALSE),"NA")</f>
        <v>Spot</v>
      </c>
      <c r="D672" s="5" t="s">
        <v>50</v>
      </c>
      <c r="E672">
        <v>8</v>
      </c>
      <c r="F672" s="1">
        <v>4.25</v>
      </c>
      <c r="G672" s="1">
        <v>3.82</v>
      </c>
      <c r="H672" s="10">
        <f t="shared" si="10"/>
        <v>0.10117647058823531</v>
      </c>
    </row>
    <row r="673" spans="1:8" x14ac:dyDescent="0.25">
      <c r="A673" s="4">
        <v>46065</v>
      </c>
      <c r="B673" t="s">
        <v>29</v>
      </c>
      <c r="C673" t="str">
        <f>_xlfn.IFNA(VLOOKUP($B673,ref!$B$2:$C$34,2,FALSE),"NA")</f>
        <v>Spot</v>
      </c>
      <c r="D673" s="5" t="s">
        <v>65</v>
      </c>
      <c r="E673">
        <v>8</v>
      </c>
      <c r="F673" s="1">
        <v>5.5</v>
      </c>
      <c r="G673" s="1">
        <v>4.8129999999999997</v>
      </c>
      <c r="H673" s="10">
        <f t="shared" si="10"/>
        <v>0.12490909090909097</v>
      </c>
    </row>
    <row r="674" spans="1:8" x14ac:dyDescent="0.25">
      <c r="A674" s="4">
        <v>46063</v>
      </c>
      <c r="B674" t="s">
        <v>29</v>
      </c>
      <c r="C674" t="str">
        <f>_xlfn.IFNA(VLOOKUP($B674,ref!$B$2:$C$34,2,FALSE),"NA")</f>
        <v>Spot</v>
      </c>
      <c r="D674" s="5" t="s">
        <v>50</v>
      </c>
      <c r="E674">
        <v>8</v>
      </c>
      <c r="F674" s="1">
        <v>4.25</v>
      </c>
      <c r="G674" s="1">
        <v>3.7189999999999999</v>
      </c>
      <c r="H674" s="10">
        <f t="shared" si="10"/>
        <v>0.12494117647058822</v>
      </c>
    </row>
    <row r="675" spans="1:8" x14ac:dyDescent="0.25">
      <c r="A675" s="4">
        <v>46063</v>
      </c>
      <c r="B675" t="s">
        <v>29</v>
      </c>
      <c r="C675" t="str">
        <f>_xlfn.IFNA(VLOOKUP($B675,ref!$B$2:$C$34,2,FALSE),"NA")</f>
        <v>Spot</v>
      </c>
      <c r="D675" s="5" t="s">
        <v>50</v>
      </c>
      <c r="E675">
        <v>8</v>
      </c>
      <c r="F675" s="1">
        <v>3.15</v>
      </c>
      <c r="G675" s="1">
        <v>2.7559999999999998</v>
      </c>
      <c r="H675" s="10">
        <f t="shared" si="10"/>
        <v>0.12507936507936512</v>
      </c>
    </row>
    <row r="676" spans="1:8" x14ac:dyDescent="0.25">
      <c r="A676" s="4">
        <v>46062</v>
      </c>
      <c r="B676" t="s">
        <v>29</v>
      </c>
      <c r="C676" t="str">
        <f>_xlfn.IFNA(VLOOKUP($B676,ref!$B$2:$C$34,2,FALSE),"NA")</f>
        <v>Spot</v>
      </c>
      <c r="D676" s="5" t="s">
        <v>65</v>
      </c>
      <c r="E676">
        <v>8</v>
      </c>
      <c r="F676" s="1">
        <v>5.5</v>
      </c>
      <c r="G676" s="1">
        <v>4.8129999999999997</v>
      </c>
      <c r="H676" s="10">
        <f t="shared" si="10"/>
        <v>0.12490909090909097</v>
      </c>
    </row>
    <row r="677" spans="1:8" x14ac:dyDescent="0.25">
      <c r="A677" s="4">
        <v>46062</v>
      </c>
      <c r="B677" t="s">
        <v>29</v>
      </c>
      <c r="C677" t="str">
        <f>_xlfn.IFNA(VLOOKUP($B677,ref!$B$2:$C$34,2,FALSE),"NA")</f>
        <v>Spot</v>
      </c>
      <c r="D677" s="5" t="s">
        <v>66</v>
      </c>
      <c r="E677">
        <v>8</v>
      </c>
      <c r="F677" s="1">
        <v>1.2</v>
      </c>
      <c r="G677" s="1">
        <v>1.05</v>
      </c>
      <c r="H677" s="10">
        <f t="shared" si="10"/>
        <v>0.12499999999999989</v>
      </c>
    </row>
    <row r="678" spans="1:8" x14ac:dyDescent="0.25">
      <c r="A678" s="4">
        <v>46062</v>
      </c>
      <c r="B678" t="s">
        <v>29</v>
      </c>
      <c r="C678" t="str">
        <f>_xlfn.IFNA(VLOOKUP($B678,ref!$B$2:$C$34,2,FALSE),"NA")</f>
        <v>Spot</v>
      </c>
      <c r="D678" s="5" t="s">
        <v>66</v>
      </c>
      <c r="E678">
        <v>8</v>
      </c>
      <c r="F678" s="1">
        <v>1.2</v>
      </c>
      <c r="G678" s="1">
        <v>1.05</v>
      </c>
      <c r="H678" s="10">
        <f t="shared" si="10"/>
        <v>0.12499999999999989</v>
      </c>
    </row>
    <row r="679" spans="1:8" x14ac:dyDescent="0.25">
      <c r="A679" s="4">
        <v>46058</v>
      </c>
      <c r="B679" t="s">
        <v>29</v>
      </c>
      <c r="C679" t="str">
        <f>_xlfn.IFNA(VLOOKUP($B679,ref!$B$2:$C$34,2,FALSE),"NA")</f>
        <v>Spot</v>
      </c>
      <c r="D679" s="5" t="s">
        <v>50</v>
      </c>
      <c r="E679">
        <v>8</v>
      </c>
      <c r="F679" s="1">
        <v>4.25</v>
      </c>
      <c r="G679" s="1">
        <v>3.7189999999999999</v>
      </c>
      <c r="H679" s="10">
        <f t="shared" si="10"/>
        <v>0.12494117647058822</v>
      </c>
    </row>
    <row r="680" spans="1:8" x14ac:dyDescent="0.25">
      <c r="A680" s="4">
        <v>46058</v>
      </c>
      <c r="B680" t="s">
        <v>29</v>
      </c>
      <c r="C680" t="str">
        <f>_xlfn.IFNA(VLOOKUP($B680,ref!$B$2:$C$34,2,FALSE),"NA")</f>
        <v>Spot</v>
      </c>
      <c r="D680" s="5" t="s">
        <v>50</v>
      </c>
      <c r="E680">
        <v>8</v>
      </c>
      <c r="F680" s="1">
        <v>4.25</v>
      </c>
      <c r="G680" s="1">
        <v>3.7189999999999999</v>
      </c>
      <c r="H680" s="10">
        <f t="shared" si="10"/>
        <v>0.12494117647058822</v>
      </c>
    </row>
    <row r="681" spans="1:8" x14ac:dyDescent="0.25">
      <c r="A681" s="4">
        <v>46058</v>
      </c>
      <c r="B681" t="s">
        <v>29</v>
      </c>
      <c r="C681" t="str">
        <f>_xlfn.IFNA(VLOOKUP($B681,ref!$B$2:$C$34,2,FALSE),"NA")</f>
        <v>Spot</v>
      </c>
      <c r="D681" s="5" t="s">
        <v>50</v>
      </c>
      <c r="E681">
        <v>8</v>
      </c>
      <c r="F681" s="1">
        <v>3</v>
      </c>
      <c r="G681" s="1">
        <v>2.625</v>
      </c>
      <c r="H681" s="10">
        <f t="shared" si="10"/>
        <v>0.125</v>
      </c>
    </row>
    <row r="682" spans="1:8" x14ac:dyDescent="0.25">
      <c r="A682" s="4">
        <v>46056</v>
      </c>
      <c r="B682" t="s">
        <v>29</v>
      </c>
      <c r="C682" t="str">
        <f>_xlfn.IFNA(VLOOKUP($B682,ref!$B$2:$C$34,2,FALSE),"NA")</f>
        <v>Spot</v>
      </c>
      <c r="D682" s="5" t="s">
        <v>52</v>
      </c>
      <c r="E682">
        <v>8</v>
      </c>
      <c r="F682" s="1">
        <v>0.6</v>
      </c>
      <c r="G682" s="1">
        <v>0.52500000000000002</v>
      </c>
      <c r="H682" s="10">
        <f t="shared" si="10"/>
        <v>0.12499999999999989</v>
      </c>
    </row>
    <row r="683" spans="1:8" x14ac:dyDescent="0.25">
      <c r="A683" s="4">
        <v>46056</v>
      </c>
      <c r="B683" t="s">
        <v>29</v>
      </c>
      <c r="C683" t="str">
        <f>_xlfn.IFNA(VLOOKUP($B683,ref!$B$2:$C$34,2,FALSE),"NA")</f>
        <v>Spot</v>
      </c>
      <c r="D683" s="5" t="s">
        <v>52</v>
      </c>
      <c r="E683">
        <v>8</v>
      </c>
      <c r="F683" s="1">
        <v>0.6</v>
      </c>
      <c r="G683" s="1">
        <v>0.52500000000000002</v>
      </c>
      <c r="H683" s="10">
        <f t="shared" si="10"/>
        <v>0.12499999999999989</v>
      </c>
    </row>
    <row r="684" spans="1:8" x14ac:dyDescent="0.25">
      <c r="A684" s="4">
        <v>46051</v>
      </c>
      <c r="B684" t="s">
        <v>31</v>
      </c>
      <c r="C684" t="str">
        <f>_xlfn.IFNA(VLOOKUP($B684,ref!$B$2:$C$34,2,FALSE),"NA")</f>
        <v>1 Month</v>
      </c>
      <c r="D684" s="5">
        <v>5090</v>
      </c>
      <c r="E684">
        <v>8</v>
      </c>
      <c r="F684" s="1">
        <v>0.7</v>
      </c>
      <c r="G684" s="1">
        <v>0.55000000000000004</v>
      </c>
      <c r="H684" s="10">
        <f t="shared" si="10"/>
        <v>0.21428571428571419</v>
      </c>
    </row>
    <row r="685" spans="1:8" x14ac:dyDescent="0.25">
      <c r="A685" s="4">
        <v>46051</v>
      </c>
      <c r="B685" t="s">
        <v>31</v>
      </c>
      <c r="C685" t="str">
        <f>_xlfn.IFNA(VLOOKUP($B685,ref!$B$2:$C$34,2,FALSE),"NA")</f>
        <v>1 Month</v>
      </c>
      <c r="D685" s="5" t="s">
        <v>10</v>
      </c>
      <c r="E685">
        <v>8</v>
      </c>
      <c r="F685" s="1">
        <v>1.5</v>
      </c>
      <c r="G685" s="1">
        <v>1.25</v>
      </c>
      <c r="H685" s="10">
        <f t="shared" si="10"/>
        <v>0.16666666666666663</v>
      </c>
    </row>
    <row r="686" spans="1:8" x14ac:dyDescent="0.25">
      <c r="A686" s="4">
        <v>46050</v>
      </c>
      <c r="B686" t="s">
        <v>63</v>
      </c>
      <c r="C686" t="str">
        <f>_xlfn.IFNA(VLOOKUP($B686,ref!$B$2:$C$34,2,FALSE),"NA")</f>
        <v>Spot</v>
      </c>
      <c r="D686" s="5" t="s">
        <v>46</v>
      </c>
      <c r="E686">
        <v>8</v>
      </c>
      <c r="F686" s="1">
        <v>2.95</v>
      </c>
      <c r="G686" s="1">
        <v>2.75</v>
      </c>
      <c r="H686" s="10">
        <f t="shared" si="10"/>
        <v>6.7796610169491567E-2</v>
      </c>
    </row>
    <row r="687" spans="1:8" x14ac:dyDescent="0.25">
      <c r="A687" s="4">
        <v>46050</v>
      </c>
      <c r="B687" t="s">
        <v>14</v>
      </c>
      <c r="C687" t="str">
        <f>_xlfn.IFNA(VLOOKUP($B687,ref!$B$2:$C$34,2,FALSE),"NA")</f>
        <v>Spot</v>
      </c>
      <c r="D687" s="5" t="s">
        <v>46</v>
      </c>
      <c r="E687">
        <v>8</v>
      </c>
      <c r="F687" s="1">
        <v>2.95</v>
      </c>
      <c r="G687" s="1">
        <v>2.75</v>
      </c>
      <c r="H687" s="10">
        <f t="shared" si="10"/>
        <v>6.7796610169491567E-2</v>
      </c>
    </row>
    <row r="688" spans="1:8" x14ac:dyDescent="0.25">
      <c r="A688" s="4">
        <v>46050</v>
      </c>
      <c r="B688" t="s">
        <v>14</v>
      </c>
      <c r="C688" t="str">
        <f>_xlfn.IFNA(VLOOKUP($B688,ref!$B$2:$C$34,2,FALSE),"NA")</f>
        <v>Spot</v>
      </c>
      <c r="D688" s="5" t="s">
        <v>46</v>
      </c>
      <c r="E688">
        <v>8</v>
      </c>
      <c r="F688" s="1">
        <v>2.95</v>
      </c>
      <c r="G688" s="1">
        <v>2.75</v>
      </c>
      <c r="H688" s="10">
        <f t="shared" si="10"/>
        <v>6.7796610169491567E-2</v>
      </c>
    </row>
    <row r="689" spans="1:8" x14ac:dyDescent="0.25">
      <c r="A689" s="4">
        <v>46049</v>
      </c>
      <c r="B689" t="s">
        <v>29</v>
      </c>
      <c r="C689" t="str">
        <f>_xlfn.IFNA(VLOOKUP($B689,ref!$B$2:$C$34,2,FALSE),"NA")</f>
        <v>Spot</v>
      </c>
      <c r="D689" s="5" t="s">
        <v>52</v>
      </c>
      <c r="E689">
        <v>8</v>
      </c>
      <c r="F689" s="1">
        <v>0.5</v>
      </c>
      <c r="G689" s="1">
        <v>0.42499999999999999</v>
      </c>
      <c r="H689" s="10">
        <f t="shared" si="10"/>
        <v>0.15000000000000002</v>
      </c>
    </row>
    <row r="690" spans="1:8" x14ac:dyDescent="0.25">
      <c r="A690" s="4">
        <v>46049</v>
      </c>
      <c r="B690" t="s">
        <v>29</v>
      </c>
      <c r="C690" t="str">
        <f>_xlfn.IFNA(VLOOKUP($B690,ref!$B$2:$C$34,2,FALSE),"NA")</f>
        <v>Spot</v>
      </c>
      <c r="D690" s="5" t="s">
        <v>52</v>
      </c>
      <c r="E690">
        <v>8</v>
      </c>
      <c r="F690" s="1">
        <v>0.5</v>
      </c>
      <c r="G690" s="1">
        <v>0.42499999999999999</v>
      </c>
      <c r="H690" s="10">
        <f t="shared" si="10"/>
        <v>0.15000000000000002</v>
      </c>
    </row>
    <row r="691" spans="1:8" x14ac:dyDescent="0.25">
      <c r="A691" s="4">
        <v>46049</v>
      </c>
      <c r="B691" t="s">
        <v>29</v>
      </c>
      <c r="C691" t="str">
        <f>_xlfn.IFNA(VLOOKUP($B691,ref!$B$2:$C$34,2,FALSE),"NA")</f>
        <v>Spot</v>
      </c>
      <c r="D691" s="5" t="s">
        <v>52</v>
      </c>
      <c r="E691">
        <v>8</v>
      </c>
      <c r="F691" s="1">
        <v>0.5</v>
      </c>
      <c r="G691" s="1">
        <v>0.42499999999999999</v>
      </c>
      <c r="H691" s="10">
        <f t="shared" si="10"/>
        <v>0.15000000000000002</v>
      </c>
    </row>
    <row r="692" spans="1:8" x14ac:dyDescent="0.25">
      <c r="A692" s="4">
        <v>46049</v>
      </c>
      <c r="B692" t="s">
        <v>29</v>
      </c>
      <c r="C692" t="str">
        <f>_xlfn.IFNA(VLOOKUP($B692,ref!$B$2:$C$34,2,FALSE),"NA")</f>
        <v>Spot</v>
      </c>
      <c r="D692" s="5" t="s">
        <v>52</v>
      </c>
      <c r="E692">
        <v>8</v>
      </c>
      <c r="F692" s="1">
        <v>0.5</v>
      </c>
      <c r="G692" s="1">
        <v>0.42499999999999999</v>
      </c>
      <c r="H692" s="10">
        <f t="shared" si="10"/>
        <v>0.15000000000000002</v>
      </c>
    </row>
    <row r="693" spans="1:8" x14ac:dyDescent="0.25">
      <c r="A693" s="4">
        <v>46048</v>
      </c>
      <c r="B693" t="s">
        <v>29</v>
      </c>
      <c r="C693" t="str">
        <f>_xlfn.IFNA(VLOOKUP($B693,ref!$B$2:$C$34,2,FALSE),"NA")</f>
        <v>Spot</v>
      </c>
      <c r="D693" s="5" t="s">
        <v>52</v>
      </c>
      <c r="E693">
        <v>8</v>
      </c>
      <c r="F693" s="1">
        <v>0.5</v>
      </c>
      <c r="G693" s="1">
        <v>0.42499999999999999</v>
      </c>
      <c r="H693" s="10">
        <f t="shared" si="10"/>
        <v>0.15000000000000002</v>
      </c>
    </row>
    <row r="694" spans="1:8" x14ac:dyDescent="0.25">
      <c r="A694" s="4">
        <v>46043</v>
      </c>
      <c r="B694" t="s">
        <v>29</v>
      </c>
      <c r="C694" t="str">
        <f>_xlfn.IFNA(VLOOKUP($B694,ref!$B$2:$C$34,2,FALSE),"NA")</f>
        <v>Spot</v>
      </c>
      <c r="D694" s="5" t="s">
        <v>52</v>
      </c>
      <c r="E694">
        <v>8</v>
      </c>
      <c r="F694" s="1">
        <v>0.45</v>
      </c>
      <c r="G694" s="1">
        <v>0.38300000000000001</v>
      </c>
      <c r="H694" s="10">
        <f t="shared" si="10"/>
        <v>0.14888888888888885</v>
      </c>
    </row>
    <row r="695" spans="1:8" x14ac:dyDescent="0.25">
      <c r="A695" s="4">
        <v>46043</v>
      </c>
      <c r="B695" t="s">
        <v>29</v>
      </c>
      <c r="C695" t="str">
        <f>_xlfn.IFNA(VLOOKUP($B695,ref!$B$2:$C$34,2,FALSE),"NA")</f>
        <v>Spot</v>
      </c>
      <c r="D695" s="5" t="s">
        <v>52</v>
      </c>
      <c r="E695">
        <v>8</v>
      </c>
      <c r="F695" s="1">
        <v>0.45</v>
      </c>
      <c r="G695" s="1">
        <v>0.38300000000000001</v>
      </c>
      <c r="H695" s="10">
        <f t="shared" si="10"/>
        <v>0.14888888888888885</v>
      </c>
    </row>
    <row r="696" spans="1:8" x14ac:dyDescent="0.25">
      <c r="A696" s="4">
        <v>46043</v>
      </c>
      <c r="B696" t="s">
        <v>29</v>
      </c>
      <c r="C696" t="str">
        <f>_xlfn.IFNA(VLOOKUP($B696,ref!$B$2:$C$34,2,FALSE),"NA")</f>
        <v>Spot</v>
      </c>
      <c r="D696" s="5" t="s">
        <v>52</v>
      </c>
      <c r="E696">
        <v>8</v>
      </c>
      <c r="F696" s="1">
        <v>0.45</v>
      </c>
      <c r="G696" s="1">
        <v>0.38300000000000001</v>
      </c>
      <c r="H696" s="10">
        <f t="shared" si="10"/>
        <v>0.14888888888888885</v>
      </c>
    </row>
    <row r="697" spans="1:8" x14ac:dyDescent="0.25">
      <c r="A697" s="4">
        <v>46043</v>
      </c>
      <c r="B697" t="s">
        <v>29</v>
      </c>
      <c r="C697" t="str">
        <f>_xlfn.IFNA(VLOOKUP($B697,ref!$B$2:$C$34,2,FALSE),"NA")</f>
        <v>Spot</v>
      </c>
      <c r="D697" s="5" t="s">
        <v>52</v>
      </c>
      <c r="E697">
        <v>8</v>
      </c>
      <c r="F697" s="1">
        <v>0.45</v>
      </c>
      <c r="G697" s="1">
        <v>0.38300000000000001</v>
      </c>
      <c r="H697" s="10">
        <f t="shared" si="10"/>
        <v>0.14888888888888885</v>
      </c>
    </row>
    <row r="698" spans="1:8" x14ac:dyDescent="0.25">
      <c r="A698" s="4">
        <v>46043</v>
      </c>
      <c r="B698" t="s">
        <v>29</v>
      </c>
      <c r="C698" t="str">
        <f>_xlfn.IFNA(VLOOKUP($B698,ref!$B$2:$C$34,2,FALSE),"NA")</f>
        <v>Spot</v>
      </c>
      <c r="D698" s="5" t="s">
        <v>52</v>
      </c>
      <c r="E698">
        <v>8</v>
      </c>
      <c r="F698" s="1">
        <v>0.6</v>
      </c>
      <c r="G698" s="1">
        <v>0.51</v>
      </c>
      <c r="H698" s="10">
        <f t="shared" si="10"/>
        <v>0.14999999999999991</v>
      </c>
    </row>
    <row r="699" spans="1:8" x14ac:dyDescent="0.25">
      <c r="A699" s="4">
        <v>46041</v>
      </c>
      <c r="B699" t="s">
        <v>31</v>
      </c>
      <c r="C699" t="str">
        <f>_xlfn.IFNA(VLOOKUP($B699,ref!$B$2:$C$34,2,FALSE),"NA")</f>
        <v>1 Month</v>
      </c>
      <c r="D699" s="5" t="s">
        <v>7</v>
      </c>
      <c r="E699">
        <v>8</v>
      </c>
      <c r="F699" s="1">
        <v>2.25</v>
      </c>
      <c r="G699" s="1">
        <v>1.9</v>
      </c>
      <c r="H699" s="10">
        <f t="shared" si="10"/>
        <v>0.15555555555555556</v>
      </c>
    </row>
    <row r="700" spans="1:8" x14ac:dyDescent="0.25">
      <c r="A700" s="4">
        <v>46041</v>
      </c>
      <c r="B700" t="s">
        <v>31</v>
      </c>
      <c r="C700" t="str">
        <f>_xlfn.IFNA(VLOOKUP($B700,ref!$B$2:$C$34,2,FALSE),"NA")</f>
        <v>1 Month</v>
      </c>
      <c r="D700" s="5" t="s">
        <v>7</v>
      </c>
      <c r="E700">
        <v>8</v>
      </c>
      <c r="F700" s="1">
        <v>2.25</v>
      </c>
      <c r="G700" s="1">
        <v>1.9</v>
      </c>
      <c r="H700" s="10">
        <f t="shared" si="10"/>
        <v>0.15555555555555556</v>
      </c>
    </row>
    <row r="701" spans="1:8" x14ac:dyDescent="0.25">
      <c r="A701" s="4">
        <v>46037</v>
      </c>
      <c r="B701" t="s">
        <v>31</v>
      </c>
      <c r="C701" t="str">
        <f>_xlfn.IFNA(VLOOKUP($B701,ref!$B$2:$C$34,2,FALSE),"NA")</f>
        <v>1 Month</v>
      </c>
      <c r="D701" s="5" t="s">
        <v>46</v>
      </c>
      <c r="E701">
        <v>8</v>
      </c>
      <c r="F701" s="1">
        <v>3.9</v>
      </c>
      <c r="G701" s="1">
        <v>3.75</v>
      </c>
      <c r="H701" s="10">
        <f t="shared" si="10"/>
        <v>3.8461538461538436E-2</v>
      </c>
    </row>
    <row r="702" spans="1:8" x14ac:dyDescent="0.25">
      <c r="A702" s="4">
        <v>46037</v>
      </c>
      <c r="B702" t="s">
        <v>31</v>
      </c>
      <c r="C702" t="str">
        <f>_xlfn.IFNA(VLOOKUP($B702,ref!$B$2:$C$34,2,FALSE),"NA")</f>
        <v>1 Month</v>
      </c>
      <c r="D702" s="5" t="s">
        <v>46</v>
      </c>
      <c r="E702">
        <v>8</v>
      </c>
      <c r="F702" s="1">
        <v>3.9</v>
      </c>
      <c r="G702" s="1">
        <v>3.75</v>
      </c>
      <c r="H702" s="10">
        <f t="shared" si="10"/>
        <v>3.8461538461538436E-2</v>
      </c>
    </row>
    <row r="703" spans="1:8" x14ac:dyDescent="0.25">
      <c r="A703" s="4">
        <v>46035</v>
      </c>
      <c r="B703" t="s">
        <v>9</v>
      </c>
      <c r="C703" t="str">
        <f>_xlfn.IFNA(VLOOKUP($B703,ref!$B$2:$C$34,2,FALSE),"NA")</f>
        <v>12 Month</v>
      </c>
      <c r="D703" s="5">
        <v>5090</v>
      </c>
      <c r="E703">
        <v>8</v>
      </c>
      <c r="F703" s="1">
        <v>0.5</v>
      </c>
      <c r="G703" s="1">
        <v>0.45</v>
      </c>
      <c r="H703" s="10">
        <f t="shared" si="10"/>
        <v>9.9999999999999978E-2</v>
      </c>
    </row>
    <row r="704" spans="1:8" x14ac:dyDescent="0.25">
      <c r="A704" s="4">
        <v>46035</v>
      </c>
      <c r="B704" t="s">
        <v>9</v>
      </c>
      <c r="C704" t="str">
        <f>_xlfn.IFNA(VLOOKUP($B704,ref!$B$2:$C$34,2,FALSE),"NA")</f>
        <v>12 Month</v>
      </c>
      <c r="D704" s="5">
        <v>5090</v>
      </c>
      <c r="E704">
        <v>8</v>
      </c>
      <c r="F704" s="1">
        <v>0.5</v>
      </c>
      <c r="G704" s="1">
        <v>0.45</v>
      </c>
      <c r="H704" s="10">
        <f t="shared" si="10"/>
        <v>9.9999999999999978E-2</v>
      </c>
    </row>
    <row r="705" spans="1:8" x14ac:dyDescent="0.25">
      <c r="A705" s="4">
        <v>46034</v>
      </c>
      <c r="B705" t="s">
        <v>31</v>
      </c>
      <c r="C705" t="str">
        <f>_xlfn.IFNA(VLOOKUP($B705,ref!$B$2:$C$34,2,FALSE),"NA")</f>
        <v>1 Month</v>
      </c>
      <c r="D705" s="5" t="s">
        <v>10</v>
      </c>
      <c r="E705">
        <v>8</v>
      </c>
      <c r="F705" s="1">
        <v>1.5</v>
      </c>
      <c r="G705" s="1">
        <v>1.25</v>
      </c>
      <c r="H705" s="10">
        <f t="shared" si="10"/>
        <v>0.16666666666666663</v>
      </c>
    </row>
    <row r="706" spans="1:8" x14ac:dyDescent="0.25">
      <c r="A706" s="4">
        <v>46030</v>
      </c>
      <c r="B706" t="s">
        <v>14</v>
      </c>
      <c r="C706" t="str">
        <f>_xlfn.IFNA(VLOOKUP($B706,ref!$B$2:$C$34,2,FALSE),"NA")</f>
        <v>Spot</v>
      </c>
      <c r="D706" s="5" t="s">
        <v>46</v>
      </c>
      <c r="E706">
        <v>8</v>
      </c>
      <c r="F706" s="1">
        <v>2.85</v>
      </c>
      <c r="G706" s="1">
        <v>2.75</v>
      </c>
      <c r="H706" s="10">
        <f t="shared" si="10"/>
        <v>3.5087719298245612E-2</v>
      </c>
    </row>
    <row r="707" spans="1:8" x14ac:dyDescent="0.25">
      <c r="A707" s="4">
        <v>46030</v>
      </c>
      <c r="B707" t="s">
        <v>14</v>
      </c>
      <c r="C707" t="str">
        <f>_xlfn.IFNA(VLOOKUP($B707,ref!$B$2:$C$34,2,FALSE),"NA")</f>
        <v>Spot</v>
      </c>
      <c r="D707" s="5" t="s">
        <v>46</v>
      </c>
      <c r="E707">
        <v>8</v>
      </c>
      <c r="F707" s="1">
        <v>2.85</v>
      </c>
      <c r="G707" s="1">
        <v>2.75</v>
      </c>
      <c r="H707" s="10">
        <f t="shared" ref="H707:H770" si="11">1-(G707/F707)</f>
        <v>3.5087719298245612E-2</v>
      </c>
    </row>
    <row r="708" spans="1:8" x14ac:dyDescent="0.25">
      <c r="A708" s="4">
        <v>46030</v>
      </c>
      <c r="B708" t="s">
        <v>6</v>
      </c>
      <c r="C708" t="str">
        <f>_xlfn.IFNA(VLOOKUP($B708,ref!$B$2:$C$34,2,FALSE),"NA")</f>
        <v>3 Month</v>
      </c>
      <c r="D708" s="5" t="s">
        <v>7</v>
      </c>
      <c r="E708">
        <v>8</v>
      </c>
      <c r="F708" s="1">
        <v>2.25</v>
      </c>
      <c r="G708" s="1">
        <v>2.0499999999999998</v>
      </c>
      <c r="H708" s="10">
        <f t="shared" si="11"/>
        <v>8.8888888888889017E-2</v>
      </c>
    </row>
    <row r="709" spans="1:8" x14ac:dyDescent="0.25">
      <c r="A709" s="4">
        <v>46023</v>
      </c>
      <c r="B709" t="s">
        <v>12</v>
      </c>
      <c r="C709" t="str">
        <f>_xlfn.IFNA(VLOOKUP($B709,ref!$B$2:$C$34,2,FALSE),"NA")</f>
        <v>Spot</v>
      </c>
      <c r="D709" s="5" t="s">
        <v>7</v>
      </c>
      <c r="E709">
        <v>8</v>
      </c>
      <c r="F709" s="1">
        <v>2.0499999999999998</v>
      </c>
      <c r="G709" s="1">
        <v>1.95</v>
      </c>
      <c r="H709" s="10">
        <f t="shared" si="11"/>
        <v>4.8780487804877981E-2</v>
      </c>
    </row>
    <row r="710" spans="1:8" x14ac:dyDescent="0.25">
      <c r="A710" s="4">
        <v>46023</v>
      </c>
      <c r="B710" t="s">
        <v>12</v>
      </c>
      <c r="C710" t="str">
        <f>_xlfn.IFNA(VLOOKUP($B710,ref!$B$2:$C$34,2,FALSE),"NA")</f>
        <v>Spot</v>
      </c>
      <c r="D710" s="5" t="s">
        <v>7</v>
      </c>
      <c r="E710">
        <v>8</v>
      </c>
      <c r="F710" s="1">
        <v>2.0499999999999998</v>
      </c>
      <c r="G710" s="1">
        <v>1.95</v>
      </c>
      <c r="H710" s="10">
        <f t="shared" si="11"/>
        <v>4.8780487804877981E-2</v>
      </c>
    </row>
    <row r="711" spans="1:8" x14ac:dyDescent="0.25">
      <c r="A711" s="4">
        <v>46020</v>
      </c>
      <c r="B711" t="s">
        <v>29</v>
      </c>
      <c r="C711" t="str">
        <f>_xlfn.IFNA(VLOOKUP($B711,ref!$B$2:$C$34,2,FALSE),"NA")</f>
        <v>Spot</v>
      </c>
      <c r="D711" s="5" t="s">
        <v>41</v>
      </c>
      <c r="E711">
        <v>8</v>
      </c>
      <c r="F711" s="1">
        <v>0.59</v>
      </c>
      <c r="G711" s="1">
        <v>0.52</v>
      </c>
      <c r="H711" s="10">
        <f t="shared" si="11"/>
        <v>0.11864406779661008</v>
      </c>
    </row>
    <row r="712" spans="1:8" x14ac:dyDescent="0.25">
      <c r="A712" s="4">
        <v>46020</v>
      </c>
      <c r="B712" t="s">
        <v>14</v>
      </c>
      <c r="C712" t="str">
        <f>_xlfn.IFNA(VLOOKUP($B712,ref!$B$2:$C$34,2,FALSE),"NA")</f>
        <v>Spot</v>
      </c>
      <c r="D712" s="5">
        <v>5090</v>
      </c>
      <c r="E712">
        <v>8</v>
      </c>
      <c r="F712" s="1">
        <v>0.8</v>
      </c>
      <c r="G712" s="1">
        <v>0.7</v>
      </c>
      <c r="H712" s="10">
        <f t="shared" si="11"/>
        <v>0.12500000000000011</v>
      </c>
    </row>
    <row r="713" spans="1:8" x14ac:dyDescent="0.25">
      <c r="A713" s="4">
        <v>46017</v>
      </c>
      <c r="C713" t="str">
        <f>_xlfn.IFNA(VLOOKUP($B713,ref!$B$2:$C$34,2,FALSE),"NA")</f>
        <v>NA</v>
      </c>
      <c r="D713" s="5" t="s">
        <v>40</v>
      </c>
      <c r="E713">
        <v>8</v>
      </c>
      <c r="F713" s="1">
        <v>0.45</v>
      </c>
      <c r="G713" s="1">
        <v>0.39400000000000002</v>
      </c>
      <c r="H713" s="10">
        <f t="shared" si="11"/>
        <v>0.12444444444444447</v>
      </c>
    </row>
    <row r="714" spans="1:8" x14ac:dyDescent="0.25">
      <c r="A714" s="4">
        <v>46015</v>
      </c>
      <c r="B714" t="s">
        <v>29</v>
      </c>
      <c r="C714" t="str">
        <f>_xlfn.IFNA(VLOOKUP($B714,ref!$B$2:$C$34,2,FALSE),"NA")</f>
        <v>Spot</v>
      </c>
      <c r="D714" s="5" t="s">
        <v>47</v>
      </c>
      <c r="E714">
        <v>8</v>
      </c>
      <c r="F714" s="1">
        <v>1.32</v>
      </c>
      <c r="G714" s="1">
        <v>1.25</v>
      </c>
      <c r="H714" s="10">
        <f t="shared" si="11"/>
        <v>5.3030303030303094E-2</v>
      </c>
    </row>
    <row r="715" spans="1:8" x14ac:dyDescent="0.25">
      <c r="A715" s="4">
        <v>46015</v>
      </c>
      <c r="B715" t="s">
        <v>29</v>
      </c>
      <c r="C715" t="str">
        <f>_xlfn.IFNA(VLOOKUP($B715,ref!$B$2:$C$34,2,FALSE),"NA")</f>
        <v>Spot</v>
      </c>
      <c r="D715" s="5" t="s">
        <v>47</v>
      </c>
      <c r="E715">
        <v>8</v>
      </c>
      <c r="F715" s="1">
        <v>1.32</v>
      </c>
      <c r="G715" s="1">
        <v>1.25</v>
      </c>
      <c r="H715" s="10">
        <f t="shared" si="11"/>
        <v>5.3030303030303094E-2</v>
      </c>
    </row>
    <row r="716" spans="1:8" x14ac:dyDescent="0.25">
      <c r="A716" s="4">
        <v>46015</v>
      </c>
      <c r="B716" t="s">
        <v>29</v>
      </c>
      <c r="C716" t="str">
        <f>_xlfn.IFNA(VLOOKUP($B716,ref!$B$2:$C$34,2,FALSE),"NA")</f>
        <v>Spot</v>
      </c>
      <c r="D716" s="5" t="s">
        <v>47</v>
      </c>
      <c r="E716">
        <v>8</v>
      </c>
      <c r="F716" s="1">
        <v>1.32</v>
      </c>
      <c r="G716" s="1">
        <v>1.25</v>
      </c>
      <c r="H716" s="10">
        <f t="shared" si="11"/>
        <v>5.3030303030303094E-2</v>
      </c>
    </row>
    <row r="717" spans="1:8" x14ac:dyDescent="0.25">
      <c r="A717" s="4">
        <v>46015</v>
      </c>
      <c r="B717" t="s">
        <v>29</v>
      </c>
      <c r="C717" t="str">
        <f>_xlfn.IFNA(VLOOKUP($B717,ref!$B$2:$C$34,2,FALSE),"NA")</f>
        <v>Spot</v>
      </c>
      <c r="D717" s="5" t="s">
        <v>47</v>
      </c>
      <c r="E717">
        <v>8</v>
      </c>
      <c r="F717" s="1">
        <v>1.32</v>
      </c>
      <c r="G717" s="1">
        <v>1.25</v>
      </c>
      <c r="H717" s="10">
        <f t="shared" si="11"/>
        <v>5.3030303030303094E-2</v>
      </c>
    </row>
    <row r="718" spans="1:8" x14ac:dyDescent="0.25">
      <c r="A718" s="4">
        <v>46015</v>
      </c>
      <c r="B718" t="s">
        <v>29</v>
      </c>
      <c r="C718" t="str">
        <f>_xlfn.IFNA(VLOOKUP($B718,ref!$B$2:$C$34,2,FALSE),"NA")</f>
        <v>Spot</v>
      </c>
      <c r="D718" s="5" t="s">
        <v>47</v>
      </c>
      <c r="E718">
        <v>8</v>
      </c>
      <c r="F718" s="1">
        <v>1.32</v>
      </c>
      <c r="G718" s="1">
        <v>1.25</v>
      </c>
      <c r="H718" s="10">
        <f t="shared" si="11"/>
        <v>5.3030303030303094E-2</v>
      </c>
    </row>
    <row r="719" spans="1:8" x14ac:dyDescent="0.25">
      <c r="A719" s="4">
        <v>46015</v>
      </c>
      <c r="B719" t="s">
        <v>29</v>
      </c>
      <c r="C719" t="str">
        <f>_xlfn.IFNA(VLOOKUP($B719,ref!$B$2:$C$34,2,FALSE),"NA")</f>
        <v>Spot</v>
      </c>
      <c r="D719" s="5" t="s">
        <v>47</v>
      </c>
      <c r="E719">
        <v>8</v>
      </c>
      <c r="F719" s="1">
        <v>1.32</v>
      </c>
      <c r="G719" s="1">
        <v>1.25</v>
      </c>
      <c r="H719" s="10">
        <f t="shared" si="11"/>
        <v>5.3030303030303094E-2</v>
      </c>
    </row>
    <row r="720" spans="1:8" x14ac:dyDescent="0.25">
      <c r="A720" s="4">
        <v>46015</v>
      </c>
      <c r="B720" t="s">
        <v>29</v>
      </c>
      <c r="C720" t="str">
        <f>_xlfn.IFNA(VLOOKUP($B720,ref!$B$2:$C$34,2,FALSE),"NA")</f>
        <v>Spot</v>
      </c>
      <c r="D720" s="5" t="s">
        <v>47</v>
      </c>
      <c r="E720">
        <v>8</v>
      </c>
      <c r="F720" s="1">
        <v>1.32</v>
      </c>
      <c r="G720" s="1">
        <v>1.25</v>
      </c>
      <c r="H720" s="10">
        <f t="shared" si="11"/>
        <v>5.3030303030303094E-2</v>
      </c>
    </row>
    <row r="721" spans="1:8" x14ac:dyDescent="0.25">
      <c r="A721" s="4">
        <v>46015</v>
      </c>
      <c r="B721" t="s">
        <v>29</v>
      </c>
      <c r="C721" t="str">
        <f>_xlfn.IFNA(VLOOKUP($B721,ref!$B$2:$C$34,2,FALSE),"NA")</f>
        <v>Spot</v>
      </c>
      <c r="D721" s="5" t="s">
        <v>47</v>
      </c>
      <c r="E721">
        <v>8</v>
      </c>
      <c r="F721" s="1">
        <v>1.32</v>
      </c>
      <c r="G721" s="1">
        <v>1.25</v>
      </c>
      <c r="H721" s="10">
        <f t="shared" si="11"/>
        <v>5.3030303030303094E-2</v>
      </c>
    </row>
    <row r="722" spans="1:8" x14ac:dyDescent="0.25">
      <c r="A722" s="4">
        <v>46015</v>
      </c>
      <c r="B722" t="s">
        <v>29</v>
      </c>
      <c r="C722" t="str">
        <f>_xlfn.IFNA(VLOOKUP($B722,ref!$B$2:$C$34,2,FALSE),"NA")</f>
        <v>Spot</v>
      </c>
      <c r="D722" s="5" t="s">
        <v>47</v>
      </c>
      <c r="E722">
        <v>8</v>
      </c>
      <c r="F722" s="1">
        <v>1.32</v>
      </c>
      <c r="G722" s="1">
        <v>1.25</v>
      </c>
      <c r="H722" s="10">
        <f t="shared" si="11"/>
        <v>5.3030303030303094E-2</v>
      </c>
    </row>
    <row r="723" spans="1:8" x14ac:dyDescent="0.25">
      <c r="A723" s="4">
        <v>46013</v>
      </c>
      <c r="B723" t="s">
        <v>31</v>
      </c>
      <c r="C723" t="str">
        <f>_xlfn.IFNA(VLOOKUP($B723,ref!$B$2:$C$34,2,FALSE),"NA")</f>
        <v>1 Month</v>
      </c>
      <c r="D723" s="5" t="s">
        <v>7</v>
      </c>
      <c r="E723">
        <v>8</v>
      </c>
      <c r="F723" s="1">
        <v>2.0499999999999998</v>
      </c>
      <c r="G723" s="1">
        <v>1.95</v>
      </c>
      <c r="H723" s="10">
        <f t="shared" si="11"/>
        <v>4.8780487804877981E-2</v>
      </c>
    </row>
    <row r="724" spans="1:8" x14ac:dyDescent="0.25">
      <c r="A724" s="4">
        <v>46013</v>
      </c>
      <c r="B724" t="s">
        <v>31</v>
      </c>
      <c r="C724" t="str">
        <f>_xlfn.IFNA(VLOOKUP($B724,ref!$B$2:$C$34,2,FALSE),"NA")</f>
        <v>1 Month</v>
      </c>
      <c r="D724" s="5" t="s">
        <v>7</v>
      </c>
      <c r="E724">
        <v>8</v>
      </c>
      <c r="F724" s="1">
        <v>2.0499999999999998</v>
      </c>
      <c r="G724" s="1">
        <v>1.95</v>
      </c>
      <c r="H724" s="10">
        <f t="shared" si="11"/>
        <v>4.8780487804877981E-2</v>
      </c>
    </row>
    <row r="725" spans="1:8" x14ac:dyDescent="0.25">
      <c r="A725" s="4">
        <v>46013</v>
      </c>
      <c r="B725" t="s">
        <v>31</v>
      </c>
      <c r="C725" t="str">
        <f>_xlfn.IFNA(VLOOKUP($B725,ref!$B$2:$C$34,2,FALSE),"NA")</f>
        <v>1 Month</v>
      </c>
      <c r="D725" s="5" t="s">
        <v>10</v>
      </c>
      <c r="E725">
        <v>8</v>
      </c>
      <c r="F725" s="1">
        <v>1.5</v>
      </c>
      <c r="G725" s="1">
        <v>1.25</v>
      </c>
      <c r="H725" s="10">
        <f t="shared" si="11"/>
        <v>0.16666666666666663</v>
      </c>
    </row>
    <row r="726" spans="1:8" x14ac:dyDescent="0.25">
      <c r="A726" s="4">
        <v>46013</v>
      </c>
      <c r="B726" t="s">
        <v>31</v>
      </c>
      <c r="C726" t="str">
        <f>_xlfn.IFNA(VLOOKUP($B726,ref!$B$2:$C$34,2,FALSE),"NA")</f>
        <v>1 Month</v>
      </c>
      <c r="D726" s="5" t="s">
        <v>10</v>
      </c>
      <c r="E726">
        <v>8</v>
      </c>
      <c r="F726" s="1">
        <v>1.5</v>
      </c>
      <c r="G726" s="1">
        <v>1.25</v>
      </c>
      <c r="H726" s="10">
        <f t="shared" si="11"/>
        <v>0.16666666666666663</v>
      </c>
    </row>
    <row r="727" spans="1:8" x14ac:dyDescent="0.25">
      <c r="A727" s="4">
        <v>46013</v>
      </c>
      <c r="B727" t="s">
        <v>31</v>
      </c>
      <c r="C727" t="str">
        <f>_xlfn.IFNA(VLOOKUP($B727,ref!$B$2:$C$34,2,FALSE),"NA")</f>
        <v>1 Month</v>
      </c>
      <c r="D727" s="5" t="s">
        <v>7</v>
      </c>
      <c r="E727">
        <v>8</v>
      </c>
      <c r="F727" s="1">
        <v>2.0499999999999998</v>
      </c>
      <c r="G727" s="1">
        <v>1.95</v>
      </c>
      <c r="H727" s="10">
        <f t="shared" si="11"/>
        <v>4.8780487804877981E-2</v>
      </c>
    </row>
    <row r="728" spans="1:8" x14ac:dyDescent="0.25">
      <c r="A728" s="4">
        <v>46013</v>
      </c>
      <c r="B728" t="s">
        <v>31</v>
      </c>
      <c r="C728" t="str">
        <f>_xlfn.IFNA(VLOOKUP($B728,ref!$B$2:$C$34,2,FALSE),"NA")</f>
        <v>1 Month</v>
      </c>
      <c r="D728" s="5" t="s">
        <v>7</v>
      </c>
      <c r="E728">
        <v>8</v>
      </c>
      <c r="F728" s="1">
        <v>2.0499999999999998</v>
      </c>
      <c r="G728" s="1">
        <v>1.95</v>
      </c>
      <c r="H728" s="10">
        <f t="shared" si="11"/>
        <v>4.8780487804877981E-2</v>
      </c>
    </row>
    <row r="729" spans="1:8" x14ac:dyDescent="0.25">
      <c r="A729" s="4">
        <v>46013</v>
      </c>
      <c r="B729" t="s">
        <v>31</v>
      </c>
      <c r="C729" t="str">
        <f>_xlfn.IFNA(VLOOKUP($B729,ref!$B$2:$C$34,2,FALSE),"NA")</f>
        <v>1 Month</v>
      </c>
      <c r="D729" s="5" t="s">
        <v>7</v>
      </c>
      <c r="E729">
        <v>8</v>
      </c>
      <c r="F729" s="1">
        <v>2.0499999999999998</v>
      </c>
      <c r="G729" s="1">
        <v>1.95</v>
      </c>
      <c r="H729" s="10">
        <f t="shared" si="11"/>
        <v>4.8780487804877981E-2</v>
      </c>
    </row>
    <row r="730" spans="1:8" x14ac:dyDescent="0.25">
      <c r="A730" s="4">
        <v>46010</v>
      </c>
      <c r="B730" t="s">
        <v>29</v>
      </c>
      <c r="C730" t="str">
        <f>_xlfn.IFNA(VLOOKUP($B730,ref!$B$2:$C$34,2,FALSE),"NA")</f>
        <v>Spot</v>
      </c>
      <c r="D730" s="5" t="s">
        <v>47</v>
      </c>
      <c r="E730">
        <v>8</v>
      </c>
      <c r="F730" s="1">
        <v>1.3</v>
      </c>
      <c r="G730" s="1">
        <v>1.25</v>
      </c>
      <c r="H730" s="10">
        <f t="shared" si="11"/>
        <v>3.8461538461538547E-2</v>
      </c>
    </row>
    <row r="731" spans="1:8" x14ac:dyDescent="0.25">
      <c r="A731" s="4">
        <v>46010</v>
      </c>
      <c r="B731" t="s">
        <v>29</v>
      </c>
      <c r="C731" t="str">
        <f>_xlfn.IFNA(VLOOKUP($B731,ref!$B$2:$C$34,2,FALSE),"NA")</f>
        <v>Spot</v>
      </c>
      <c r="D731" s="5" t="s">
        <v>47</v>
      </c>
      <c r="E731">
        <v>8</v>
      </c>
      <c r="F731" s="1">
        <v>1.3</v>
      </c>
      <c r="G731" s="1">
        <v>1.25</v>
      </c>
      <c r="H731" s="10">
        <f t="shared" si="11"/>
        <v>3.8461538461538547E-2</v>
      </c>
    </row>
    <row r="732" spans="1:8" x14ac:dyDescent="0.25">
      <c r="A732" s="4">
        <v>46010</v>
      </c>
      <c r="B732" t="s">
        <v>29</v>
      </c>
      <c r="C732" t="str">
        <f>_xlfn.IFNA(VLOOKUP($B732,ref!$B$2:$C$34,2,FALSE),"NA")</f>
        <v>Spot</v>
      </c>
      <c r="D732" s="5" t="s">
        <v>47</v>
      </c>
      <c r="E732">
        <v>8</v>
      </c>
      <c r="F732" s="1">
        <v>1.3</v>
      </c>
      <c r="G732" s="1">
        <v>1.1379999999999999</v>
      </c>
      <c r="H732" s="10">
        <f t="shared" si="11"/>
        <v>0.12461538461538468</v>
      </c>
    </row>
    <row r="733" spans="1:8" x14ac:dyDescent="0.25">
      <c r="A733" s="4">
        <v>46010</v>
      </c>
      <c r="B733" t="s">
        <v>29</v>
      </c>
      <c r="C733" t="str">
        <f>_xlfn.IFNA(VLOOKUP($B733,ref!$B$2:$C$34,2,FALSE),"NA")</f>
        <v>Spot</v>
      </c>
      <c r="D733" s="5" t="s">
        <v>47</v>
      </c>
      <c r="E733">
        <v>8</v>
      </c>
      <c r="F733" s="1">
        <v>1.3</v>
      </c>
      <c r="G733" s="1">
        <v>1.1379999999999999</v>
      </c>
      <c r="H733" s="10">
        <f t="shared" si="11"/>
        <v>0.12461538461538468</v>
      </c>
    </row>
    <row r="734" spans="1:8" x14ac:dyDescent="0.25">
      <c r="A734" s="4">
        <v>46010</v>
      </c>
      <c r="B734" t="s">
        <v>29</v>
      </c>
      <c r="C734" t="str">
        <f>_xlfn.IFNA(VLOOKUP($B734,ref!$B$2:$C$34,2,FALSE),"NA")</f>
        <v>Spot</v>
      </c>
      <c r="D734" s="5" t="s">
        <v>47</v>
      </c>
      <c r="E734">
        <v>8</v>
      </c>
      <c r="F734" s="1">
        <v>1.3</v>
      </c>
      <c r="G734" s="1">
        <v>1.25</v>
      </c>
      <c r="H734" s="10">
        <f t="shared" si="11"/>
        <v>3.8461538461538547E-2</v>
      </c>
    </row>
    <row r="735" spans="1:8" x14ac:dyDescent="0.25">
      <c r="A735" s="4">
        <v>46010</v>
      </c>
      <c r="B735" t="s">
        <v>29</v>
      </c>
      <c r="C735" t="str">
        <f>_xlfn.IFNA(VLOOKUP($B735,ref!$B$2:$C$34,2,FALSE),"NA")</f>
        <v>Spot</v>
      </c>
      <c r="D735" s="5" t="s">
        <v>47</v>
      </c>
      <c r="E735">
        <v>8</v>
      </c>
      <c r="F735" s="1">
        <v>1.3</v>
      </c>
      <c r="G735" s="1">
        <v>1.25</v>
      </c>
      <c r="H735" s="10">
        <f t="shared" si="11"/>
        <v>3.8461538461538547E-2</v>
      </c>
    </row>
    <row r="736" spans="1:8" x14ac:dyDescent="0.25">
      <c r="A736" s="4">
        <v>46010</v>
      </c>
      <c r="B736" t="s">
        <v>29</v>
      </c>
      <c r="C736" t="str">
        <f>_xlfn.IFNA(VLOOKUP($B736,ref!$B$2:$C$34,2,FALSE),"NA")</f>
        <v>Spot</v>
      </c>
      <c r="D736" s="5" t="s">
        <v>47</v>
      </c>
      <c r="E736">
        <v>8</v>
      </c>
      <c r="F736" s="1">
        <v>1.3</v>
      </c>
      <c r="G736" s="1">
        <v>1.25</v>
      </c>
      <c r="H736" s="10">
        <f t="shared" si="11"/>
        <v>3.8461538461538547E-2</v>
      </c>
    </row>
    <row r="737" spans="1:8" x14ac:dyDescent="0.25">
      <c r="A737" s="4">
        <v>46010</v>
      </c>
      <c r="B737" t="s">
        <v>29</v>
      </c>
      <c r="C737" t="str">
        <f>_xlfn.IFNA(VLOOKUP($B737,ref!$B$2:$C$34,2,FALSE),"NA")</f>
        <v>Spot</v>
      </c>
      <c r="D737" s="5" t="s">
        <v>47</v>
      </c>
      <c r="E737">
        <v>8</v>
      </c>
      <c r="F737" s="1">
        <v>1.3</v>
      </c>
      <c r="G737" s="1">
        <v>1.25</v>
      </c>
      <c r="H737" s="10">
        <f t="shared" si="11"/>
        <v>3.8461538461538547E-2</v>
      </c>
    </row>
    <row r="738" spans="1:8" x14ac:dyDescent="0.25">
      <c r="A738" s="4">
        <v>46010</v>
      </c>
      <c r="B738" t="s">
        <v>29</v>
      </c>
      <c r="C738" t="str">
        <f>_xlfn.IFNA(VLOOKUP($B738,ref!$B$2:$C$34,2,FALSE),"NA")</f>
        <v>Spot</v>
      </c>
      <c r="D738" s="5" t="s">
        <v>47</v>
      </c>
      <c r="E738">
        <v>8</v>
      </c>
      <c r="F738" s="1">
        <v>1.3</v>
      </c>
      <c r="G738" s="1">
        <v>1.25</v>
      </c>
      <c r="H738" s="10">
        <f t="shared" si="11"/>
        <v>3.8461538461538547E-2</v>
      </c>
    </row>
    <row r="739" spans="1:8" x14ac:dyDescent="0.25">
      <c r="A739" s="4">
        <v>46010</v>
      </c>
      <c r="B739" t="s">
        <v>29</v>
      </c>
      <c r="C739" t="str">
        <f>_xlfn.IFNA(VLOOKUP($B739,ref!$B$2:$C$34,2,FALSE),"NA")</f>
        <v>Spot</v>
      </c>
      <c r="D739" s="5" t="s">
        <v>47</v>
      </c>
      <c r="E739">
        <v>8</v>
      </c>
      <c r="F739" s="1">
        <v>1.3</v>
      </c>
      <c r="G739" s="1">
        <v>1.25</v>
      </c>
      <c r="H739" s="10">
        <f t="shared" si="11"/>
        <v>3.8461538461538547E-2</v>
      </c>
    </row>
    <row r="740" spans="1:8" x14ac:dyDescent="0.25">
      <c r="A740" s="4">
        <v>46010</v>
      </c>
      <c r="B740" t="s">
        <v>29</v>
      </c>
      <c r="C740" t="str">
        <f>_xlfn.IFNA(VLOOKUP($B740,ref!$B$2:$C$34,2,FALSE),"NA")</f>
        <v>Spot</v>
      </c>
      <c r="D740" s="5" t="s">
        <v>47</v>
      </c>
      <c r="E740">
        <v>8</v>
      </c>
      <c r="F740" s="1">
        <v>1.3</v>
      </c>
      <c r="G740" s="1">
        <v>1.25</v>
      </c>
      <c r="H740" s="10">
        <f t="shared" si="11"/>
        <v>3.8461538461538547E-2</v>
      </c>
    </row>
    <row r="741" spans="1:8" x14ac:dyDescent="0.25">
      <c r="A741" s="4">
        <v>46010</v>
      </c>
      <c r="B741" t="s">
        <v>29</v>
      </c>
      <c r="C741" t="str">
        <f>_xlfn.IFNA(VLOOKUP($B741,ref!$B$2:$C$34,2,FALSE),"NA")</f>
        <v>Spot</v>
      </c>
      <c r="D741" s="5" t="s">
        <v>47</v>
      </c>
      <c r="E741">
        <v>8</v>
      </c>
      <c r="F741" s="1">
        <v>1.3</v>
      </c>
      <c r="G741" s="1">
        <v>1.25</v>
      </c>
      <c r="H741" s="10">
        <f t="shared" si="11"/>
        <v>3.8461538461538547E-2</v>
      </c>
    </row>
    <row r="742" spans="1:8" x14ac:dyDescent="0.25">
      <c r="A742" s="4">
        <v>46010</v>
      </c>
      <c r="B742" t="s">
        <v>29</v>
      </c>
      <c r="C742" t="str">
        <f>_xlfn.IFNA(VLOOKUP($B742,ref!$B$2:$C$34,2,FALSE),"NA")</f>
        <v>Spot</v>
      </c>
      <c r="D742" s="5" t="s">
        <v>47</v>
      </c>
      <c r="E742">
        <v>8</v>
      </c>
      <c r="F742" s="1">
        <v>1.3</v>
      </c>
      <c r="G742" s="1">
        <v>1.25</v>
      </c>
      <c r="H742" s="10">
        <f t="shared" si="11"/>
        <v>3.8461538461538547E-2</v>
      </c>
    </row>
    <row r="743" spans="1:8" x14ac:dyDescent="0.25">
      <c r="A743" s="4">
        <v>46010</v>
      </c>
      <c r="B743" t="s">
        <v>29</v>
      </c>
      <c r="C743" t="str">
        <f>_xlfn.IFNA(VLOOKUP($B743,ref!$B$2:$C$34,2,FALSE),"NA")</f>
        <v>Spot</v>
      </c>
      <c r="D743" s="5" t="s">
        <v>47</v>
      </c>
      <c r="E743">
        <v>8</v>
      </c>
      <c r="F743" s="1">
        <v>1.3</v>
      </c>
      <c r="G743" s="1">
        <v>1.25</v>
      </c>
      <c r="H743" s="10">
        <f t="shared" si="11"/>
        <v>3.8461538461538547E-2</v>
      </c>
    </row>
    <row r="744" spans="1:8" x14ac:dyDescent="0.25">
      <c r="A744" s="4">
        <v>46010</v>
      </c>
      <c r="B744" t="s">
        <v>29</v>
      </c>
      <c r="C744" t="str">
        <f>_xlfn.IFNA(VLOOKUP($B744,ref!$B$2:$C$34,2,FALSE),"NA")</f>
        <v>Spot</v>
      </c>
      <c r="D744" s="5" t="s">
        <v>47</v>
      </c>
      <c r="E744">
        <v>8</v>
      </c>
      <c r="F744" s="1">
        <v>1.3</v>
      </c>
      <c r="G744" s="1">
        <v>1.25</v>
      </c>
      <c r="H744" s="10">
        <f t="shared" si="11"/>
        <v>3.8461538461538547E-2</v>
      </c>
    </row>
    <row r="745" spans="1:8" x14ac:dyDescent="0.25">
      <c r="A745" s="4">
        <v>46010</v>
      </c>
      <c r="B745" t="s">
        <v>29</v>
      </c>
      <c r="C745" t="str">
        <f>_xlfn.IFNA(VLOOKUP($B745,ref!$B$2:$C$34,2,FALSE),"NA")</f>
        <v>Spot</v>
      </c>
      <c r="D745" s="5" t="s">
        <v>47</v>
      </c>
      <c r="E745">
        <v>8</v>
      </c>
      <c r="F745" s="1">
        <v>1.3</v>
      </c>
      <c r="G745" s="1">
        <v>1.25</v>
      </c>
      <c r="H745" s="10">
        <f t="shared" si="11"/>
        <v>3.8461538461538547E-2</v>
      </c>
    </row>
    <row r="746" spans="1:8" x14ac:dyDescent="0.25">
      <c r="A746" s="4">
        <v>46010</v>
      </c>
      <c r="B746" t="s">
        <v>29</v>
      </c>
      <c r="C746" t="str">
        <f>_xlfn.IFNA(VLOOKUP($B746,ref!$B$2:$C$34,2,FALSE),"NA")</f>
        <v>Spot</v>
      </c>
      <c r="D746" s="5" t="s">
        <v>47</v>
      </c>
      <c r="E746">
        <v>8</v>
      </c>
      <c r="F746" s="1">
        <v>1.3</v>
      </c>
      <c r="G746" s="1">
        <v>1.1379999999999999</v>
      </c>
      <c r="H746" s="10">
        <f t="shared" si="11"/>
        <v>0.12461538461538468</v>
      </c>
    </row>
    <row r="747" spans="1:8" x14ac:dyDescent="0.25">
      <c r="A747" s="4">
        <v>46010</v>
      </c>
      <c r="B747" t="s">
        <v>29</v>
      </c>
      <c r="C747" t="str">
        <f>_xlfn.IFNA(VLOOKUP($B747,ref!$B$2:$C$34,2,FALSE),"NA")</f>
        <v>Spot</v>
      </c>
      <c r="D747" s="5" t="s">
        <v>47</v>
      </c>
      <c r="E747">
        <v>8</v>
      </c>
      <c r="F747" s="1">
        <v>1.3</v>
      </c>
      <c r="G747" s="1">
        <v>1.1379999999999999</v>
      </c>
      <c r="H747" s="10">
        <f t="shared" si="11"/>
        <v>0.12461538461538468</v>
      </c>
    </row>
    <row r="748" spans="1:8" x14ac:dyDescent="0.25">
      <c r="A748" s="4">
        <v>46010</v>
      </c>
      <c r="B748" t="s">
        <v>29</v>
      </c>
      <c r="C748" t="str">
        <f>_xlfn.IFNA(VLOOKUP($B748,ref!$B$2:$C$34,2,FALSE),"NA")</f>
        <v>Spot</v>
      </c>
      <c r="D748" s="5" t="s">
        <v>40</v>
      </c>
      <c r="E748">
        <v>8</v>
      </c>
      <c r="F748" s="1">
        <v>0.45</v>
      </c>
      <c r="G748" s="1">
        <v>0.39400000000000002</v>
      </c>
      <c r="H748" s="10">
        <f t="shared" si="11"/>
        <v>0.12444444444444447</v>
      </c>
    </row>
    <row r="749" spans="1:8" x14ac:dyDescent="0.25">
      <c r="A749" s="4">
        <v>46010</v>
      </c>
      <c r="B749" t="s">
        <v>29</v>
      </c>
      <c r="C749" t="str">
        <f>_xlfn.IFNA(VLOOKUP($B749,ref!$B$2:$C$34,2,FALSE),"NA")</f>
        <v>Spot</v>
      </c>
      <c r="D749" s="5" t="s">
        <v>47</v>
      </c>
      <c r="E749">
        <v>8</v>
      </c>
      <c r="F749" s="1">
        <v>1.3</v>
      </c>
      <c r="G749" s="1">
        <v>1.25</v>
      </c>
      <c r="H749" s="10">
        <f t="shared" si="11"/>
        <v>3.8461538461538547E-2</v>
      </c>
    </row>
    <row r="750" spans="1:8" x14ac:dyDescent="0.25">
      <c r="A750" s="4">
        <v>46010</v>
      </c>
      <c r="B750" t="s">
        <v>29</v>
      </c>
      <c r="C750" t="str">
        <f>_xlfn.IFNA(VLOOKUP($B750,ref!$B$2:$C$34,2,FALSE),"NA")</f>
        <v>Spot</v>
      </c>
      <c r="D750" s="5" t="s">
        <v>47</v>
      </c>
      <c r="E750">
        <v>8</v>
      </c>
      <c r="F750" s="1">
        <v>1.3</v>
      </c>
      <c r="G750" s="1">
        <v>1.25</v>
      </c>
      <c r="H750" s="10">
        <f t="shared" si="11"/>
        <v>3.8461538461538547E-2</v>
      </c>
    </row>
    <row r="751" spans="1:8" x14ac:dyDescent="0.25">
      <c r="A751" s="4">
        <v>46010</v>
      </c>
      <c r="B751" t="s">
        <v>29</v>
      </c>
      <c r="C751" t="str">
        <f>_xlfn.IFNA(VLOOKUP($B751,ref!$B$2:$C$34,2,FALSE),"NA")</f>
        <v>Spot</v>
      </c>
      <c r="D751" s="5" t="s">
        <v>47</v>
      </c>
      <c r="E751">
        <v>8</v>
      </c>
      <c r="F751" s="1">
        <v>1.3</v>
      </c>
      <c r="G751" s="1">
        <v>1.25</v>
      </c>
      <c r="H751" s="10">
        <f t="shared" si="11"/>
        <v>3.8461538461538547E-2</v>
      </c>
    </row>
    <row r="752" spans="1:8" x14ac:dyDescent="0.25">
      <c r="A752" s="4">
        <v>46010</v>
      </c>
      <c r="B752" t="s">
        <v>29</v>
      </c>
      <c r="C752" t="str">
        <f>_xlfn.IFNA(VLOOKUP($B752,ref!$B$2:$C$34,2,FALSE),"NA")</f>
        <v>Spot</v>
      </c>
      <c r="D752" s="5" t="s">
        <v>47</v>
      </c>
      <c r="E752">
        <v>8</v>
      </c>
      <c r="F752" s="1">
        <v>1.3</v>
      </c>
      <c r="G752" s="1">
        <v>1.25</v>
      </c>
      <c r="H752" s="10">
        <f t="shared" si="11"/>
        <v>3.8461538461538547E-2</v>
      </c>
    </row>
    <row r="753" spans="1:8" x14ac:dyDescent="0.25">
      <c r="A753" s="4">
        <v>46008</v>
      </c>
      <c r="B753" t="s">
        <v>29</v>
      </c>
      <c r="C753" t="str">
        <f>_xlfn.IFNA(VLOOKUP($B753,ref!$B$2:$C$34,2,FALSE),"NA")</f>
        <v>Spot</v>
      </c>
      <c r="D753" s="5" t="s">
        <v>47</v>
      </c>
      <c r="E753">
        <v>8</v>
      </c>
      <c r="F753" s="1">
        <v>1.3</v>
      </c>
      <c r="G753" s="1">
        <v>1.25</v>
      </c>
      <c r="H753" s="10">
        <f t="shared" si="11"/>
        <v>3.8461538461538547E-2</v>
      </c>
    </row>
    <row r="754" spans="1:8" x14ac:dyDescent="0.25">
      <c r="A754" s="4">
        <v>46005</v>
      </c>
      <c r="B754" t="s">
        <v>17</v>
      </c>
      <c r="C754" t="str">
        <f>_xlfn.IFNA(VLOOKUP($B754,ref!$B$2:$C$34,2,FALSE),"NA")</f>
        <v>6 Month</v>
      </c>
      <c r="D754" s="5" t="s">
        <v>7</v>
      </c>
      <c r="E754">
        <v>8</v>
      </c>
      <c r="F754" s="1">
        <v>2.46</v>
      </c>
      <c r="G754" s="1">
        <v>2.4</v>
      </c>
      <c r="H754" s="10">
        <f t="shared" si="11"/>
        <v>2.4390243902439046E-2</v>
      </c>
    </row>
    <row r="755" spans="1:8" x14ac:dyDescent="0.25">
      <c r="A755" s="4">
        <v>46004</v>
      </c>
      <c r="B755" t="s">
        <v>31</v>
      </c>
      <c r="C755" t="str">
        <f>_xlfn.IFNA(VLOOKUP($B755,ref!$B$2:$C$34,2,FALSE),"NA")</f>
        <v>1 Month</v>
      </c>
      <c r="D755" s="5" t="s">
        <v>46</v>
      </c>
      <c r="E755">
        <v>8</v>
      </c>
      <c r="F755" s="1">
        <v>3.5</v>
      </c>
      <c r="G755" s="1">
        <v>3.4</v>
      </c>
      <c r="H755" s="10">
        <f t="shared" si="11"/>
        <v>2.8571428571428581E-2</v>
      </c>
    </row>
    <row r="756" spans="1:8" x14ac:dyDescent="0.25">
      <c r="A756" s="4">
        <v>46004</v>
      </c>
      <c r="C756" t="str">
        <f>_xlfn.IFNA(VLOOKUP($B756,ref!$B$2:$C$34,2,FALSE),"NA")</f>
        <v>NA</v>
      </c>
      <c r="D756" s="5" t="s">
        <v>46</v>
      </c>
      <c r="E756">
        <v>8</v>
      </c>
      <c r="F756" s="1">
        <v>2.8</v>
      </c>
      <c r="G756" s="1">
        <v>2.65</v>
      </c>
      <c r="H756" s="10">
        <f t="shared" si="11"/>
        <v>5.3571428571428492E-2</v>
      </c>
    </row>
    <row r="757" spans="1:8" x14ac:dyDescent="0.25">
      <c r="A757" s="4">
        <v>46003</v>
      </c>
      <c r="B757" t="s">
        <v>29</v>
      </c>
      <c r="C757" t="str">
        <f>_xlfn.IFNA(VLOOKUP($B757,ref!$B$2:$C$34,2,FALSE),"NA")</f>
        <v>Spot</v>
      </c>
      <c r="D757" s="5" t="s">
        <v>46</v>
      </c>
      <c r="E757">
        <v>8</v>
      </c>
      <c r="F757" s="1">
        <v>2.95</v>
      </c>
      <c r="G757" s="1">
        <v>2.75</v>
      </c>
      <c r="H757" s="10">
        <f t="shared" si="11"/>
        <v>6.7796610169491567E-2</v>
      </c>
    </row>
    <row r="758" spans="1:8" x14ac:dyDescent="0.25">
      <c r="A758" s="4">
        <v>46000</v>
      </c>
      <c r="B758" t="s">
        <v>29</v>
      </c>
      <c r="C758" t="str">
        <f>_xlfn.IFNA(VLOOKUP($B758,ref!$B$2:$C$34,2,FALSE),"NA")</f>
        <v>Spot</v>
      </c>
      <c r="D758" s="5" t="s">
        <v>50</v>
      </c>
      <c r="E758">
        <v>8</v>
      </c>
      <c r="F758" s="1">
        <v>2.8</v>
      </c>
      <c r="G758" s="1">
        <v>2.4500000000000002</v>
      </c>
      <c r="H758" s="10">
        <f t="shared" si="11"/>
        <v>0.12499999999999989</v>
      </c>
    </row>
    <row r="759" spans="1:8" x14ac:dyDescent="0.25">
      <c r="A759" s="4">
        <v>45999</v>
      </c>
      <c r="B759" t="s">
        <v>6</v>
      </c>
      <c r="C759" t="str">
        <f>_xlfn.IFNA(VLOOKUP($B759,ref!$B$2:$C$34,2,FALSE),"NA")</f>
        <v>3 Month</v>
      </c>
      <c r="D759" s="5" t="s">
        <v>7</v>
      </c>
      <c r="E759">
        <v>8</v>
      </c>
      <c r="F759" s="1">
        <v>2.25</v>
      </c>
      <c r="G759" s="1">
        <v>2.0499999999999998</v>
      </c>
      <c r="H759" s="10">
        <f t="shared" si="11"/>
        <v>8.8888888888889017E-2</v>
      </c>
    </row>
    <row r="760" spans="1:8" x14ac:dyDescent="0.25">
      <c r="A760" s="4">
        <v>45996</v>
      </c>
      <c r="B760" t="s">
        <v>29</v>
      </c>
      <c r="C760" t="str">
        <f>_xlfn.IFNA(VLOOKUP($B760,ref!$B$2:$C$34,2,FALSE),"NA")</f>
        <v>Spot</v>
      </c>
      <c r="D760" s="5" t="s">
        <v>34</v>
      </c>
      <c r="E760">
        <v>8</v>
      </c>
      <c r="F760" s="1">
        <v>0.12</v>
      </c>
      <c r="G760" s="1">
        <v>0.105</v>
      </c>
      <c r="H760" s="10">
        <f t="shared" si="11"/>
        <v>0.125</v>
      </c>
    </row>
    <row r="761" spans="1:8" x14ac:dyDescent="0.25">
      <c r="A761" s="4">
        <v>45995</v>
      </c>
      <c r="B761" t="s">
        <v>35</v>
      </c>
      <c r="C761" t="str">
        <f>_xlfn.IFNA(VLOOKUP($B761,ref!$B$2:$C$34,2,FALSE),"NA")</f>
        <v>Misc</v>
      </c>
      <c r="D761" s="5">
        <v>5090</v>
      </c>
      <c r="E761">
        <v>8</v>
      </c>
      <c r="F761" s="1">
        <v>0.48</v>
      </c>
      <c r="G761" s="1">
        <v>0.45</v>
      </c>
      <c r="H761" s="10">
        <f t="shared" si="11"/>
        <v>6.2499999999999889E-2</v>
      </c>
    </row>
    <row r="762" spans="1:8" x14ac:dyDescent="0.25">
      <c r="A762" s="4">
        <v>45995</v>
      </c>
      <c r="B762" t="s">
        <v>29</v>
      </c>
      <c r="C762" t="str">
        <f>_xlfn.IFNA(VLOOKUP($B762,ref!$B$2:$C$34,2,FALSE),"NA")</f>
        <v>Spot</v>
      </c>
      <c r="D762" s="5" t="s">
        <v>40</v>
      </c>
      <c r="E762">
        <v>8</v>
      </c>
      <c r="F762" s="1">
        <v>0.55000000000000004</v>
      </c>
      <c r="G762" s="1">
        <v>0.48</v>
      </c>
      <c r="H762" s="10">
        <f t="shared" si="11"/>
        <v>0.12727272727272743</v>
      </c>
    </row>
    <row r="763" spans="1:8" x14ac:dyDescent="0.25">
      <c r="A763" s="4">
        <v>45990</v>
      </c>
      <c r="B763" t="s">
        <v>6</v>
      </c>
      <c r="C763" t="str">
        <f>_xlfn.IFNA(VLOOKUP($B763,ref!$B$2:$C$34,2,FALSE),"NA")</f>
        <v>3 Month</v>
      </c>
      <c r="D763" s="5" t="s">
        <v>7</v>
      </c>
      <c r="E763">
        <v>8</v>
      </c>
      <c r="F763" s="1">
        <v>2.25</v>
      </c>
      <c r="G763" s="1">
        <v>2.0499999999999998</v>
      </c>
      <c r="H763" s="10">
        <f t="shared" si="11"/>
        <v>8.8888888888889017E-2</v>
      </c>
    </row>
    <row r="764" spans="1:8" x14ac:dyDescent="0.25">
      <c r="A764" s="4">
        <v>45988</v>
      </c>
      <c r="B764" t="s">
        <v>35</v>
      </c>
      <c r="C764" t="str">
        <f>_xlfn.IFNA(VLOOKUP($B764,ref!$B$2:$C$34,2,FALSE),"NA")</f>
        <v>Misc</v>
      </c>
      <c r="D764" s="5" t="s">
        <v>7</v>
      </c>
      <c r="E764">
        <v>8</v>
      </c>
      <c r="F764" s="1">
        <v>1.58</v>
      </c>
      <c r="G764" s="1">
        <v>1.4</v>
      </c>
      <c r="H764" s="10">
        <f t="shared" si="11"/>
        <v>0.11392405063291144</v>
      </c>
    </row>
    <row r="765" spans="1:8" x14ac:dyDescent="0.25">
      <c r="A765" s="4">
        <v>45988</v>
      </c>
      <c r="B765" t="s">
        <v>59</v>
      </c>
      <c r="C765" t="str">
        <f>_xlfn.IFNA(VLOOKUP($B765,ref!$B$2:$C$34,2,FALSE),"NA")</f>
        <v>2 Month</v>
      </c>
      <c r="D765" s="5" t="s">
        <v>7</v>
      </c>
      <c r="E765">
        <v>8</v>
      </c>
      <c r="F765" s="1">
        <v>1.95</v>
      </c>
      <c r="G765" s="1">
        <v>1.7</v>
      </c>
      <c r="H765" s="10">
        <f t="shared" si="11"/>
        <v>0.12820512820512819</v>
      </c>
    </row>
    <row r="766" spans="1:8" x14ac:dyDescent="0.25">
      <c r="A766" s="4">
        <v>45988</v>
      </c>
      <c r="B766" t="s">
        <v>59</v>
      </c>
      <c r="C766" t="str">
        <f>_xlfn.IFNA(VLOOKUP($B766,ref!$B$2:$C$34,2,FALSE),"NA")</f>
        <v>2 Month</v>
      </c>
      <c r="D766" s="5" t="s">
        <v>7</v>
      </c>
      <c r="E766">
        <v>8</v>
      </c>
      <c r="F766" s="1">
        <v>1.95</v>
      </c>
      <c r="G766" s="1">
        <v>1.7</v>
      </c>
      <c r="H766" s="10">
        <f t="shared" si="11"/>
        <v>0.12820512820512819</v>
      </c>
    </row>
    <row r="767" spans="1:8" x14ac:dyDescent="0.25">
      <c r="A767" s="4">
        <v>45988</v>
      </c>
      <c r="B767" t="s">
        <v>35</v>
      </c>
      <c r="C767" t="str">
        <f>_xlfn.IFNA(VLOOKUP($B767,ref!$B$2:$C$34,2,FALSE),"NA")</f>
        <v>Misc</v>
      </c>
      <c r="D767" s="5" t="s">
        <v>7</v>
      </c>
      <c r="E767">
        <v>8</v>
      </c>
      <c r="F767" s="1">
        <v>1.58</v>
      </c>
      <c r="G767" s="1">
        <v>1.4</v>
      </c>
      <c r="H767" s="10">
        <f t="shared" si="11"/>
        <v>0.11392405063291144</v>
      </c>
    </row>
    <row r="768" spans="1:8" x14ac:dyDescent="0.25">
      <c r="A768" s="4">
        <v>45988</v>
      </c>
      <c r="B768" t="s">
        <v>59</v>
      </c>
      <c r="C768" t="str">
        <f>_xlfn.IFNA(VLOOKUP($B768,ref!$B$2:$C$34,2,FALSE),"NA")</f>
        <v>2 Month</v>
      </c>
      <c r="D768" s="5" t="s">
        <v>7</v>
      </c>
      <c r="E768">
        <v>8</v>
      </c>
      <c r="F768" s="1">
        <v>1.95</v>
      </c>
      <c r="G768" s="1">
        <v>1.7</v>
      </c>
      <c r="H768" s="10">
        <f t="shared" si="11"/>
        <v>0.12820512820512819</v>
      </c>
    </row>
    <row r="769" spans="1:8" x14ac:dyDescent="0.25">
      <c r="A769" s="4">
        <v>45986</v>
      </c>
      <c r="B769" t="s">
        <v>29</v>
      </c>
      <c r="C769" t="str">
        <f>_xlfn.IFNA(VLOOKUP($B769,ref!$B$2:$C$34,2,FALSE),"NA")</f>
        <v>Spot</v>
      </c>
      <c r="D769" s="5" t="s">
        <v>47</v>
      </c>
      <c r="E769">
        <v>8</v>
      </c>
      <c r="F769" s="1">
        <v>1.2</v>
      </c>
      <c r="G769" s="1">
        <v>1.05</v>
      </c>
      <c r="H769" s="10">
        <f t="shared" si="11"/>
        <v>0.12499999999999989</v>
      </c>
    </row>
    <row r="770" spans="1:8" x14ac:dyDescent="0.25">
      <c r="A770" s="4">
        <v>45986</v>
      </c>
      <c r="B770" t="s">
        <v>29</v>
      </c>
      <c r="C770" t="str">
        <f>_xlfn.IFNA(VLOOKUP($B770,ref!$B$2:$C$34,2,FALSE),"NA")</f>
        <v>Spot</v>
      </c>
      <c r="D770" s="5" t="s">
        <v>40</v>
      </c>
      <c r="E770">
        <v>8</v>
      </c>
      <c r="F770" s="1">
        <v>0.57999999999999996</v>
      </c>
      <c r="G770" s="1">
        <v>0.50800000000000001</v>
      </c>
      <c r="H770" s="10">
        <f t="shared" si="11"/>
        <v>0.12413793103448267</v>
      </c>
    </row>
    <row r="771" spans="1:8" x14ac:dyDescent="0.25">
      <c r="A771" s="4">
        <v>45983</v>
      </c>
      <c r="B771" t="s">
        <v>35</v>
      </c>
      <c r="C771" t="str">
        <f>_xlfn.IFNA(VLOOKUP($B771,ref!$B$2:$C$34,2,FALSE),"NA")</f>
        <v>Misc</v>
      </c>
      <c r="D771" s="5" t="s">
        <v>50</v>
      </c>
      <c r="E771">
        <v>8</v>
      </c>
      <c r="F771" s="1">
        <v>2.8</v>
      </c>
      <c r="G771" s="1">
        <v>2.4500000000000002</v>
      </c>
      <c r="H771" s="10">
        <f t="shared" ref="H771:H834" si="12">1-(G771/F771)</f>
        <v>0.12499999999999989</v>
      </c>
    </row>
    <row r="772" spans="1:8" x14ac:dyDescent="0.25">
      <c r="A772" s="4">
        <v>45983</v>
      </c>
      <c r="B772" t="s">
        <v>35</v>
      </c>
      <c r="C772" t="str">
        <f>_xlfn.IFNA(VLOOKUP($B772,ref!$B$2:$C$34,2,FALSE),"NA")</f>
        <v>Misc</v>
      </c>
      <c r="D772" s="5" t="s">
        <v>46</v>
      </c>
      <c r="E772">
        <v>8</v>
      </c>
      <c r="F772" s="1">
        <v>2.65</v>
      </c>
      <c r="G772" s="1">
        <v>2.5</v>
      </c>
      <c r="H772" s="10">
        <f t="shared" si="12"/>
        <v>5.6603773584905648E-2</v>
      </c>
    </row>
    <row r="773" spans="1:8" x14ac:dyDescent="0.25">
      <c r="A773" s="4">
        <v>45982</v>
      </c>
      <c r="B773" t="s">
        <v>63</v>
      </c>
      <c r="C773" t="str">
        <f>_xlfn.IFNA(VLOOKUP($B773,ref!$B$2:$C$34,2,FALSE),"NA")</f>
        <v>Spot</v>
      </c>
      <c r="D773" s="5" t="s">
        <v>46</v>
      </c>
      <c r="E773">
        <v>8</v>
      </c>
      <c r="F773" s="1">
        <v>2.95</v>
      </c>
      <c r="G773" s="1">
        <v>2.75</v>
      </c>
      <c r="H773" s="10">
        <f t="shared" si="12"/>
        <v>6.7796610169491567E-2</v>
      </c>
    </row>
    <row r="774" spans="1:8" x14ac:dyDescent="0.25">
      <c r="A774" s="4">
        <v>45982</v>
      </c>
      <c r="B774" t="s">
        <v>29</v>
      </c>
      <c r="C774" t="str">
        <f>_xlfn.IFNA(VLOOKUP($B774,ref!$B$2:$C$34,2,FALSE),"NA")</f>
        <v>Spot</v>
      </c>
      <c r="D774" s="5" t="s">
        <v>46</v>
      </c>
      <c r="E774">
        <v>8</v>
      </c>
      <c r="F774" s="1">
        <v>2.95</v>
      </c>
      <c r="G774" s="1">
        <v>2.75</v>
      </c>
      <c r="H774" s="10">
        <f t="shared" si="12"/>
        <v>6.7796610169491567E-2</v>
      </c>
    </row>
    <row r="775" spans="1:8" x14ac:dyDescent="0.25">
      <c r="A775" s="4">
        <v>45982</v>
      </c>
      <c r="B775" t="s">
        <v>29</v>
      </c>
      <c r="C775" t="str">
        <f>_xlfn.IFNA(VLOOKUP($B775,ref!$B$2:$C$34,2,FALSE),"NA")</f>
        <v>Spot</v>
      </c>
      <c r="D775" s="5" t="s">
        <v>46</v>
      </c>
      <c r="E775">
        <v>8</v>
      </c>
      <c r="F775" s="1">
        <v>2.95</v>
      </c>
      <c r="G775" s="1">
        <v>2.75</v>
      </c>
      <c r="H775" s="10">
        <f t="shared" si="12"/>
        <v>6.7796610169491567E-2</v>
      </c>
    </row>
    <row r="776" spans="1:8" x14ac:dyDescent="0.25">
      <c r="A776" s="4">
        <v>45982</v>
      </c>
      <c r="B776" t="s">
        <v>29</v>
      </c>
      <c r="C776" t="str">
        <f>_xlfn.IFNA(VLOOKUP($B776,ref!$B$2:$C$34,2,FALSE),"NA")</f>
        <v>Spot</v>
      </c>
      <c r="D776" s="5" t="s">
        <v>46</v>
      </c>
      <c r="E776">
        <v>8</v>
      </c>
      <c r="F776" s="1">
        <v>2.95</v>
      </c>
      <c r="G776" s="1">
        <v>2.75</v>
      </c>
      <c r="H776" s="10">
        <f t="shared" si="12"/>
        <v>6.7796610169491567E-2</v>
      </c>
    </row>
    <row r="777" spans="1:8" x14ac:dyDescent="0.25">
      <c r="A777" s="4">
        <v>45982</v>
      </c>
      <c r="B777" t="s">
        <v>63</v>
      </c>
      <c r="C777" t="str">
        <f>_xlfn.IFNA(VLOOKUP($B777,ref!$B$2:$C$34,2,FALSE),"NA")</f>
        <v>Spot</v>
      </c>
      <c r="D777" s="5" t="s">
        <v>46</v>
      </c>
      <c r="E777">
        <v>8</v>
      </c>
      <c r="F777" s="1">
        <v>2.95</v>
      </c>
      <c r="G777" s="1">
        <v>2.75</v>
      </c>
      <c r="H777" s="10">
        <f t="shared" si="12"/>
        <v>6.7796610169491567E-2</v>
      </c>
    </row>
    <row r="778" spans="1:8" x14ac:dyDescent="0.25">
      <c r="A778" s="4">
        <v>45982</v>
      </c>
      <c r="B778" t="s">
        <v>29</v>
      </c>
      <c r="C778" t="str">
        <f>_xlfn.IFNA(VLOOKUP($B778,ref!$B$2:$C$34,2,FALSE),"NA")</f>
        <v>Spot</v>
      </c>
      <c r="D778" s="5" t="s">
        <v>46</v>
      </c>
      <c r="E778">
        <v>8</v>
      </c>
      <c r="F778" s="1">
        <v>2.95</v>
      </c>
      <c r="G778" s="1">
        <v>2.75</v>
      </c>
      <c r="H778" s="10">
        <f t="shared" si="12"/>
        <v>6.7796610169491567E-2</v>
      </c>
    </row>
    <row r="779" spans="1:8" x14ac:dyDescent="0.25">
      <c r="A779" s="4">
        <v>45982</v>
      </c>
      <c r="B779" t="s">
        <v>29</v>
      </c>
      <c r="C779" t="str">
        <f>_xlfn.IFNA(VLOOKUP($B779,ref!$B$2:$C$34,2,FALSE),"NA")</f>
        <v>Spot</v>
      </c>
      <c r="D779" s="5" t="s">
        <v>46</v>
      </c>
      <c r="E779">
        <v>8</v>
      </c>
      <c r="F779" s="1">
        <v>2.95</v>
      </c>
      <c r="G779" s="1">
        <v>2.75</v>
      </c>
      <c r="H779" s="10">
        <f t="shared" si="12"/>
        <v>6.7796610169491567E-2</v>
      </c>
    </row>
    <row r="780" spans="1:8" x14ac:dyDescent="0.25">
      <c r="A780" s="4">
        <v>45982</v>
      </c>
      <c r="B780" t="s">
        <v>27</v>
      </c>
      <c r="C780" t="str">
        <f>_xlfn.IFNA(VLOOKUP($B780,ref!$B$2:$C$34,2,FALSE),"NA")</f>
        <v>Misc</v>
      </c>
      <c r="D780" s="5" t="s">
        <v>46</v>
      </c>
      <c r="E780">
        <v>8</v>
      </c>
      <c r="F780" s="1">
        <v>2.65</v>
      </c>
      <c r="G780" s="1">
        <v>2.5</v>
      </c>
      <c r="H780" s="10">
        <f t="shared" si="12"/>
        <v>5.6603773584905648E-2</v>
      </c>
    </row>
    <row r="781" spans="1:8" x14ac:dyDescent="0.25">
      <c r="A781" s="4">
        <v>45982</v>
      </c>
      <c r="B781" t="s">
        <v>27</v>
      </c>
      <c r="C781" t="str">
        <f>_xlfn.IFNA(VLOOKUP($B781,ref!$B$2:$C$34,2,FALSE),"NA")</f>
        <v>Misc</v>
      </c>
      <c r="D781" s="5" t="s">
        <v>46</v>
      </c>
      <c r="E781">
        <v>8</v>
      </c>
      <c r="F781" s="1">
        <v>2.65</v>
      </c>
      <c r="G781" s="1">
        <v>2.5</v>
      </c>
      <c r="H781" s="10">
        <f t="shared" si="12"/>
        <v>5.6603773584905648E-2</v>
      </c>
    </row>
    <row r="782" spans="1:8" x14ac:dyDescent="0.25">
      <c r="A782" s="4">
        <v>45982</v>
      </c>
      <c r="B782" t="s">
        <v>29</v>
      </c>
      <c r="C782" t="str">
        <f>_xlfn.IFNA(VLOOKUP($B782,ref!$B$2:$C$34,2,FALSE),"NA")</f>
        <v>Spot</v>
      </c>
      <c r="D782" s="5" t="s">
        <v>47</v>
      </c>
      <c r="E782">
        <v>8</v>
      </c>
      <c r="F782" s="1">
        <v>1.2</v>
      </c>
      <c r="G782" s="1">
        <v>1.05</v>
      </c>
      <c r="H782" s="10">
        <f t="shared" si="12"/>
        <v>0.12499999999999989</v>
      </c>
    </row>
    <row r="783" spans="1:8" x14ac:dyDescent="0.25">
      <c r="A783" s="4">
        <v>45982</v>
      </c>
      <c r="B783" t="s">
        <v>29</v>
      </c>
      <c r="C783" t="str">
        <f>_xlfn.IFNA(VLOOKUP($B783,ref!$B$2:$C$34,2,FALSE),"NA")</f>
        <v>Spot</v>
      </c>
      <c r="D783" s="5" t="s">
        <v>46</v>
      </c>
      <c r="E783">
        <v>8</v>
      </c>
      <c r="F783" s="1">
        <v>2.95</v>
      </c>
      <c r="G783" s="1">
        <v>2.75</v>
      </c>
      <c r="H783" s="10">
        <f t="shared" si="12"/>
        <v>6.7796610169491567E-2</v>
      </c>
    </row>
    <row r="784" spans="1:8" x14ac:dyDescent="0.25">
      <c r="A784" s="4">
        <v>45982</v>
      </c>
      <c r="B784" t="s">
        <v>29</v>
      </c>
      <c r="C784" t="str">
        <f>_xlfn.IFNA(VLOOKUP($B784,ref!$B$2:$C$34,2,FALSE),"NA")</f>
        <v>Spot</v>
      </c>
      <c r="D784" s="5" t="s">
        <v>47</v>
      </c>
      <c r="E784">
        <v>8</v>
      </c>
      <c r="F784" s="1">
        <v>1.2</v>
      </c>
      <c r="G784" s="1">
        <v>1.05</v>
      </c>
      <c r="H784" s="10">
        <f t="shared" si="12"/>
        <v>0.12499999999999989</v>
      </c>
    </row>
    <row r="785" spans="1:8" x14ac:dyDescent="0.25">
      <c r="A785" s="4">
        <v>45982</v>
      </c>
      <c r="B785" t="s">
        <v>29</v>
      </c>
      <c r="C785" t="str">
        <f>_xlfn.IFNA(VLOOKUP($B785,ref!$B$2:$C$34,2,FALSE),"NA")</f>
        <v>Spot</v>
      </c>
      <c r="D785" s="5" t="s">
        <v>46</v>
      </c>
      <c r="E785">
        <v>8</v>
      </c>
      <c r="F785" s="1">
        <v>2.95</v>
      </c>
      <c r="G785" s="1">
        <v>2.75</v>
      </c>
      <c r="H785" s="10">
        <f t="shared" si="12"/>
        <v>6.7796610169491567E-2</v>
      </c>
    </row>
    <row r="786" spans="1:8" x14ac:dyDescent="0.25">
      <c r="A786" s="4">
        <v>45981</v>
      </c>
      <c r="B786" t="s">
        <v>27</v>
      </c>
      <c r="C786" t="str">
        <f>_xlfn.IFNA(VLOOKUP($B786,ref!$B$2:$C$34,2,FALSE),"NA")</f>
        <v>Misc</v>
      </c>
      <c r="D786" s="5" t="s">
        <v>46</v>
      </c>
      <c r="E786">
        <v>8</v>
      </c>
      <c r="F786" s="1">
        <v>2.8</v>
      </c>
      <c r="G786" s="1">
        <v>2.4500000000000002</v>
      </c>
      <c r="H786" s="10">
        <f t="shared" si="12"/>
        <v>0.12499999999999989</v>
      </c>
    </row>
    <row r="787" spans="1:8" x14ac:dyDescent="0.25">
      <c r="A787" s="4">
        <v>45981</v>
      </c>
      <c r="B787" t="s">
        <v>29</v>
      </c>
      <c r="C787" t="str">
        <f>_xlfn.IFNA(VLOOKUP($B787,ref!$B$2:$C$34,2,FALSE),"NA")</f>
        <v>Spot</v>
      </c>
      <c r="D787" s="5" t="s">
        <v>46</v>
      </c>
      <c r="E787">
        <v>8</v>
      </c>
      <c r="F787" s="1">
        <v>2.8</v>
      </c>
      <c r="G787" s="1">
        <v>2.4500000000000002</v>
      </c>
      <c r="H787" s="10">
        <f t="shared" si="12"/>
        <v>0.12499999999999989</v>
      </c>
    </row>
    <row r="788" spans="1:8" x14ac:dyDescent="0.25">
      <c r="A788" s="4">
        <v>45981</v>
      </c>
      <c r="B788" t="s">
        <v>29</v>
      </c>
      <c r="C788" t="str">
        <f>_xlfn.IFNA(VLOOKUP($B788,ref!$B$2:$C$34,2,FALSE),"NA")</f>
        <v>Spot</v>
      </c>
      <c r="D788" s="5" t="s">
        <v>47</v>
      </c>
      <c r="E788">
        <v>8</v>
      </c>
      <c r="F788" s="1">
        <v>1.2</v>
      </c>
      <c r="G788" s="1">
        <v>1.05</v>
      </c>
      <c r="H788" s="10">
        <f t="shared" si="12"/>
        <v>0.12499999999999989</v>
      </c>
    </row>
    <row r="789" spans="1:8" x14ac:dyDescent="0.25">
      <c r="A789" s="4">
        <v>45981</v>
      </c>
      <c r="B789" t="s">
        <v>29</v>
      </c>
      <c r="C789" t="str">
        <f>_xlfn.IFNA(VLOOKUP($B789,ref!$B$2:$C$34,2,FALSE),"NA")</f>
        <v>Spot</v>
      </c>
      <c r="D789" s="5" t="s">
        <v>46</v>
      </c>
      <c r="E789">
        <v>8</v>
      </c>
      <c r="F789" s="1">
        <v>2.8</v>
      </c>
      <c r="G789" s="1">
        <v>2.4500000000000002</v>
      </c>
      <c r="H789" s="10">
        <f t="shared" si="12"/>
        <v>0.12499999999999989</v>
      </c>
    </row>
    <row r="790" spans="1:8" x14ac:dyDescent="0.25">
      <c r="A790" s="4">
        <v>45981</v>
      </c>
      <c r="B790" t="s">
        <v>27</v>
      </c>
      <c r="C790" t="str">
        <f>_xlfn.IFNA(VLOOKUP($B790,ref!$B$2:$C$34,2,FALSE),"NA")</f>
        <v>Misc</v>
      </c>
      <c r="D790" s="5" t="s">
        <v>46</v>
      </c>
      <c r="E790">
        <v>8</v>
      </c>
      <c r="F790" s="1">
        <v>2.8</v>
      </c>
      <c r="G790" s="1">
        <v>2.4500000000000002</v>
      </c>
      <c r="H790" s="10">
        <f t="shared" si="12"/>
        <v>0.12499999999999989</v>
      </c>
    </row>
    <row r="791" spans="1:8" x14ac:dyDescent="0.25">
      <c r="A791" s="4">
        <v>45981</v>
      </c>
      <c r="B791" t="s">
        <v>29</v>
      </c>
      <c r="C791" t="str">
        <f>_xlfn.IFNA(VLOOKUP($B791,ref!$B$2:$C$34,2,FALSE),"NA")</f>
        <v>Spot</v>
      </c>
      <c r="D791" s="5" t="s">
        <v>47</v>
      </c>
      <c r="E791">
        <v>8</v>
      </c>
      <c r="F791" s="1">
        <v>1.2</v>
      </c>
      <c r="G791" s="1">
        <v>1.05</v>
      </c>
      <c r="H791" s="10">
        <f t="shared" si="12"/>
        <v>0.12499999999999989</v>
      </c>
    </row>
    <row r="792" spans="1:8" x14ac:dyDescent="0.25">
      <c r="A792" s="4">
        <v>45981</v>
      </c>
      <c r="B792" t="s">
        <v>27</v>
      </c>
      <c r="C792" t="str">
        <f>_xlfn.IFNA(VLOOKUP($B792,ref!$B$2:$C$34,2,FALSE),"NA")</f>
        <v>Misc</v>
      </c>
      <c r="D792" s="5" t="s">
        <v>46</v>
      </c>
      <c r="E792">
        <v>8</v>
      </c>
      <c r="F792" s="1">
        <v>2.8</v>
      </c>
      <c r="G792" s="1">
        <v>2.4500000000000002</v>
      </c>
      <c r="H792" s="10">
        <f t="shared" si="12"/>
        <v>0.12499999999999989</v>
      </c>
    </row>
    <row r="793" spans="1:8" x14ac:dyDescent="0.25">
      <c r="A793" s="4">
        <v>45981</v>
      </c>
      <c r="B793" t="s">
        <v>27</v>
      </c>
      <c r="C793" t="str">
        <f>_xlfn.IFNA(VLOOKUP($B793,ref!$B$2:$C$34,2,FALSE),"NA")</f>
        <v>Misc</v>
      </c>
      <c r="D793" s="5" t="s">
        <v>46</v>
      </c>
      <c r="E793">
        <v>8</v>
      </c>
      <c r="F793" s="1">
        <v>2.8</v>
      </c>
      <c r="G793" s="1">
        <v>2.4500000000000002</v>
      </c>
      <c r="H793" s="10">
        <f t="shared" si="12"/>
        <v>0.12499999999999989</v>
      </c>
    </row>
    <row r="794" spans="1:8" x14ac:dyDescent="0.25">
      <c r="A794" s="4">
        <v>45980</v>
      </c>
      <c r="B794" t="s">
        <v>29</v>
      </c>
      <c r="C794" t="str">
        <f>_xlfn.IFNA(VLOOKUP($B794,ref!$B$2:$C$34,2,FALSE),"NA")</f>
        <v>Spot</v>
      </c>
      <c r="D794" s="5" t="s">
        <v>41</v>
      </c>
      <c r="E794">
        <v>8</v>
      </c>
      <c r="F794" s="1">
        <v>0.43</v>
      </c>
      <c r="G794" s="1">
        <v>0.372</v>
      </c>
      <c r="H794" s="10">
        <f t="shared" si="12"/>
        <v>0.1348837209302326</v>
      </c>
    </row>
    <row r="795" spans="1:8" x14ac:dyDescent="0.25">
      <c r="A795" s="4">
        <v>45980</v>
      </c>
      <c r="B795" t="s">
        <v>31</v>
      </c>
      <c r="C795" t="str">
        <f>_xlfn.IFNA(VLOOKUP($B795,ref!$B$2:$C$34,2,FALSE),"NA")</f>
        <v>1 Month</v>
      </c>
      <c r="D795" s="5">
        <v>4090</v>
      </c>
      <c r="E795">
        <v>8</v>
      </c>
      <c r="F795" s="1">
        <v>0.36</v>
      </c>
      <c r="G795" s="1">
        <v>0.32</v>
      </c>
      <c r="H795" s="10">
        <f t="shared" si="12"/>
        <v>0.11111111111111105</v>
      </c>
    </row>
    <row r="796" spans="1:8" x14ac:dyDescent="0.25">
      <c r="A796" s="4">
        <v>45980</v>
      </c>
      <c r="B796" t="s">
        <v>29</v>
      </c>
      <c r="C796" t="str">
        <f>_xlfn.IFNA(VLOOKUP($B796,ref!$B$2:$C$34,2,FALSE),"NA")</f>
        <v>Spot</v>
      </c>
      <c r="D796" s="5" t="s">
        <v>41</v>
      </c>
      <c r="E796">
        <v>8</v>
      </c>
      <c r="F796" s="1">
        <v>0.43</v>
      </c>
      <c r="G796" s="1">
        <v>0.372</v>
      </c>
      <c r="H796" s="10">
        <f t="shared" si="12"/>
        <v>0.1348837209302326</v>
      </c>
    </row>
    <row r="797" spans="1:8" x14ac:dyDescent="0.25">
      <c r="A797" s="4">
        <v>45979</v>
      </c>
      <c r="B797" t="s">
        <v>29</v>
      </c>
      <c r="C797" t="str">
        <f>_xlfn.IFNA(VLOOKUP($B797,ref!$B$2:$C$34,2,FALSE),"NA")</f>
        <v>Spot</v>
      </c>
      <c r="D797" s="5" t="s">
        <v>41</v>
      </c>
      <c r="E797">
        <v>8</v>
      </c>
      <c r="F797" s="1">
        <v>0.43</v>
      </c>
      <c r="G797" s="1">
        <v>0.372</v>
      </c>
      <c r="H797" s="10">
        <f t="shared" si="12"/>
        <v>0.1348837209302326</v>
      </c>
    </row>
    <row r="798" spans="1:8" x14ac:dyDescent="0.25">
      <c r="A798" s="4">
        <v>45979</v>
      </c>
      <c r="C798" t="str">
        <f>_xlfn.IFNA(VLOOKUP($B798,ref!$B$2:$C$34,2,FALSE),"NA")</f>
        <v>NA</v>
      </c>
      <c r="D798" s="5" t="s">
        <v>7</v>
      </c>
      <c r="E798">
        <v>8</v>
      </c>
      <c r="F798" s="1">
        <v>3.15</v>
      </c>
      <c r="G798" s="1">
        <v>2.7</v>
      </c>
      <c r="H798" s="10">
        <f t="shared" si="12"/>
        <v>0.14285714285714279</v>
      </c>
    </row>
    <row r="799" spans="1:8" x14ac:dyDescent="0.25">
      <c r="A799" s="4">
        <v>45979</v>
      </c>
      <c r="B799" t="s">
        <v>29</v>
      </c>
      <c r="C799" t="str">
        <f>_xlfn.IFNA(VLOOKUP($B799,ref!$B$2:$C$34,2,FALSE),"NA")</f>
        <v>Spot</v>
      </c>
      <c r="D799" s="5" t="s">
        <v>41</v>
      </c>
      <c r="E799">
        <v>8</v>
      </c>
      <c r="F799" s="1">
        <v>0.43</v>
      </c>
      <c r="G799" s="1">
        <v>0.372</v>
      </c>
      <c r="H799" s="10">
        <f t="shared" si="12"/>
        <v>0.1348837209302326</v>
      </c>
    </row>
    <row r="800" spans="1:8" x14ac:dyDescent="0.25">
      <c r="A800" s="4">
        <v>45977</v>
      </c>
      <c r="B800" t="s">
        <v>29</v>
      </c>
      <c r="C800" t="str">
        <f>_xlfn.IFNA(VLOOKUP($B800,ref!$B$2:$C$34,2,FALSE),"NA")</f>
        <v>Spot</v>
      </c>
      <c r="D800" s="5" t="s">
        <v>41</v>
      </c>
      <c r="E800">
        <v>8</v>
      </c>
      <c r="F800" s="1">
        <v>0.43</v>
      </c>
      <c r="G800" s="1">
        <v>0.372</v>
      </c>
      <c r="H800" s="10">
        <f t="shared" si="12"/>
        <v>0.1348837209302326</v>
      </c>
    </row>
    <row r="801" spans="1:8" x14ac:dyDescent="0.25">
      <c r="A801" s="4">
        <v>45977</v>
      </c>
      <c r="B801" t="s">
        <v>29</v>
      </c>
      <c r="C801" t="str">
        <f>_xlfn.IFNA(VLOOKUP($B801,ref!$B$2:$C$34,2,FALSE),"NA")</f>
        <v>Spot</v>
      </c>
      <c r="D801" s="5" t="s">
        <v>41</v>
      </c>
      <c r="E801">
        <v>8</v>
      </c>
      <c r="F801" s="1">
        <v>0.43</v>
      </c>
      <c r="G801" s="1">
        <v>0.372</v>
      </c>
      <c r="H801" s="10">
        <f t="shared" si="12"/>
        <v>0.1348837209302326</v>
      </c>
    </row>
    <row r="802" spans="1:8" x14ac:dyDescent="0.25">
      <c r="A802" s="4">
        <v>45977</v>
      </c>
      <c r="B802" t="s">
        <v>29</v>
      </c>
      <c r="C802" t="str">
        <f>_xlfn.IFNA(VLOOKUP($B802,ref!$B$2:$C$34,2,FALSE),"NA")</f>
        <v>Spot</v>
      </c>
      <c r="D802" s="5" t="s">
        <v>47</v>
      </c>
      <c r="E802">
        <v>8</v>
      </c>
      <c r="F802" s="1">
        <v>1.2</v>
      </c>
      <c r="G802" s="1">
        <v>1.05</v>
      </c>
      <c r="H802" s="10">
        <f t="shared" si="12"/>
        <v>0.12499999999999989</v>
      </c>
    </row>
    <row r="803" spans="1:8" x14ac:dyDescent="0.25">
      <c r="A803" s="4">
        <v>45977</v>
      </c>
      <c r="B803" t="s">
        <v>9</v>
      </c>
      <c r="C803" t="str">
        <f>_xlfn.IFNA(VLOOKUP($B803,ref!$B$2:$C$34,2,FALSE),"NA")</f>
        <v>12 Month</v>
      </c>
      <c r="D803" s="5" t="s">
        <v>7</v>
      </c>
      <c r="E803">
        <v>8</v>
      </c>
      <c r="F803" s="1">
        <v>2</v>
      </c>
      <c r="G803" s="1">
        <v>1.85</v>
      </c>
      <c r="H803" s="10">
        <f t="shared" si="12"/>
        <v>7.4999999999999956E-2</v>
      </c>
    </row>
    <row r="804" spans="1:8" x14ac:dyDescent="0.25">
      <c r="A804" s="4">
        <v>45975</v>
      </c>
      <c r="B804" t="s">
        <v>6</v>
      </c>
      <c r="C804" t="str">
        <f>_xlfn.IFNA(VLOOKUP($B804,ref!$B$2:$C$34,2,FALSE),"NA")</f>
        <v>3 Month</v>
      </c>
      <c r="D804" s="5" t="s">
        <v>46</v>
      </c>
      <c r="E804">
        <v>8</v>
      </c>
      <c r="F804" s="1">
        <v>3.3</v>
      </c>
      <c r="G804" s="1">
        <v>3.15</v>
      </c>
      <c r="H804" s="10">
        <f t="shared" si="12"/>
        <v>4.5454545454545414E-2</v>
      </c>
    </row>
    <row r="805" spans="1:8" x14ac:dyDescent="0.25">
      <c r="A805" s="4">
        <v>45975</v>
      </c>
      <c r="B805" t="s">
        <v>31</v>
      </c>
      <c r="C805" t="str">
        <f>_xlfn.IFNA(VLOOKUP($B805,ref!$B$2:$C$34,2,FALSE),"NA")</f>
        <v>1 Month</v>
      </c>
      <c r="D805" s="5">
        <v>3090</v>
      </c>
      <c r="E805">
        <v>8</v>
      </c>
      <c r="F805" s="1">
        <v>0.25</v>
      </c>
      <c r="G805" s="1">
        <v>0.22</v>
      </c>
      <c r="H805" s="10">
        <f t="shared" si="12"/>
        <v>0.12</v>
      </c>
    </row>
    <row r="806" spans="1:8" x14ac:dyDescent="0.25">
      <c r="A806" s="4">
        <v>45975</v>
      </c>
      <c r="B806" t="s">
        <v>6</v>
      </c>
      <c r="C806" t="str">
        <f>_xlfn.IFNA(VLOOKUP($B806,ref!$B$2:$C$34,2,FALSE),"NA")</f>
        <v>3 Month</v>
      </c>
      <c r="D806" s="5" t="s">
        <v>46</v>
      </c>
      <c r="E806">
        <v>8</v>
      </c>
      <c r="F806" s="1">
        <v>3.3</v>
      </c>
      <c r="G806" s="1">
        <v>3.15</v>
      </c>
      <c r="H806" s="10">
        <f t="shared" si="12"/>
        <v>4.5454545454545414E-2</v>
      </c>
    </row>
    <row r="807" spans="1:8" x14ac:dyDescent="0.25">
      <c r="A807" s="4">
        <v>45975</v>
      </c>
      <c r="B807" t="s">
        <v>35</v>
      </c>
      <c r="C807" t="str">
        <f>_xlfn.IFNA(VLOOKUP($B807,ref!$B$2:$C$34,2,FALSE),"NA")</f>
        <v>Misc</v>
      </c>
      <c r="D807" s="5" t="s">
        <v>46</v>
      </c>
      <c r="E807">
        <v>8</v>
      </c>
      <c r="F807" s="1">
        <v>2.8</v>
      </c>
      <c r="G807" s="1">
        <v>2.65</v>
      </c>
      <c r="H807" s="10">
        <f t="shared" si="12"/>
        <v>5.3571428571428492E-2</v>
      </c>
    </row>
    <row r="808" spans="1:8" x14ac:dyDescent="0.25">
      <c r="A808" s="4">
        <v>45975</v>
      </c>
      <c r="B808" t="s">
        <v>31</v>
      </c>
      <c r="C808" t="str">
        <f>_xlfn.IFNA(VLOOKUP($B808,ref!$B$2:$C$34,2,FALSE),"NA")</f>
        <v>1 Month</v>
      </c>
      <c r="D808" s="5">
        <v>3090</v>
      </c>
      <c r="E808">
        <v>8</v>
      </c>
      <c r="F808" s="1">
        <v>0.25</v>
      </c>
      <c r="G808" s="1">
        <v>0.22</v>
      </c>
      <c r="H808" s="10">
        <f t="shared" si="12"/>
        <v>0.12</v>
      </c>
    </row>
    <row r="809" spans="1:8" x14ac:dyDescent="0.25">
      <c r="A809" s="4">
        <v>45975</v>
      </c>
      <c r="B809" t="s">
        <v>35</v>
      </c>
      <c r="C809" t="str">
        <f>_xlfn.IFNA(VLOOKUP($B809,ref!$B$2:$C$34,2,FALSE),"NA")</f>
        <v>Misc</v>
      </c>
      <c r="D809" s="5" t="s">
        <v>46</v>
      </c>
      <c r="E809">
        <v>8</v>
      </c>
      <c r="F809" s="1">
        <v>2.8</v>
      </c>
      <c r="G809" s="1">
        <v>2.65</v>
      </c>
      <c r="H809" s="10">
        <f t="shared" si="12"/>
        <v>5.3571428571428492E-2</v>
      </c>
    </row>
    <row r="810" spans="1:8" x14ac:dyDescent="0.25">
      <c r="A810" s="4">
        <v>45975</v>
      </c>
      <c r="B810" t="s">
        <v>35</v>
      </c>
      <c r="C810" t="str">
        <f>_xlfn.IFNA(VLOOKUP($B810,ref!$B$2:$C$34,2,FALSE),"NA")</f>
        <v>Misc</v>
      </c>
      <c r="D810" s="5" t="s">
        <v>46</v>
      </c>
      <c r="E810">
        <v>8</v>
      </c>
      <c r="F810" s="1">
        <v>2.8</v>
      </c>
      <c r="G810" s="1">
        <v>2.65</v>
      </c>
      <c r="H810" s="10">
        <f t="shared" si="12"/>
        <v>5.3571428571428492E-2</v>
      </c>
    </row>
    <row r="811" spans="1:8" x14ac:dyDescent="0.25">
      <c r="A811" s="4">
        <v>45975</v>
      </c>
      <c r="B811" t="s">
        <v>31</v>
      </c>
      <c r="C811" t="str">
        <f>_xlfn.IFNA(VLOOKUP($B811,ref!$B$2:$C$34,2,FALSE),"NA")</f>
        <v>1 Month</v>
      </c>
      <c r="D811" s="5">
        <v>3090</v>
      </c>
      <c r="E811">
        <v>8</v>
      </c>
      <c r="F811" s="1">
        <v>0.25</v>
      </c>
      <c r="G811" s="1">
        <v>0.22</v>
      </c>
      <c r="H811" s="10">
        <f t="shared" si="12"/>
        <v>0.12</v>
      </c>
    </row>
    <row r="812" spans="1:8" x14ac:dyDescent="0.25">
      <c r="A812" s="4">
        <v>45975</v>
      </c>
      <c r="B812" t="s">
        <v>35</v>
      </c>
      <c r="C812" t="str">
        <f>_xlfn.IFNA(VLOOKUP($B812,ref!$B$2:$C$34,2,FALSE),"NA")</f>
        <v>Misc</v>
      </c>
      <c r="D812" s="5" t="s">
        <v>46</v>
      </c>
      <c r="E812">
        <v>8</v>
      </c>
      <c r="F812" s="1">
        <v>2.8</v>
      </c>
      <c r="G812" s="1">
        <v>2.65</v>
      </c>
      <c r="H812" s="10">
        <f t="shared" si="12"/>
        <v>5.3571428571428492E-2</v>
      </c>
    </row>
    <row r="813" spans="1:8" x14ac:dyDescent="0.25">
      <c r="A813" s="4">
        <v>45975</v>
      </c>
      <c r="B813" t="s">
        <v>6</v>
      </c>
      <c r="C813" t="str">
        <f>_xlfn.IFNA(VLOOKUP($B813,ref!$B$2:$C$34,2,FALSE),"NA")</f>
        <v>3 Month</v>
      </c>
      <c r="D813" s="5" t="s">
        <v>46</v>
      </c>
      <c r="E813">
        <v>8</v>
      </c>
      <c r="F813" s="1">
        <v>3.3</v>
      </c>
      <c r="G813" s="1">
        <v>3.15</v>
      </c>
      <c r="H813" s="10">
        <f t="shared" si="12"/>
        <v>4.5454545454545414E-2</v>
      </c>
    </row>
    <row r="814" spans="1:8" x14ac:dyDescent="0.25">
      <c r="A814" s="4">
        <v>45974</v>
      </c>
      <c r="B814" t="s">
        <v>31</v>
      </c>
      <c r="C814" t="str">
        <f>_xlfn.IFNA(VLOOKUP($B814,ref!$B$2:$C$34,2,FALSE),"NA")</f>
        <v>1 Month</v>
      </c>
      <c r="D814" s="5" t="s">
        <v>46</v>
      </c>
      <c r="E814">
        <v>8</v>
      </c>
      <c r="F814" s="1">
        <v>3.5</v>
      </c>
      <c r="G814" s="1">
        <v>3.4</v>
      </c>
      <c r="H814" s="10">
        <f t="shared" si="12"/>
        <v>2.8571428571428581E-2</v>
      </c>
    </row>
    <row r="815" spans="1:8" x14ac:dyDescent="0.25">
      <c r="A815" s="4">
        <v>45974</v>
      </c>
      <c r="B815" t="s">
        <v>14</v>
      </c>
      <c r="C815" t="str">
        <f>_xlfn.IFNA(VLOOKUP($B815,ref!$B$2:$C$34,2,FALSE),"NA")</f>
        <v>Spot</v>
      </c>
      <c r="D815" s="5" t="s">
        <v>58</v>
      </c>
      <c r="E815">
        <v>8</v>
      </c>
      <c r="F815" s="1">
        <v>1.3</v>
      </c>
      <c r="G815" s="1">
        <v>1.06</v>
      </c>
      <c r="H815" s="10">
        <f t="shared" si="12"/>
        <v>0.18461538461538463</v>
      </c>
    </row>
    <row r="816" spans="1:8" x14ac:dyDescent="0.25">
      <c r="A816" s="4">
        <v>45974</v>
      </c>
      <c r="B816" t="s">
        <v>14</v>
      </c>
      <c r="C816" t="str">
        <f>_xlfn.IFNA(VLOOKUP($B816,ref!$B$2:$C$34,2,FALSE),"NA")</f>
        <v>Spot</v>
      </c>
      <c r="D816" s="5" t="s">
        <v>58</v>
      </c>
      <c r="E816">
        <v>8</v>
      </c>
      <c r="F816" s="1">
        <v>1.3</v>
      </c>
      <c r="G816" s="1">
        <v>1.06</v>
      </c>
      <c r="H816" s="10">
        <f t="shared" si="12"/>
        <v>0.18461538461538463</v>
      </c>
    </row>
    <row r="817" spans="1:8" x14ac:dyDescent="0.25">
      <c r="A817" s="4">
        <v>45974</v>
      </c>
      <c r="B817" t="s">
        <v>14</v>
      </c>
      <c r="C817" t="str">
        <f>_xlfn.IFNA(VLOOKUP($B817,ref!$B$2:$C$34,2,FALSE),"NA")</f>
        <v>Spot</v>
      </c>
      <c r="D817" s="5" t="s">
        <v>58</v>
      </c>
      <c r="E817">
        <v>8</v>
      </c>
      <c r="F817" s="1">
        <v>1.3</v>
      </c>
      <c r="G817" s="1">
        <v>1.06</v>
      </c>
      <c r="H817" s="10">
        <f t="shared" si="12"/>
        <v>0.18461538461538463</v>
      </c>
    </row>
    <row r="818" spans="1:8" x14ac:dyDescent="0.25">
      <c r="A818" s="4">
        <v>45974</v>
      </c>
      <c r="B818" t="s">
        <v>31</v>
      </c>
      <c r="C818" t="str">
        <f>_xlfn.IFNA(VLOOKUP($B818,ref!$B$2:$C$34,2,FALSE),"NA")</f>
        <v>1 Month</v>
      </c>
      <c r="D818" s="5" t="s">
        <v>46</v>
      </c>
      <c r="E818">
        <v>8</v>
      </c>
      <c r="F818" s="1">
        <v>3.5</v>
      </c>
      <c r="G818" s="1">
        <v>3.4</v>
      </c>
      <c r="H818" s="10">
        <f t="shared" si="12"/>
        <v>2.8571428571428581E-2</v>
      </c>
    </row>
    <row r="819" spans="1:8" x14ac:dyDescent="0.25">
      <c r="A819" s="4">
        <v>45974</v>
      </c>
      <c r="B819" t="s">
        <v>14</v>
      </c>
      <c r="C819" t="str">
        <f>_xlfn.IFNA(VLOOKUP($B819,ref!$B$2:$C$34,2,FALSE),"NA")</f>
        <v>Spot</v>
      </c>
      <c r="D819" s="5" t="s">
        <v>58</v>
      </c>
      <c r="E819">
        <v>8</v>
      </c>
      <c r="F819" s="1">
        <v>1.3</v>
      </c>
      <c r="G819" s="1">
        <v>1.06</v>
      </c>
      <c r="H819" s="10">
        <f t="shared" si="12"/>
        <v>0.18461538461538463</v>
      </c>
    </row>
    <row r="820" spans="1:8" x14ac:dyDescent="0.25">
      <c r="A820" s="4">
        <v>45974</v>
      </c>
      <c r="B820" t="s">
        <v>31</v>
      </c>
      <c r="C820" t="str">
        <f>_xlfn.IFNA(VLOOKUP($B820,ref!$B$2:$C$34,2,FALSE),"NA")</f>
        <v>1 Month</v>
      </c>
      <c r="D820" s="5" t="s">
        <v>46</v>
      </c>
      <c r="E820">
        <v>8</v>
      </c>
      <c r="F820" s="1">
        <v>3.5</v>
      </c>
      <c r="G820" s="1">
        <v>3.4</v>
      </c>
      <c r="H820" s="10">
        <f t="shared" si="12"/>
        <v>2.8571428571428581E-2</v>
      </c>
    </row>
    <row r="821" spans="1:8" x14ac:dyDescent="0.25">
      <c r="A821" s="4">
        <v>45973</v>
      </c>
      <c r="B821" t="s">
        <v>35</v>
      </c>
      <c r="C821" t="str">
        <f>_xlfn.IFNA(VLOOKUP($B821,ref!$B$2:$C$34,2,FALSE),"NA")</f>
        <v>Misc</v>
      </c>
      <c r="D821" s="5" t="s">
        <v>46</v>
      </c>
      <c r="E821">
        <v>8</v>
      </c>
      <c r="F821" s="1">
        <v>2.8</v>
      </c>
      <c r="G821" s="1">
        <v>2.65</v>
      </c>
      <c r="H821" s="10">
        <f t="shared" si="12"/>
        <v>5.3571428571428492E-2</v>
      </c>
    </row>
    <row r="822" spans="1:8" x14ac:dyDescent="0.25">
      <c r="A822" s="4">
        <v>45972</v>
      </c>
      <c r="B822" t="s">
        <v>29</v>
      </c>
      <c r="C822" t="str">
        <f>_xlfn.IFNA(VLOOKUP($B822,ref!$B$2:$C$34,2,FALSE),"NA")</f>
        <v>Spot</v>
      </c>
      <c r="D822" s="5" t="s">
        <v>34</v>
      </c>
      <c r="E822">
        <v>8</v>
      </c>
      <c r="F822" s="1">
        <v>0.34</v>
      </c>
      <c r="G822" s="1">
        <v>0.29799999999999999</v>
      </c>
      <c r="H822" s="10">
        <f t="shared" si="12"/>
        <v>0.123529411764706</v>
      </c>
    </row>
    <row r="823" spans="1:8" x14ac:dyDescent="0.25">
      <c r="A823" s="4">
        <v>45972</v>
      </c>
      <c r="B823" t="s">
        <v>29</v>
      </c>
      <c r="C823" t="str">
        <f>_xlfn.IFNA(VLOOKUP($B823,ref!$B$2:$C$34,2,FALSE),"NA")</f>
        <v>Spot</v>
      </c>
      <c r="D823" s="5" t="s">
        <v>34</v>
      </c>
      <c r="E823">
        <v>8</v>
      </c>
      <c r="F823" s="1">
        <v>0.34</v>
      </c>
      <c r="G823" s="1">
        <v>0.29799999999999999</v>
      </c>
      <c r="H823" s="10">
        <f t="shared" si="12"/>
        <v>0.123529411764706</v>
      </c>
    </row>
    <row r="824" spans="1:8" x14ac:dyDescent="0.25">
      <c r="A824" s="4">
        <v>45969</v>
      </c>
      <c r="C824" t="str">
        <f>_xlfn.IFNA(VLOOKUP($B824,ref!$B$2:$C$34,2,FALSE),"NA")</f>
        <v>NA</v>
      </c>
      <c r="D824" s="5" t="s">
        <v>40</v>
      </c>
      <c r="E824">
        <v>8</v>
      </c>
      <c r="F824" s="1">
        <v>0.3</v>
      </c>
      <c r="G824" s="1">
        <v>0.28499999999999998</v>
      </c>
      <c r="H824" s="10">
        <f t="shared" si="12"/>
        <v>5.0000000000000044E-2</v>
      </c>
    </row>
    <row r="825" spans="1:8" x14ac:dyDescent="0.25">
      <c r="A825" s="4">
        <v>45968</v>
      </c>
      <c r="B825" t="s">
        <v>12</v>
      </c>
      <c r="C825" t="str">
        <f>_xlfn.IFNA(VLOOKUP($B825,ref!$B$2:$C$34,2,FALSE),"NA")</f>
        <v>Spot</v>
      </c>
      <c r="D825" s="5">
        <v>5090</v>
      </c>
      <c r="E825">
        <v>8</v>
      </c>
      <c r="F825" s="1">
        <v>0.73</v>
      </c>
      <c r="G825" s="1">
        <v>0.62</v>
      </c>
      <c r="H825" s="10">
        <f t="shared" si="12"/>
        <v>0.15068493150684925</v>
      </c>
    </row>
    <row r="826" spans="1:8" x14ac:dyDescent="0.25">
      <c r="A826" s="4">
        <v>45968</v>
      </c>
      <c r="B826" t="s">
        <v>12</v>
      </c>
      <c r="C826" t="str">
        <f>_xlfn.IFNA(VLOOKUP($B826,ref!$B$2:$C$34,2,FALSE),"NA")</f>
        <v>Spot</v>
      </c>
      <c r="D826" s="5">
        <v>5090</v>
      </c>
      <c r="E826">
        <v>8</v>
      </c>
      <c r="F826" s="1">
        <v>0.73</v>
      </c>
      <c r="G826" s="1">
        <v>0.62</v>
      </c>
      <c r="H826" s="10">
        <f t="shared" si="12"/>
        <v>0.15068493150684925</v>
      </c>
    </row>
    <row r="827" spans="1:8" x14ac:dyDescent="0.25">
      <c r="A827" s="4">
        <v>45968</v>
      </c>
      <c r="B827" t="s">
        <v>35</v>
      </c>
      <c r="C827" t="str">
        <f>_xlfn.IFNA(VLOOKUP($B827,ref!$B$2:$C$34,2,FALSE),"NA")</f>
        <v>Misc</v>
      </c>
      <c r="D827" s="5" t="s">
        <v>46</v>
      </c>
      <c r="E827">
        <v>8</v>
      </c>
      <c r="F827" s="1">
        <v>3.15</v>
      </c>
      <c r="G827" s="1">
        <v>3.05</v>
      </c>
      <c r="H827" s="10">
        <f t="shared" si="12"/>
        <v>3.1746031746031744E-2</v>
      </c>
    </row>
    <row r="828" spans="1:8" x14ac:dyDescent="0.25">
      <c r="A828" s="4">
        <v>45968</v>
      </c>
      <c r="B828" t="s">
        <v>35</v>
      </c>
      <c r="C828" t="str">
        <f>_xlfn.IFNA(VLOOKUP($B828,ref!$B$2:$C$34,2,FALSE),"NA")</f>
        <v>Misc</v>
      </c>
      <c r="D828" s="5" t="s">
        <v>46</v>
      </c>
      <c r="E828">
        <v>8</v>
      </c>
      <c r="F828" s="1">
        <v>3.15</v>
      </c>
      <c r="G828" s="1">
        <v>3.05</v>
      </c>
      <c r="H828" s="10">
        <f t="shared" si="12"/>
        <v>3.1746031746031744E-2</v>
      </c>
    </row>
    <row r="829" spans="1:8" x14ac:dyDescent="0.25">
      <c r="A829" s="4">
        <v>45968</v>
      </c>
      <c r="B829" t="s">
        <v>12</v>
      </c>
      <c r="C829" t="str">
        <f>_xlfn.IFNA(VLOOKUP($B829,ref!$B$2:$C$34,2,FALSE),"NA")</f>
        <v>Spot</v>
      </c>
      <c r="D829" s="5">
        <v>5090</v>
      </c>
      <c r="E829">
        <v>8</v>
      </c>
      <c r="F829" s="1">
        <v>0.73</v>
      </c>
      <c r="G829" s="1">
        <v>0.62</v>
      </c>
      <c r="H829" s="10">
        <f t="shared" si="12"/>
        <v>0.15068493150684925</v>
      </c>
    </row>
    <row r="830" spans="1:8" x14ac:dyDescent="0.25">
      <c r="A830" s="4">
        <v>45968</v>
      </c>
      <c r="B830" t="s">
        <v>35</v>
      </c>
      <c r="C830" t="str">
        <f>_xlfn.IFNA(VLOOKUP($B830,ref!$B$2:$C$34,2,FALSE),"NA")</f>
        <v>Misc</v>
      </c>
      <c r="D830" s="5" t="s">
        <v>46</v>
      </c>
      <c r="E830">
        <v>8</v>
      </c>
      <c r="F830" s="1">
        <v>3.15</v>
      </c>
      <c r="G830" s="1">
        <v>3.05</v>
      </c>
      <c r="H830" s="10">
        <f t="shared" si="12"/>
        <v>3.1746031746031744E-2</v>
      </c>
    </row>
    <row r="831" spans="1:8" x14ac:dyDescent="0.25">
      <c r="A831" s="4">
        <v>45968</v>
      </c>
      <c r="B831" t="s">
        <v>35</v>
      </c>
      <c r="C831" t="str">
        <f>_xlfn.IFNA(VLOOKUP($B831,ref!$B$2:$C$34,2,FALSE),"NA")</f>
        <v>Misc</v>
      </c>
      <c r="D831" s="5" t="s">
        <v>46</v>
      </c>
      <c r="E831">
        <v>8</v>
      </c>
      <c r="F831" s="1">
        <v>3.15</v>
      </c>
      <c r="G831" s="1">
        <v>2.85</v>
      </c>
      <c r="H831" s="10">
        <f t="shared" si="12"/>
        <v>9.5238095238095233E-2</v>
      </c>
    </row>
    <row r="832" spans="1:8" x14ac:dyDescent="0.25">
      <c r="A832" s="4">
        <v>45968</v>
      </c>
      <c r="B832" t="s">
        <v>35</v>
      </c>
      <c r="C832" t="str">
        <f>_xlfn.IFNA(VLOOKUP($B832,ref!$B$2:$C$34,2,FALSE),"NA")</f>
        <v>Misc</v>
      </c>
      <c r="D832" s="5" t="s">
        <v>46</v>
      </c>
      <c r="E832">
        <v>8</v>
      </c>
      <c r="F832" s="1">
        <v>3.15</v>
      </c>
      <c r="G832" s="1">
        <v>2.85</v>
      </c>
      <c r="H832" s="10">
        <f t="shared" si="12"/>
        <v>9.5238095238095233E-2</v>
      </c>
    </row>
    <row r="833" spans="1:8" x14ac:dyDescent="0.25">
      <c r="A833" s="4">
        <v>45968</v>
      </c>
      <c r="B833" t="s">
        <v>35</v>
      </c>
      <c r="C833" t="str">
        <f>_xlfn.IFNA(VLOOKUP($B833,ref!$B$2:$C$34,2,FALSE),"NA")</f>
        <v>Misc</v>
      </c>
      <c r="D833" s="5" t="s">
        <v>46</v>
      </c>
      <c r="E833">
        <v>8</v>
      </c>
      <c r="F833" s="1">
        <v>3.15</v>
      </c>
      <c r="G833" s="1">
        <v>2.85</v>
      </c>
      <c r="H833" s="10">
        <f t="shared" si="12"/>
        <v>9.5238095238095233E-2</v>
      </c>
    </row>
    <row r="834" spans="1:8" x14ac:dyDescent="0.25">
      <c r="A834" s="4">
        <v>45968</v>
      </c>
      <c r="C834" t="str">
        <f>_xlfn.IFNA(VLOOKUP($B834,ref!$B$2:$C$34,2,FALSE),"NA")</f>
        <v>NA</v>
      </c>
      <c r="D834" s="5" t="s">
        <v>40</v>
      </c>
      <c r="E834">
        <v>8</v>
      </c>
      <c r="F834" s="1">
        <v>0.3</v>
      </c>
      <c r="G834" s="1">
        <v>0.28499999999999998</v>
      </c>
      <c r="H834" s="10">
        <f t="shared" si="12"/>
        <v>5.0000000000000044E-2</v>
      </c>
    </row>
    <row r="835" spans="1:8" x14ac:dyDescent="0.25">
      <c r="A835" s="4">
        <v>45968</v>
      </c>
      <c r="B835" t="s">
        <v>35</v>
      </c>
      <c r="C835" t="str">
        <f>_xlfn.IFNA(VLOOKUP($B835,ref!$B$2:$C$34,2,FALSE),"NA")</f>
        <v>Misc</v>
      </c>
      <c r="D835" s="5" t="s">
        <v>46</v>
      </c>
      <c r="E835">
        <v>8</v>
      </c>
      <c r="F835" s="1">
        <v>3.15</v>
      </c>
      <c r="G835" s="1">
        <v>2.85</v>
      </c>
      <c r="H835" s="10">
        <f t="shared" ref="H835:H898" si="13">1-(G835/F835)</f>
        <v>9.5238095238095233E-2</v>
      </c>
    </row>
    <row r="836" spans="1:8" x14ac:dyDescent="0.25">
      <c r="A836" s="4">
        <v>45968</v>
      </c>
      <c r="B836" t="s">
        <v>31</v>
      </c>
      <c r="C836" t="str">
        <f>_xlfn.IFNA(VLOOKUP($B836,ref!$B$2:$C$34,2,FALSE),"NA")</f>
        <v>1 Month</v>
      </c>
      <c r="D836" s="5" t="s">
        <v>46</v>
      </c>
      <c r="E836">
        <v>8</v>
      </c>
      <c r="F836" s="1">
        <v>3.5</v>
      </c>
      <c r="G836" s="1">
        <v>3.28</v>
      </c>
      <c r="H836" s="10">
        <f t="shared" si="13"/>
        <v>6.2857142857142945E-2</v>
      </c>
    </row>
    <row r="837" spans="1:8" x14ac:dyDescent="0.25">
      <c r="A837" s="4">
        <v>45968</v>
      </c>
      <c r="B837" t="s">
        <v>12</v>
      </c>
      <c r="C837" t="str">
        <f>_xlfn.IFNA(VLOOKUP($B837,ref!$B$2:$C$34,2,FALSE),"NA")</f>
        <v>Spot</v>
      </c>
      <c r="D837" s="5">
        <v>5090</v>
      </c>
      <c r="E837">
        <v>8</v>
      </c>
      <c r="F837" s="1">
        <v>0.73</v>
      </c>
      <c r="G837" s="1">
        <v>0.62</v>
      </c>
      <c r="H837" s="10">
        <f t="shared" si="13"/>
        <v>0.15068493150684925</v>
      </c>
    </row>
    <row r="838" spans="1:8" x14ac:dyDescent="0.25">
      <c r="A838" s="4">
        <v>45967</v>
      </c>
      <c r="B838" t="s">
        <v>29</v>
      </c>
      <c r="C838" t="str">
        <f>_xlfn.IFNA(VLOOKUP($B838,ref!$B$2:$C$34,2,FALSE),"NA")</f>
        <v>Spot</v>
      </c>
      <c r="D838" s="5" t="s">
        <v>40</v>
      </c>
      <c r="E838">
        <v>8</v>
      </c>
      <c r="F838" s="1">
        <v>0.25</v>
      </c>
      <c r="G838" s="1">
        <v>0.219</v>
      </c>
      <c r="H838" s="10">
        <f t="shared" si="13"/>
        <v>0.124</v>
      </c>
    </row>
    <row r="839" spans="1:8" x14ac:dyDescent="0.25">
      <c r="A839" s="4">
        <v>45967</v>
      </c>
      <c r="B839" t="s">
        <v>29</v>
      </c>
      <c r="C839" t="str">
        <f>_xlfn.IFNA(VLOOKUP($B839,ref!$B$2:$C$34,2,FALSE),"NA")</f>
        <v>Spot</v>
      </c>
      <c r="D839" s="5" t="s">
        <v>40</v>
      </c>
      <c r="E839">
        <v>8</v>
      </c>
      <c r="F839" s="1">
        <v>0.25</v>
      </c>
      <c r="G839" s="1">
        <v>0.219</v>
      </c>
      <c r="H839" s="10">
        <f t="shared" si="13"/>
        <v>0.124</v>
      </c>
    </row>
    <row r="840" spans="1:8" x14ac:dyDescent="0.25">
      <c r="A840" s="4">
        <v>45967</v>
      </c>
      <c r="B840" t="s">
        <v>29</v>
      </c>
      <c r="C840" t="str">
        <f>_xlfn.IFNA(VLOOKUP($B840,ref!$B$2:$C$34,2,FALSE),"NA")</f>
        <v>Spot</v>
      </c>
      <c r="D840" s="5" t="s">
        <v>40</v>
      </c>
      <c r="E840">
        <v>8</v>
      </c>
      <c r="F840" s="1">
        <v>0.25</v>
      </c>
      <c r="G840" s="1">
        <v>0.219</v>
      </c>
      <c r="H840" s="10">
        <f t="shared" si="13"/>
        <v>0.124</v>
      </c>
    </row>
    <row r="841" spans="1:8" x14ac:dyDescent="0.25">
      <c r="A841" s="4">
        <v>45967</v>
      </c>
      <c r="B841" t="s">
        <v>29</v>
      </c>
      <c r="C841" t="str">
        <f>_xlfn.IFNA(VLOOKUP($B841,ref!$B$2:$C$34,2,FALSE),"NA")</f>
        <v>Spot</v>
      </c>
      <c r="D841" s="5" t="s">
        <v>40</v>
      </c>
      <c r="E841">
        <v>8</v>
      </c>
      <c r="F841" s="1">
        <v>0.25</v>
      </c>
      <c r="G841" s="1">
        <v>0.219</v>
      </c>
      <c r="H841" s="10">
        <f t="shared" si="13"/>
        <v>0.124</v>
      </c>
    </row>
    <row r="842" spans="1:8" x14ac:dyDescent="0.25">
      <c r="A842" s="4">
        <v>45965</v>
      </c>
      <c r="C842" t="str">
        <f>_xlfn.IFNA(VLOOKUP($B842,ref!$B$2:$C$34,2,FALSE),"NA")</f>
        <v>NA</v>
      </c>
      <c r="D842" s="5" t="s">
        <v>46</v>
      </c>
      <c r="E842">
        <v>8</v>
      </c>
      <c r="F842" s="1">
        <v>3.4</v>
      </c>
      <c r="G842" s="1">
        <v>3.3</v>
      </c>
      <c r="H842" s="10">
        <f t="shared" si="13"/>
        <v>2.9411764705882359E-2</v>
      </c>
    </row>
    <row r="843" spans="1:8" x14ac:dyDescent="0.25">
      <c r="A843" s="4">
        <v>45961</v>
      </c>
      <c r="B843" t="s">
        <v>29</v>
      </c>
      <c r="C843" t="str">
        <f>_xlfn.IFNA(VLOOKUP($B843,ref!$B$2:$C$34,2,FALSE),"NA")</f>
        <v>Spot</v>
      </c>
      <c r="D843" s="5" t="s">
        <v>34</v>
      </c>
      <c r="E843">
        <v>8</v>
      </c>
      <c r="F843" s="1">
        <v>0.12</v>
      </c>
      <c r="G843" s="1">
        <v>0.105</v>
      </c>
      <c r="H843" s="10">
        <f t="shared" si="13"/>
        <v>0.125</v>
      </c>
    </row>
    <row r="844" spans="1:8" x14ac:dyDescent="0.25">
      <c r="A844" s="4">
        <v>45961</v>
      </c>
      <c r="B844" t="s">
        <v>29</v>
      </c>
      <c r="C844" t="str">
        <f>_xlfn.IFNA(VLOOKUP($B844,ref!$B$2:$C$34,2,FALSE),"NA")</f>
        <v>Spot</v>
      </c>
      <c r="D844" s="5" t="s">
        <v>34</v>
      </c>
      <c r="E844">
        <v>8</v>
      </c>
      <c r="F844" s="1">
        <v>0.12</v>
      </c>
      <c r="G844" s="1">
        <v>0.105</v>
      </c>
      <c r="H844" s="10">
        <f t="shared" si="13"/>
        <v>0.125</v>
      </c>
    </row>
    <row r="845" spans="1:8" x14ac:dyDescent="0.25">
      <c r="A845" s="4">
        <v>45961</v>
      </c>
      <c r="B845" t="s">
        <v>29</v>
      </c>
      <c r="C845" t="str">
        <f>_xlfn.IFNA(VLOOKUP($B845,ref!$B$2:$C$34,2,FALSE),"NA")</f>
        <v>Spot</v>
      </c>
      <c r="D845" s="5" t="s">
        <v>34</v>
      </c>
      <c r="E845">
        <v>8</v>
      </c>
      <c r="F845" s="1">
        <v>0.12</v>
      </c>
      <c r="G845" s="1">
        <v>0.105</v>
      </c>
      <c r="H845" s="10">
        <f t="shared" si="13"/>
        <v>0.125</v>
      </c>
    </row>
    <row r="846" spans="1:8" x14ac:dyDescent="0.25">
      <c r="A846" s="4">
        <v>45958</v>
      </c>
      <c r="B846" t="s">
        <v>31</v>
      </c>
      <c r="C846" t="str">
        <f>_xlfn.IFNA(VLOOKUP($B846,ref!$B$2:$C$34,2,FALSE),"NA")</f>
        <v>1 Month</v>
      </c>
      <c r="D846" s="5" t="s">
        <v>13</v>
      </c>
      <c r="E846">
        <v>8</v>
      </c>
      <c r="F846" s="1">
        <v>1.1299999999999999</v>
      </c>
      <c r="G846" s="1">
        <v>1.03</v>
      </c>
      <c r="H846" s="10">
        <f t="shared" si="13"/>
        <v>8.8495575221238854E-2</v>
      </c>
    </row>
    <row r="847" spans="1:8" x14ac:dyDescent="0.25">
      <c r="A847" s="4">
        <v>45947</v>
      </c>
      <c r="B847" t="s">
        <v>29</v>
      </c>
      <c r="C847" t="str">
        <f>_xlfn.IFNA(VLOOKUP($B847,ref!$B$2:$C$34,2,FALSE),"NA")</f>
        <v>Spot</v>
      </c>
      <c r="D847" s="5" t="s">
        <v>40</v>
      </c>
      <c r="E847">
        <v>8</v>
      </c>
      <c r="F847" s="1">
        <v>0.45</v>
      </c>
      <c r="G847" s="1">
        <v>0.39400000000000002</v>
      </c>
      <c r="H847" s="10">
        <f t="shared" si="13"/>
        <v>0.12444444444444447</v>
      </c>
    </row>
    <row r="848" spans="1:8" x14ac:dyDescent="0.25">
      <c r="A848" s="4">
        <v>45947</v>
      </c>
      <c r="B848" t="s">
        <v>29</v>
      </c>
      <c r="C848" t="str">
        <f>_xlfn.IFNA(VLOOKUP($B848,ref!$B$2:$C$34,2,FALSE),"NA")</f>
        <v>Spot</v>
      </c>
      <c r="D848" s="5" t="s">
        <v>40</v>
      </c>
      <c r="E848">
        <v>8</v>
      </c>
      <c r="F848" s="1">
        <v>0.45</v>
      </c>
      <c r="G848" s="1">
        <v>0.39400000000000002</v>
      </c>
      <c r="H848" s="10">
        <f t="shared" si="13"/>
        <v>0.12444444444444447</v>
      </c>
    </row>
    <row r="849" spans="1:8" x14ac:dyDescent="0.25">
      <c r="A849" s="4">
        <v>45947</v>
      </c>
      <c r="B849" t="s">
        <v>29</v>
      </c>
      <c r="C849" t="str">
        <f>_xlfn.IFNA(VLOOKUP($B849,ref!$B$2:$C$34,2,FALSE),"NA")</f>
        <v>Spot</v>
      </c>
      <c r="D849" s="5" t="s">
        <v>40</v>
      </c>
      <c r="E849">
        <v>8</v>
      </c>
      <c r="F849" s="1">
        <v>0.45</v>
      </c>
      <c r="G849" s="1">
        <v>0.39400000000000002</v>
      </c>
      <c r="H849" s="10">
        <f t="shared" si="13"/>
        <v>0.12444444444444447</v>
      </c>
    </row>
    <row r="850" spans="1:8" x14ac:dyDescent="0.25">
      <c r="A850" s="4">
        <v>45947</v>
      </c>
      <c r="B850" t="s">
        <v>29</v>
      </c>
      <c r="C850" t="str">
        <f>_xlfn.IFNA(VLOOKUP($B850,ref!$B$2:$C$34,2,FALSE),"NA")</f>
        <v>Spot</v>
      </c>
      <c r="D850" s="5" t="s">
        <v>40</v>
      </c>
      <c r="E850">
        <v>8</v>
      </c>
      <c r="F850" s="1">
        <v>0.4</v>
      </c>
      <c r="G850" s="1">
        <v>0.35</v>
      </c>
      <c r="H850" s="10">
        <f t="shared" si="13"/>
        <v>0.12500000000000011</v>
      </c>
    </row>
    <row r="851" spans="1:8" x14ac:dyDescent="0.25">
      <c r="A851" s="4">
        <v>45947</v>
      </c>
      <c r="B851" t="s">
        <v>29</v>
      </c>
      <c r="C851" t="str">
        <f>_xlfn.IFNA(VLOOKUP($B851,ref!$B$2:$C$34,2,FALSE),"NA")</f>
        <v>Spot</v>
      </c>
      <c r="D851" s="5" t="s">
        <v>40</v>
      </c>
      <c r="E851">
        <v>8</v>
      </c>
      <c r="F851" s="1">
        <v>0.45</v>
      </c>
      <c r="G851" s="1">
        <v>0.39400000000000002</v>
      </c>
      <c r="H851" s="10">
        <f t="shared" si="13"/>
        <v>0.12444444444444447</v>
      </c>
    </row>
    <row r="852" spans="1:8" x14ac:dyDescent="0.25">
      <c r="A852" s="4">
        <v>45947</v>
      </c>
      <c r="B852" t="s">
        <v>29</v>
      </c>
      <c r="C852" t="str">
        <f>_xlfn.IFNA(VLOOKUP($B852,ref!$B$2:$C$34,2,FALSE),"NA")</f>
        <v>Spot</v>
      </c>
      <c r="D852" s="5" t="s">
        <v>40</v>
      </c>
      <c r="E852">
        <v>8</v>
      </c>
      <c r="F852" s="1">
        <v>0.45</v>
      </c>
      <c r="G852" s="1">
        <v>0.39400000000000002</v>
      </c>
      <c r="H852" s="10">
        <f t="shared" si="13"/>
        <v>0.12444444444444447</v>
      </c>
    </row>
    <row r="853" spans="1:8" x14ac:dyDescent="0.25">
      <c r="A853" s="4">
        <v>45947</v>
      </c>
      <c r="B853" t="s">
        <v>29</v>
      </c>
      <c r="C853" t="str">
        <f>_xlfn.IFNA(VLOOKUP($B853,ref!$B$2:$C$34,2,FALSE),"NA")</f>
        <v>Spot</v>
      </c>
      <c r="D853" s="5" t="s">
        <v>40</v>
      </c>
      <c r="E853">
        <v>8</v>
      </c>
      <c r="F853" s="1">
        <v>0.4</v>
      </c>
      <c r="G853" s="1">
        <v>0.35</v>
      </c>
      <c r="H853" s="10">
        <f t="shared" si="13"/>
        <v>0.12500000000000011</v>
      </c>
    </row>
    <row r="854" spans="1:8" x14ac:dyDescent="0.25">
      <c r="A854" s="4">
        <v>45947</v>
      </c>
      <c r="B854" t="s">
        <v>29</v>
      </c>
      <c r="C854" t="str">
        <f>_xlfn.IFNA(VLOOKUP($B854,ref!$B$2:$C$34,2,FALSE),"NA")</f>
        <v>Spot</v>
      </c>
      <c r="D854" s="5" t="s">
        <v>40</v>
      </c>
      <c r="E854">
        <v>8</v>
      </c>
      <c r="F854" s="1">
        <v>0.45</v>
      </c>
      <c r="G854" s="1">
        <v>0.39400000000000002</v>
      </c>
      <c r="H854" s="10">
        <f t="shared" si="13"/>
        <v>0.12444444444444447</v>
      </c>
    </row>
    <row r="855" spans="1:8" x14ac:dyDescent="0.25">
      <c r="A855" s="4">
        <v>45947</v>
      </c>
      <c r="B855" t="s">
        <v>29</v>
      </c>
      <c r="C855" t="str">
        <f>_xlfn.IFNA(VLOOKUP($B855,ref!$B$2:$C$34,2,FALSE),"NA")</f>
        <v>Spot</v>
      </c>
      <c r="D855" s="5" t="s">
        <v>40</v>
      </c>
      <c r="E855">
        <v>8</v>
      </c>
      <c r="F855" s="1">
        <v>0.4</v>
      </c>
      <c r="G855" s="1">
        <v>0.35</v>
      </c>
      <c r="H855" s="10">
        <f t="shared" si="13"/>
        <v>0.12500000000000011</v>
      </c>
    </row>
    <row r="856" spans="1:8" x14ac:dyDescent="0.25">
      <c r="A856" s="4">
        <v>45947</v>
      </c>
      <c r="B856" t="s">
        <v>29</v>
      </c>
      <c r="C856" t="str">
        <f>_xlfn.IFNA(VLOOKUP($B856,ref!$B$2:$C$34,2,FALSE),"NA")</f>
        <v>Spot</v>
      </c>
      <c r="D856" s="5" t="s">
        <v>40</v>
      </c>
      <c r="E856">
        <v>8</v>
      </c>
      <c r="F856" s="1">
        <v>0.45</v>
      </c>
      <c r="G856" s="1">
        <v>0.39400000000000002</v>
      </c>
      <c r="H856" s="10">
        <f t="shared" si="13"/>
        <v>0.12444444444444447</v>
      </c>
    </row>
    <row r="857" spans="1:8" x14ac:dyDescent="0.25">
      <c r="A857" s="4">
        <v>45947</v>
      </c>
      <c r="B857" t="s">
        <v>29</v>
      </c>
      <c r="C857" t="str">
        <f>_xlfn.IFNA(VLOOKUP($B857,ref!$B$2:$C$34,2,FALSE),"NA")</f>
        <v>Spot</v>
      </c>
      <c r="D857" s="5" t="s">
        <v>40</v>
      </c>
      <c r="E857">
        <v>8</v>
      </c>
      <c r="F857" s="1">
        <v>0.4</v>
      </c>
      <c r="G857" s="1">
        <v>0.35</v>
      </c>
      <c r="H857" s="10">
        <f t="shared" si="13"/>
        <v>0.12500000000000011</v>
      </c>
    </row>
    <row r="858" spans="1:8" x14ac:dyDescent="0.25">
      <c r="A858" s="4">
        <v>45947</v>
      </c>
      <c r="B858" t="s">
        <v>29</v>
      </c>
      <c r="C858" t="str">
        <f>_xlfn.IFNA(VLOOKUP($B858,ref!$B$2:$C$34,2,FALSE),"NA")</f>
        <v>Spot</v>
      </c>
      <c r="D858" s="5" t="s">
        <v>40</v>
      </c>
      <c r="E858">
        <v>8</v>
      </c>
      <c r="F858" s="1">
        <v>0.45</v>
      </c>
      <c r="G858" s="1">
        <v>0.39400000000000002</v>
      </c>
      <c r="H858" s="10">
        <f t="shared" si="13"/>
        <v>0.12444444444444447</v>
      </c>
    </row>
    <row r="859" spans="1:8" x14ac:dyDescent="0.25">
      <c r="A859" s="4">
        <v>45947</v>
      </c>
      <c r="B859" t="s">
        <v>29</v>
      </c>
      <c r="C859" t="str">
        <f>_xlfn.IFNA(VLOOKUP($B859,ref!$B$2:$C$34,2,FALSE),"NA")</f>
        <v>Spot</v>
      </c>
      <c r="D859" s="5" t="s">
        <v>40</v>
      </c>
      <c r="E859">
        <v>8</v>
      </c>
      <c r="F859" s="1">
        <v>0.4</v>
      </c>
      <c r="G859" s="1">
        <v>0.35</v>
      </c>
      <c r="H859" s="10">
        <f t="shared" si="13"/>
        <v>0.12500000000000011</v>
      </c>
    </row>
    <row r="860" spans="1:8" x14ac:dyDescent="0.25">
      <c r="A860" s="4">
        <v>45947</v>
      </c>
      <c r="B860" t="s">
        <v>29</v>
      </c>
      <c r="C860" t="str">
        <f>_xlfn.IFNA(VLOOKUP($B860,ref!$B$2:$C$34,2,FALSE),"NA")</f>
        <v>Spot</v>
      </c>
      <c r="D860" s="5" t="s">
        <v>40</v>
      </c>
      <c r="E860">
        <v>8</v>
      </c>
      <c r="F860" s="1">
        <v>0.45</v>
      </c>
      <c r="G860" s="1">
        <v>0.39400000000000002</v>
      </c>
      <c r="H860" s="10">
        <f t="shared" si="13"/>
        <v>0.12444444444444447</v>
      </c>
    </row>
    <row r="861" spans="1:8" x14ac:dyDescent="0.25">
      <c r="A861" s="4">
        <v>45947</v>
      </c>
      <c r="B861" t="s">
        <v>29</v>
      </c>
      <c r="C861" t="str">
        <f>_xlfn.IFNA(VLOOKUP($B861,ref!$B$2:$C$34,2,FALSE),"NA")</f>
        <v>Spot</v>
      </c>
      <c r="D861" s="5" t="s">
        <v>40</v>
      </c>
      <c r="E861">
        <v>8</v>
      </c>
      <c r="F861" s="1">
        <v>0.4</v>
      </c>
      <c r="G861" s="1">
        <v>0.35</v>
      </c>
      <c r="H861" s="10">
        <f t="shared" si="13"/>
        <v>0.12500000000000011</v>
      </c>
    </row>
    <row r="862" spans="1:8" x14ac:dyDescent="0.25">
      <c r="A862" s="4">
        <v>45947</v>
      </c>
      <c r="B862" t="s">
        <v>29</v>
      </c>
      <c r="C862" t="str">
        <f>_xlfn.IFNA(VLOOKUP($B862,ref!$B$2:$C$34,2,FALSE),"NA")</f>
        <v>Spot</v>
      </c>
      <c r="D862" s="5" t="s">
        <v>40</v>
      </c>
      <c r="E862">
        <v>8</v>
      </c>
      <c r="F862" s="1">
        <v>0.45</v>
      </c>
      <c r="G862" s="1">
        <v>0.39400000000000002</v>
      </c>
      <c r="H862" s="10">
        <f t="shared" si="13"/>
        <v>0.12444444444444447</v>
      </c>
    </row>
    <row r="863" spans="1:8" x14ac:dyDescent="0.25">
      <c r="A863" s="4">
        <v>45947</v>
      </c>
      <c r="B863" t="s">
        <v>29</v>
      </c>
      <c r="C863" t="str">
        <f>_xlfn.IFNA(VLOOKUP($B863,ref!$B$2:$C$34,2,FALSE),"NA")</f>
        <v>Spot</v>
      </c>
      <c r="D863" s="5" t="s">
        <v>40</v>
      </c>
      <c r="E863">
        <v>8</v>
      </c>
      <c r="F863" s="1">
        <v>0.4</v>
      </c>
      <c r="G863" s="1">
        <v>0.35</v>
      </c>
      <c r="H863" s="10">
        <f t="shared" si="13"/>
        <v>0.12500000000000011</v>
      </c>
    </row>
    <row r="864" spans="1:8" x14ac:dyDescent="0.25">
      <c r="A864" s="4">
        <v>45939</v>
      </c>
      <c r="B864" t="s">
        <v>31</v>
      </c>
      <c r="C864" t="str">
        <f>_xlfn.IFNA(VLOOKUP($B864,ref!$B$2:$C$34,2,FALSE),"NA")</f>
        <v>1 Month</v>
      </c>
      <c r="D864" s="5">
        <v>3090</v>
      </c>
      <c r="E864">
        <v>8</v>
      </c>
      <c r="F864" s="1">
        <v>0.25</v>
      </c>
      <c r="G864" s="1">
        <v>0.22</v>
      </c>
      <c r="H864" s="10">
        <f t="shared" si="13"/>
        <v>0.12</v>
      </c>
    </row>
    <row r="865" spans="1:8" x14ac:dyDescent="0.25">
      <c r="A865" s="4">
        <v>45939</v>
      </c>
      <c r="B865" t="s">
        <v>31</v>
      </c>
      <c r="C865" t="str">
        <f>_xlfn.IFNA(VLOOKUP($B865,ref!$B$2:$C$34,2,FALSE),"NA")</f>
        <v>1 Month</v>
      </c>
      <c r="D865" s="5" t="s">
        <v>46</v>
      </c>
      <c r="E865">
        <v>8</v>
      </c>
      <c r="F865" s="1">
        <v>3.5</v>
      </c>
      <c r="G865" s="1">
        <v>3.28</v>
      </c>
      <c r="H865" s="10">
        <f t="shared" si="13"/>
        <v>6.2857142857142945E-2</v>
      </c>
    </row>
    <row r="866" spans="1:8" x14ac:dyDescent="0.25">
      <c r="A866" s="4">
        <v>45939</v>
      </c>
      <c r="B866" t="s">
        <v>56</v>
      </c>
      <c r="C866" t="str">
        <f>_xlfn.IFNA(VLOOKUP($B866,ref!$B$2:$C$34,2,FALSE),"NA")</f>
        <v>Spot</v>
      </c>
      <c r="D866" s="5">
        <v>3090</v>
      </c>
      <c r="E866">
        <v>8</v>
      </c>
      <c r="F866" s="1">
        <v>0.25</v>
      </c>
      <c r="G866" s="1">
        <v>0.22</v>
      </c>
      <c r="H866" s="10">
        <f t="shared" si="13"/>
        <v>0.12</v>
      </c>
    </row>
    <row r="867" spans="1:8" x14ac:dyDescent="0.25">
      <c r="A867" s="4">
        <v>45931</v>
      </c>
      <c r="B867" t="s">
        <v>6</v>
      </c>
      <c r="C867" t="str">
        <f>_xlfn.IFNA(VLOOKUP($B867,ref!$B$2:$C$34,2,FALSE),"NA")</f>
        <v>3 Month</v>
      </c>
      <c r="D867" s="5" t="s">
        <v>13</v>
      </c>
      <c r="E867">
        <v>8</v>
      </c>
      <c r="F867" s="1">
        <v>1.06</v>
      </c>
      <c r="G867" s="1">
        <v>0.93</v>
      </c>
      <c r="H867" s="10">
        <f t="shared" si="13"/>
        <v>0.12264150943396224</v>
      </c>
    </row>
    <row r="868" spans="1:8" x14ac:dyDescent="0.25">
      <c r="A868" s="4">
        <v>45931</v>
      </c>
      <c r="B868" t="s">
        <v>6</v>
      </c>
      <c r="C868" t="str">
        <f>_xlfn.IFNA(VLOOKUP($B868,ref!$B$2:$C$34,2,FALSE),"NA")</f>
        <v>3 Month</v>
      </c>
      <c r="D868" s="5" t="s">
        <v>13</v>
      </c>
      <c r="E868">
        <v>8</v>
      </c>
      <c r="F868" s="1">
        <v>1.06</v>
      </c>
      <c r="G868" s="1">
        <v>0.93</v>
      </c>
      <c r="H868" s="10">
        <f t="shared" si="13"/>
        <v>0.12264150943396224</v>
      </c>
    </row>
    <row r="869" spans="1:8" x14ac:dyDescent="0.25">
      <c r="A869" s="4">
        <v>45931</v>
      </c>
      <c r="B869" t="s">
        <v>6</v>
      </c>
      <c r="C869" t="str">
        <f>_xlfn.IFNA(VLOOKUP($B869,ref!$B$2:$C$34,2,FALSE),"NA")</f>
        <v>3 Month</v>
      </c>
      <c r="D869" s="5" t="s">
        <v>13</v>
      </c>
      <c r="E869">
        <v>8</v>
      </c>
      <c r="F869" s="1">
        <v>1.06</v>
      </c>
      <c r="G869" s="1">
        <v>0.93</v>
      </c>
      <c r="H869" s="10">
        <f t="shared" si="13"/>
        <v>0.12264150943396224</v>
      </c>
    </row>
    <row r="870" spans="1:8" x14ac:dyDescent="0.25">
      <c r="A870" s="4">
        <v>45931</v>
      </c>
      <c r="B870" t="s">
        <v>6</v>
      </c>
      <c r="C870" t="str">
        <f>_xlfn.IFNA(VLOOKUP($B870,ref!$B$2:$C$34,2,FALSE),"NA")</f>
        <v>3 Month</v>
      </c>
      <c r="D870" s="5" t="s">
        <v>13</v>
      </c>
      <c r="E870">
        <v>8</v>
      </c>
      <c r="F870" s="1">
        <v>1.06</v>
      </c>
      <c r="G870" s="1">
        <v>0.93</v>
      </c>
      <c r="H870" s="10">
        <f t="shared" si="13"/>
        <v>0.12264150943396224</v>
      </c>
    </row>
    <row r="871" spans="1:8" x14ac:dyDescent="0.25">
      <c r="A871" s="4">
        <v>45931</v>
      </c>
      <c r="B871" t="s">
        <v>6</v>
      </c>
      <c r="C871" t="str">
        <f>_xlfn.IFNA(VLOOKUP($B871,ref!$B$2:$C$34,2,FALSE),"NA")</f>
        <v>3 Month</v>
      </c>
      <c r="D871" s="5" t="s">
        <v>13</v>
      </c>
      <c r="E871">
        <v>8</v>
      </c>
      <c r="F871" s="1">
        <v>1.06</v>
      </c>
      <c r="G871" s="1">
        <v>0.93</v>
      </c>
      <c r="H871" s="10">
        <f t="shared" si="13"/>
        <v>0.12264150943396224</v>
      </c>
    </row>
    <row r="872" spans="1:8" x14ac:dyDescent="0.25">
      <c r="A872" s="4">
        <v>45930</v>
      </c>
      <c r="B872" t="s">
        <v>29</v>
      </c>
      <c r="C872" t="str">
        <f>_xlfn.IFNA(VLOOKUP($B872,ref!$B$2:$C$34,2,FALSE),"NA")</f>
        <v>Spot</v>
      </c>
      <c r="D872" s="5" t="s">
        <v>50</v>
      </c>
      <c r="E872">
        <v>8</v>
      </c>
      <c r="F872" s="1">
        <v>5</v>
      </c>
      <c r="G872" s="1">
        <v>4.375</v>
      </c>
      <c r="H872" s="10">
        <f t="shared" si="13"/>
        <v>0.125</v>
      </c>
    </row>
    <row r="873" spans="1:8" x14ac:dyDescent="0.25">
      <c r="A873" s="4">
        <v>45930</v>
      </c>
      <c r="B873" t="s">
        <v>29</v>
      </c>
      <c r="C873" t="str">
        <f>_xlfn.IFNA(VLOOKUP($B873,ref!$B$2:$C$34,2,FALSE),"NA")</f>
        <v>Spot</v>
      </c>
      <c r="D873" s="5" t="s">
        <v>50</v>
      </c>
      <c r="E873">
        <v>8</v>
      </c>
      <c r="F873" s="1">
        <v>5</v>
      </c>
      <c r="G873" s="1">
        <v>4.375</v>
      </c>
      <c r="H873" s="10">
        <f t="shared" si="13"/>
        <v>0.125</v>
      </c>
    </row>
    <row r="874" spans="1:8" x14ac:dyDescent="0.25">
      <c r="A874" s="4">
        <v>45922</v>
      </c>
      <c r="B874" t="s">
        <v>31</v>
      </c>
      <c r="C874" t="str">
        <f>_xlfn.IFNA(VLOOKUP($B874,ref!$B$2:$C$34,2,FALSE),"NA")</f>
        <v>1 Month</v>
      </c>
      <c r="D874" s="5" t="s">
        <v>7</v>
      </c>
      <c r="E874">
        <v>8</v>
      </c>
      <c r="F874" s="1">
        <v>1.75</v>
      </c>
      <c r="G874" s="1">
        <v>1.5</v>
      </c>
      <c r="H874" s="10">
        <f t="shared" si="13"/>
        <v>0.1428571428571429</v>
      </c>
    </row>
    <row r="875" spans="1:8" x14ac:dyDescent="0.25">
      <c r="A875" s="4">
        <v>45922</v>
      </c>
      <c r="B875" t="s">
        <v>31</v>
      </c>
      <c r="C875" t="str">
        <f>_xlfn.IFNA(VLOOKUP($B875,ref!$B$2:$C$34,2,FALSE),"NA")</f>
        <v>1 Month</v>
      </c>
      <c r="D875" s="5" t="s">
        <v>7</v>
      </c>
      <c r="E875">
        <v>8</v>
      </c>
      <c r="F875" s="1">
        <v>1.75</v>
      </c>
      <c r="G875" s="1">
        <v>1.5</v>
      </c>
      <c r="H875" s="10">
        <f t="shared" si="13"/>
        <v>0.1428571428571429</v>
      </c>
    </row>
    <row r="876" spans="1:8" x14ac:dyDescent="0.25">
      <c r="A876" s="4">
        <v>45922</v>
      </c>
      <c r="B876" t="s">
        <v>31</v>
      </c>
      <c r="C876" t="str">
        <f>_xlfn.IFNA(VLOOKUP($B876,ref!$B$2:$C$34,2,FALSE),"NA")</f>
        <v>1 Month</v>
      </c>
      <c r="D876" s="5" t="s">
        <v>7</v>
      </c>
      <c r="E876">
        <v>8</v>
      </c>
      <c r="F876" s="1">
        <v>1.75</v>
      </c>
      <c r="G876" s="1">
        <v>1.5</v>
      </c>
      <c r="H876" s="10">
        <f t="shared" si="13"/>
        <v>0.1428571428571429</v>
      </c>
    </row>
    <row r="877" spans="1:8" x14ac:dyDescent="0.25">
      <c r="A877" s="4">
        <v>45922</v>
      </c>
      <c r="B877" t="s">
        <v>31</v>
      </c>
      <c r="C877" t="str">
        <f>_xlfn.IFNA(VLOOKUP($B877,ref!$B$2:$C$34,2,FALSE),"NA")</f>
        <v>1 Month</v>
      </c>
      <c r="D877" s="5" t="s">
        <v>7</v>
      </c>
      <c r="E877">
        <v>8</v>
      </c>
      <c r="F877" s="1">
        <v>1.75</v>
      </c>
      <c r="G877" s="1">
        <v>1.5</v>
      </c>
      <c r="H877" s="10">
        <f t="shared" si="13"/>
        <v>0.1428571428571429</v>
      </c>
    </row>
    <row r="878" spans="1:8" x14ac:dyDescent="0.25">
      <c r="A878" s="4">
        <v>45922</v>
      </c>
      <c r="B878" t="s">
        <v>31</v>
      </c>
      <c r="C878" t="str">
        <f>_xlfn.IFNA(VLOOKUP($B878,ref!$B$2:$C$34,2,FALSE),"NA")</f>
        <v>1 Month</v>
      </c>
      <c r="D878" s="5" t="s">
        <v>7</v>
      </c>
      <c r="E878">
        <v>8</v>
      </c>
      <c r="F878" s="1">
        <v>1.75</v>
      </c>
      <c r="G878" s="1">
        <v>1.5</v>
      </c>
      <c r="H878" s="10">
        <f t="shared" si="13"/>
        <v>0.1428571428571429</v>
      </c>
    </row>
    <row r="879" spans="1:8" x14ac:dyDescent="0.25">
      <c r="A879" s="4">
        <v>45919</v>
      </c>
      <c r="C879" t="str">
        <f>_xlfn.IFNA(VLOOKUP($B879,ref!$B$2:$C$34,2,FALSE),"NA")</f>
        <v>NA</v>
      </c>
      <c r="D879" s="5" t="s">
        <v>13</v>
      </c>
      <c r="E879">
        <v>8</v>
      </c>
      <c r="F879" s="1">
        <v>1.06</v>
      </c>
      <c r="G879" s="1">
        <v>0.93</v>
      </c>
      <c r="H879" s="10">
        <f t="shared" si="13"/>
        <v>0.12264150943396224</v>
      </c>
    </row>
    <row r="880" spans="1:8" x14ac:dyDescent="0.25">
      <c r="A880" s="4">
        <v>45919</v>
      </c>
      <c r="C880" t="str">
        <f>_xlfn.IFNA(VLOOKUP($B880,ref!$B$2:$C$34,2,FALSE),"NA")</f>
        <v>NA</v>
      </c>
      <c r="D880" s="5" t="s">
        <v>46</v>
      </c>
      <c r="E880">
        <v>8</v>
      </c>
      <c r="F880" s="1">
        <v>4.1500000000000004</v>
      </c>
      <c r="G880" s="1">
        <v>3.75</v>
      </c>
      <c r="H880" s="10">
        <f t="shared" si="13"/>
        <v>9.6385542168674787E-2</v>
      </c>
    </row>
    <row r="881" spans="1:8" x14ac:dyDescent="0.25">
      <c r="A881" s="4">
        <v>45919</v>
      </c>
      <c r="C881" t="str">
        <f>_xlfn.IFNA(VLOOKUP($B881,ref!$B$2:$C$34,2,FALSE),"NA")</f>
        <v>NA</v>
      </c>
      <c r="D881" s="5" t="s">
        <v>13</v>
      </c>
      <c r="E881">
        <v>8</v>
      </c>
      <c r="F881" s="1">
        <v>1.08</v>
      </c>
      <c r="G881" s="1">
        <v>0.93</v>
      </c>
      <c r="H881" s="10">
        <f t="shared" si="13"/>
        <v>0.13888888888888895</v>
      </c>
    </row>
    <row r="882" spans="1:8" x14ac:dyDescent="0.25">
      <c r="A882" s="4">
        <v>45919</v>
      </c>
      <c r="B882" t="s">
        <v>9</v>
      </c>
      <c r="C882" t="str">
        <f>_xlfn.IFNA(VLOOKUP($B882,ref!$B$2:$C$34,2,FALSE),"NA")</f>
        <v>12 Month</v>
      </c>
      <c r="D882" s="5" t="s">
        <v>38</v>
      </c>
      <c r="E882">
        <v>8</v>
      </c>
      <c r="F882" s="1">
        <v>0.38</v>
      </c>
      <c r="G882" s="1">
        <v>0.38</v>
      </c>
      <c r="H882" s="10">
        <f t="shared" si="13"/>
        <v>0</v>
      </c>
    </row>
    <row r="883" spans="1:8" x14ac:dyDescent="0.25">
      <c r="A883" s="4">
        <v>45919</v>
      </c>
      <c r="B883" t="s">
        <v>31</v>
      </c>
      <c r="C883" t="str">
        <f>_xlfn.IFNA(VLOOKUP($B883,ref!$B$2:$C$34,2,FALSE),"NA")</f>
        <v>1 Month</v>
      </c>
      <c r="D883" s="5">
        <v>5090</v>
      </c>
      <c r="E883">
        <v>8</v>
      </c>
      <c r="F883" s="1">
        <v>0.7</v>
      </c>
      <c r="G883" s="1">
        <v>0.6</v>
      </c>
      <c r="H883" s="10">
        <f t="shared" si="13"/>
        <v>0.14285714285714279</v>
      </c>
    </row>
    <row r="884" spans="1:8" x14ac:dyDescent="0.25">
      <c r="A884" s="4">
        <v>45918</v>
      </c>
      <c r="B884" t="s">
        <v>29</v>
      </c>
      <c r="C884" t="str">
        <f>_xlfn.IFNA(VLOOKUP($B884,ref!$B$2:$C$34,2,FALSE),"NA")</f>
        <v>Spot</v>
      </c>
      <c r="D884" s="5" t="s">
        <v>40</v>
      </c>
      <c r="E884">
        <v>8</v>
      </c>
      <c r="F884" s="1">
        <v>0.45</v>
      </c>
      <c r="G884" s="1">
        <v>0.39400000000000002</v>
      </c>
      <c r="H884" s="10">
        <f t="shared" si="13"/>
        <v>0.12444444444444447</v>
      </c>
    </row>
    <row r="885" spans="1:8" x14ac:dyDescent="0.25">
      <c r="A885" s="4">
        <v>45918</v>
      </c>
      <c r="B885" t="s">
        <v>29</v>
      </c>
      <c r="C885" t="str">
        <f>_xlfn.IFNA(VLOOKUP($B885,ref!$B$2:$C$34,2,FALSE),"NA")</f>
        <v>Spot</v>
      </c>
      <c r="D885" s="5" t="s">
        <v>40</v>
      </c>
      <c r="E885">
        <v>8</v>
      </c>
      <c r="F885" s="1">
        <v>0.5</v>
      </c>
      <c r="G885" s="1">
        <v>0.438</v>
      </c>
      <c r="H885" s="10">
        <f t="shared" si="13"/>
        <v>0.124</v>
      </c>
    </row>
    <row r="886" spans="1:8" x14ac:dyDescent="0.25">
      <c r="A886" s="4">
        <v>45917</v>
      </c>
      <c r="B886" t="s">
        <v>29</v>
      </c>
      <c r="C886" t="str">
        <f>_xlfn.IFNA(VLOOKUP($B886,ref!$B$2:$C$34,2,FALSE),"NA")</f>
        <v>Spot</v>
      </c>
      <c r="D886" s="5" t="s">
        <v>52</v>
      </c>
      <c r="E886">
        <v>8</v>
      </c>
      <c r="F886" s="1">
        <v>0.55000000000000004</v>
      </c>
      <c r="G886" s="1">
        <v>0.48099999999999998</v>
      </c>
      <c r="H886" s="10">
        <f t="shared" si="13"/>
        <v>0.1254545454545456</v>
      </c>
    </row>
    <row r="887" spans="1:8" x14ac:dyDescent="0.25">
      <c r="A887" s="4">
        <v>45917</v>
      </c>
      <c r="B887" t="s">
        <v>29</v>
      </c>
      <c r="C887" t="str">
        <f>_xlfn.IFNA(VLOOKUP($B887,ref!$B$2:$C$34,2,FALSE),"NA")</f>
        <v>Spot</v>
      </c>
      <c r="D887" s="5" t="s">
        <v>52</v>
      </c>
      <c r="E887">
        <v>8</v>
      </c>
      <c r="F887" s="1">
        <v>0.55000000000000004</v>
      </c>
      <c r="G887" s="1">
        <v>0.48099999999999998</v>
      </c>
      <c r="H887" s="10">
        <f t="shared" si="13"/>
        <v>0.1254545454545456</v>
      </c>
    </row>
    <row r="888" spans="1:8" x14ac:dyDescent="0.25">
      <c r="A888" s="4">
        <v>45917</v>
      </c>
      <c r="B888" t="s">
        <v>29</v>
      </c>
      <c r="C888" t="str">
        <f>_xlfn.IFNA(VLOOKUP($B888,ref!$B$2:$C$34,2,FALSE),"NA")</f>
        <v>Spot</v>
      </c>
      <c r="D888" s="5" t="s">
        <v>52</v>
      </c>
      <c r="E888">
        <v>8</v>
      </c>
      <c r="F888" s="1">
        <v>0.55000000000000004</v>
      </c>
      <c r="G888" s="1">
        <v>0.48099999999999998</v>
      </c>
      <c r="H888" s="10">
        <f t="shared" si="13"/>
        <v>0.1254545454545456</v>
      </c>
    </row>
    <row r="889" spans="1:8" x14ac:dyDescent="0.25">
      <c r="A889" s="4">
        <v>45917</v>
      </c>
      <c r="B889" t="s">
        <v>29</v>
      </c>
      <c r="C889" t="str">
        <f>_xlfn.IFNA(VLOOKUP($B889,ref!$B$2:$C$34,2,FALSE),"NA")</f>
        <v>Spot</v>
      </c>
      <c r="D889" s="5" t="s">
        <v>52</v>
      </c>
      <c r="E889">
        <v>8</v>
      </c>
      <c r="F889" s="1">
        <v>0.55000000000000004</v>
      </c>
      <c r="G889" s="1">
        <v>0.48099999999999998</v>
      </c>
      <c r="H889" s="10">
        <f t="shared" si="13"/>
        <v>0.1254545454545456</v>
      </c>
    </row>
    <row r="890" spans="1:8" x14ac:dyDescent="0.25">
      <c r="A890" s="4">
        <v>45917</v>
      </c>
      <c r="B890" t="s">
        <v>29</v>
      </c>
      <c r="C890" t="str">
        <f>_xlfn.IFNA(VLOOKUP($B890,ref!$B$2:$C$34,2,FALSE),"NA")</f>
        <v>Spot</v>
      </c>
      <c r="D890" s="5" t="s">
        <v>52</v>
      </c>
      <c r="E890">
        <v>8</v>
      </c>
      <c r="F890" s="1">
        <v>0.55000000000000004</v>
      </c>
      <c r="G890" s="1">
        <v>0.48099999999999998</v>
      </c>
      <c r="H890" s="10">
        <f t="shared" si="13"/>
        <v>0.1254545454545456</v>
      </c>
    </row>
    <row r="891" spans="1:8" x14ac:dyDescent="0.25">
      <c r="A891" s="4">
        <v>45917</v>
      </c>
      <c r="B891" t="s">
        <v>29</v>
      </c>
      <c r="C891" t="str">
        <f>_xlfn.IFNA(VLOOKUP($B891,ref!$B$2:$C$34,2,FALSE),"NA")</f>
        <v>Spot</v>
      </c>
      <c r="D891" s="5" t="s">
        <v>52</v>
      </c>
      <c r="E891">
        <v>8</v>
      </c>
      <c r="F891" s="1">
        <v>0.55000000000000004</v>
      </c>
      <c r="G891" s="1">
        <v>0.48099999999999998</v>
      </c>
      <c r="H891" s="10">
        <f t="shared" si="13"/>
        <v>0.1254545454545456</v>
      </c>
    </row>
    <row r="892" spans="1:8" x14ac:dyDescent="0.25">
      <c r="A892" s="4">
        <v>45917</v>
      </c>
      <c r="B892" t="s">
        <v>29</v>
      </c>
      <c r="C892" t="str">
        <f>_xlfn.IFNA(VLOOKUP($B892,ref!$B$2:$C$34,2,FALSE),"NA")</f>
        <v>Spot</v>
      </c>
      <c r="D892" s="5" t="s">
        <v>52</v>
      </c>
      <c r="E892">
        <v>8</v>
      </c>
      <c r="F892" s="1">
        <v>0.55000000000000004</v>
      </c>
      <c r="G892" s="1">
        <v>0.48099999999999998</v>
      </c>
      <c r="H892" s="10">
        <f t="shared" si="13"/>
        <v>0.1254545454545456</v>
      </c>
    </row>
    <row r="893" spans="1:8" x14ac:dyDescent="0.25">
      <c r="A893" s="4">
        <v>45917</v>
      </c>
      <c r="B893" t="s">
        <v>29</v>
      </c>
      <c r="C893" t="str">
        <f>_xlfn.IFNA(VLOOKUP($B893,ref!$B$2:$C$34,2,FALSE),"NA")</f>
        <v>Spot</v>
      </c>
      <c r="D893" s="5" t="s">
        <v>40</v>
      </c>
      <c r="E893">
        <v>8</v>
      </c>
      <c r="F893" s="1">
        <v>0.55000000000000004</v>
      </c>
      <c r="G893" s="1">
        <v>0.48099999999999998</v>
      </c>
      <c r="H893" s="10">
        <f t="shared" si="13"/>
        <v>0.1254545454545456</v>
      </c>
    </row>
    <row r="894" spans="1:8" x14ac:dyDescent="0.25">
      <c r="A894" s="4">
        <v>45917</v>
      </c>
      <c r="B894" t="s">
        <v>29</v>
      </c>
      <c r="C894" t="str">
        <f>_xlfn.IFNA(VLOOKUP($B894,ref!$B$2:$C$34,2,FALSE),"NA")</f>
        <v>Spot</v>
      </c>
      <c r="D894" s="5" t="s">
        <v>40</v>
      </c>
      <c r="E894">
        <v>8</v>
      </c>
      <c r="F894" s="1">
        <v>0.45</v>
      </c>
      <c r="G894" s="1">
        <v>0.39400000000000002</v>
      </c>
      <c r="H894" s="10">
        <f t="shared" si="13"/>
        <v>0.12444444444444447</v>
      </c>
    </row>
    <row r="895" spans="1:8" x14ac:dyDescent="0.25">
      <c r="A895" s="4">
        <v>45917</v>
      </c>
      <c r="B895" t="s">
        <v>29</v>
      </c>
      <c r="C895" t="str">
        <f>_xlfn.IFNA(VLOOKUP($B895,ref!$B$2:$C$34,2,FALSE),"NA")</f>
        <v>Spot</v>
      </c>
      <c r="D895" s="5" t="s">
        <v>40</v>
      </c>
      <c r="E895">
        <v>8</v>
      </c>
      <c r="F895" s="1">
        <v>0.5</v>
      </c>
      <c r="G895" s="1">
        <v>0.438</v>
      </c>
      <c r="H895" s="10">
        <f t="shared" si="13"/>
        <v>0.124</v>
      </c>
    </row>
    <row r="896" spans="1:8" x14ac:dyDescent="0.25">
      <c r="A896" s="4">
        <v>45917</v>
      </c>
      <c r="B896" t="s">
        <v>29</v>
      </c>
      <c r="C896" t="str">
        <f>_xlfn.IFNA(VLOOKUP($B896,ref!$B$2:$C$34,2,FALSE),"NA")</f>
        <v>Spot</v>
      </c>
      <c r="D896" s="5" t="s">
        <v>52</v>
      </c>
      <c r="E896">
        <v>8</v>
      </c>
      <c r="F896" s="1">
        <v>0.55000000000000004</v>
      </c>
      <c r="G896" s="1">
        <v>0.48099999999999998</v>
      </c>
      <c r="H896" s="10">
        <f t="shared" si="13"/>
        <v>0.1254545454545456</v>
      </c>
    </row>
    <row r="897" spans="1:8" x14ac:dyDescent="0.25">
      <c r="A897" s="4">
        <v>45910</v>
      </c>
      <c r="B897" t="s">
        <v>29</v>
      </c>
      <c r="C897" t="str">
        <f>_xlfn.IFNA(VLOOKUP($B897,ref!$B$2:$C$34,2,FALSE),"NA")</f>
        <v>Spot</v>
      </c>
      <c r="D897" s="5" t="s">
        <v>40</v>
      </c>
      <c r="E897">
        <v>8</v>
      </c>
      <c r="F897" s="1">
        <v>0.55000000000000004</v>
      </c>
      <c r="G897" s="1">
        <v>0.48</v>
      </c>
      <c r="H897" s="10">
        <f t="shared" si="13"/>
        <v>0.12727272727272743</v>
      </c>
    </row>
    <row r="898" spans="1:8" x14ac:dyDescent="0.25">
      <c r="A898" s="4">
        <v>45910</v>
      </c>
      <c r="B898" t="s">
        <v>29</v>
      </c>
      <c r="C898" t="str">
        <f>_xlfn.IFNA(VLOOKUP($B898,ref!$B$2:$C$34,2,FALSE),"NA")</f>
        <v>Spot</v>
      </c>
      <c r="D898" s="5" t="s">
        <v>40</v>
      </c>
      <c r="E898">
        <v>8</v>
      </c>
      <c r="F898" s="1">
        <v>0.55000000000000004</v>
      </c>
      <c r="G898" s="1">
        <v>0.48</v>
      </c>
      <c r="H898" s="10">
        <f t="shared" si="13"/>
        <v>0.12727272727272743</v>
      </c>
    </row>
    <row r="899" spans="1:8" x14ac:dyDescent="0.25">
      <c r="A899" s="4">
        <v>45910</v>
      </c>
      <c r="B899" t="s">
        <v>29</v>
      </c>
      <c r="C899" t="str">
        <f>_xlfn.IFNA(VLOOKUP($B899,ref!$B$2:$C$34,2,FALSE),"NA")</f>
        <v>Spot</v>
      </c>
      <c r="D899" s="5" t="s">
        <v>40</v>
      </c>
      <c r="E899">
        <v>8</v>
      </c>
      <c r="F899" s="1">
        <v>0.55000000000000004</v>
      </c>
      <c r="G899" s="1">
        <v>0.48</v>
      </c>
      <c r="H899" s="10">
        <f t="shared" ref="H899:H962" si="14">1-(G899/F899)</f>
        <v>0.12727272727272743</v>
      </c>
    </row>
    <row r="900" spans="1:8" x14ac:dyDescent="0.25">
      <c r="A900" s="4">
        <v>45910</v>
      </c>
      <c r="B900" t="s">
        <v>29</v>
      </c>
      <c r="C900" t="str">
        <f>_xlfn.IFNA(VLOOKUP($B900,ref!$B$2:$C$34,2,FALSE),"NA")</f>
        <v>Spot</v>
      </c>
      <c r="D900" s="5" t="s">
        <v>40</v>
      </c>
      <c r="E900">
        <v>8</v>
      </c>
      <c r="F900" s="1">
        <v>0.55000000000000004</v>
      </c>
      <c r="G900" s="1">
        <v>0.48</v>
      </c>
      <c r="H900" s="10">
        <f t="shared" si="14"/>
        <v>0.12727272727272743</v>
      </c>
    </row>
    <row r="901" spans="1:8" x14ac:dyDescent="0.25">
      <c r="A901" s="4">
        <v>45910</v>
      </c>
      <c r="B901" t="s">
        <v>29</v>
      </c>
      <c r="C901" t="str">
        <f>_xlfn.IFNA(VLOOKUP($B901,ref!$B$2:$C$34,2,FALSE),"NA")</f>
        <v>Spot</v>
      </c>
      <c r="D901" s="5" t="s">
        <v>40</v>
      </c>
      <c r="E901">
        <v>8</v>
      </c>
      <c r="F901" s="1">
        <v>0.5</v>
      </c>
      <c r="G901" s="1">
        <v>0.438</v>
      </c>
      <c r="H901" s="10">
        <f t="shared" si="14"/>
        <v>0.124</v>
      </c>
    </row>
    <row r="902" spans="1:8" x14ac:dyDescent="0.25">
      <c r="A902" s="4">
        <v>45910</v>
      </c>
      <c r="B902" t="s">
        <v>29</v>
      </c>
      <c r="C902" t="str">
        <f>_xlfn.IFNA(VLOOKUP($B902,ref!$B$2:$C$34,2,FALSE),"NA")</f>
        <v>Spot</v>
      </c>
      <c r="D902" s="5" t="s">
        <v>40</v>
      </c>
      <c r="E902">
        <v>8</v>
      </c>
      <c r="F902" s="1">
        <v>0.5</v>
      </c>
      <c r="G902" s="1">
        <v>0.438</v>
      </c>
      <c r="H902" s="10">
        <f t="shared" si="14"/>
        <v>0.124</v>
      </c>
    </row>
    <row r="903" spans="1:8" x14ac:dyDescent="0.25">
      <c r="A903" s="4">
        <v>45910</v>
      </c>
      <c r="B903" t="s">
        <v>29</v>
      </c>
      <c r="C903" t="str">
        <f>_xlfn.IFNA(VLOOKUP($B903,ref!$B$2:$C$34,2,FALSE),"NA")</f>
        <v>Spot</v>
      </c>
      <c r="D903" s="5" t="s">
        <v>40</v>
      </c>
      <c r="E903">
        <v>8</v>
      </c>
      <c r="F903" s="1">
        <v>0.55000000000000004</v>
      </c>
      <c r="G903" s="1">
        <v>0.48</v>
      </c>
      <c r="H903" s="10">
        <f t="shared" si="14"/>
        <v>0.12727272727272743</v>
      </c>
    </row>
    <row r="904" spans="1:8" x14ac:dyDescent="0.25">
      <c r="A904" s="4">
        <v>45910</v>
      </c>
      <c r="B904" t="s">
        <v>29</v>
      </c>
      <c r="C904" t="str">
        <f>_xlfn.IFNA(VLOOKUP($B904,ref!$B$2:$C$34,2,FALSE),"NA")</f>
        <v>Spot</v>
      </c>
      <c r="D904" s="5" t="s">
        <v>40</v>
      </c>
      <c r="E904">
        <v>8</v>
      </c>
      <c r="F904" s="1">
        <v>0.5</v>
      </c>
      <c r="G904" s="1">
        <v>0.438</v>
      </c>
      <c r="H904" s="10">
        <f t="shared" si="14"/>
        <v>0.124</v>
      </c>
    </row>
    <row r="905" spans="1:8" x14ac:dyDescent="0.25">
      <c r="A905" s="4">
        <v>45910</v>
      </c>
      <c r="B905" t="s">
        <v>29</v>
      </c>
      <c r="C905" t="str">
        <f>_xlfn.IFNA(VLOOKUP($B905,ref!$B$2:$C$34,2,FALSE),"NA")</f>
        <v>Spot</v>
      </c>
      <c r="D905" s="5" t="s">
        <v>40</v>
      </c>
      <c r="E905">
        <v>8</v>
      </c>
      <c r="F905" s="1">
        <v>0.55000000000000004</v>
      </c>
      <c r="G905" s="1">
        <v>0.48</v>
      </c>
      <c r="H905" s="10">
        <f t="shared" si="14"/>
        <v>0.12727272727272743</v>
      </c>
    </row>
    <row r="906" spans="1:8" x14ac:dyDescent="0.25">
      <c r="A906" s="4">
        <v>45908</v>
      </c>
      <c r="B906" t="s">
        <v>29</v>
      </c>
      <c r="C906" t="str">
        <f>_xlfn.IFNA(VLOOKUP($B906,ref!$B$2:$C$34,2,FALSE),"NA")</f>
        <v>Spot</v>
      </c>
      <c r="D906" s="5" t="s">
        <v>52</v>
      </c>
      <c r="E906">
        <v>8</v>
      </c>
      <c r="F906" s="1">
        <v>0.78</v>
      </c>
      <c r="G906" s="1">
        <v>0.68300000000000005</v>
      </c>
      <c r="H906" s="10">
        <f t="shared" si="14"/>
        <v>0.12435897435897436</v>
      </c>
    </row>
    <row r="907" spans="1:8" x14ac:dyDescent="0.25">
      <c r="A907" s="4">
        <v>45908</v>
      </c>
      <c r="B907" t="s">
        <v>29</v>
      </c>
      <c r="C907" t="str">
        <f>_xlfn.IFNA(VLOOKUP($B907,ref!$B$2:$C$34,2,FALSE),"NA")</f>
        <v>Spot</v>
      </c>
      <c r="D907" s="5" t="s">
        <v>52</v>
      </c>
      <c r="E907">
        <v>8</v>
      </c>
      <c r="F907" s="1">
        <v>0.78</v>
      </c>
      <c r="G907" s="1">
        <v>0.68300000000000005</v>
      </c>
      <c r="H907" s="10">
        <f t="shared" si="14"/>
        <v>0.12435897435897436</v>
      </c>
    </row>
    <row r="908" spans="1:8" x14ac:dyDescent="0.25">
      <c r="A908" s="4">
        <v>45907</v>
      </c>
      <c r="C908" t="str">
        <f>_xlfn.IFNA(VLOOKUP($B908,ref!$B$2:$C$34,2,FALSE),"NA")</f>
        <v>NA</v>
      </c>
      <c r="D908" s="5" t="s">
        <v>7</v>
      </c>
      <c r="E908">
        <v>8</v>
      </c>
      <c r="F908" s="1">
        <v>2.15</v>
      </c>
      <c r="G908" s="1">
        <v>1.9</v>
      </c>
      <c r="H908" s="10">
        <f t="shared" si="14"/>
        <v>0.11627906976744184</v>
      </c>
    </row>
    <row r="909" spans="1:8" x14ac:dyDescent="0.25">
      <c r="A909" s="4">
        <v>45906</v>
      </c>
      <c r="B909" t="s">
        <v>14</v>
      </c>
      <c r="C909" t="str">
        <f>_xlfn.IFNA(VLOOKUP($B909,ref!$B$2:$C$34,2,FALSE),"NA")</f>
        <v>Spot</v>
      </c>
      <c r="D909" s="5" t="s">
        <v>46</v>
      </c>
      <c r="E909">
        <v>8</v>
      </c>
      <c r="F909" s="1">
        <v>3.05</v>
      </c>
      <c r="G909" s="1">
        <v>2.85</v>
      </c>
      <c r="H909" s="10">
        <f t="shared" si="14"/>
        <v>6.557377049180324E-2</v>
      </c>
    </row>
    <row r="910" spans="1:8" x14ac:dyDescent="0.25">
      <c r="A910" s="4">
        <v>45906</v>
      </c>
      <c r="B910" t="s">
        <v>14</v>
      </c>
      <c r="C910" t="str">
        <f>_xlfn.IFNA(VLOOKUP($B910,ref!$B$2:$C$34,2,FALSE),"NA")</f>
        <v>Spot</v>
      </c>
      <c r="D910" s="5" t="s">
        <v>46</v>
      </c>
      <c r="E910">
        <v>8</v>
      </c>
      <c r="F910" s="1">
        <v>3.05</v>
      </c>
      <c r="G910" s="1">
        <v>2.85</v>
      </c>
      <c r="H910" s="10">
        <f t="shared" si="14"/>
        <v>6.557377049180324E-2</v>
      </c>
    </row>
    <row r="911" spans="1:8" x14ac:dyDescent="0.25">
      <c r="A911" s="4">
        <v>45906</v>
      </c>
      <c r="B911" t="s">
        <v>14</v>
      </c>
      <c r="C911" t="str">
        <f>_xlfn.IFNA(VLOOKUP($B911,ref!$B$2:$C$34,2,FALSE),"NA")</f>
        <v>Spot</v>
      </c>
      <c r="D911" s="5" t="s">
        <v>46</v>
      </c>
      <c r="E911">
        <v>8</v>
      </c>
      <c r="F911" s="1">
        <v>3.05</v>
      </c>
      <c r="G911" s="1">
        <v>2.85</v>
      </c>
      <c r="H911" s="10">
        <f t="shared" si="14"/>
        <v>6.557377049180324E-2</v>
      </c>
    </row>
    <row r="912" spans="1:8" x14ac:dyDescent="0.25">
      <c r="A912" s="4">
        <v>45906</v>
      </c>
      <c r="B912" t="s">
        <v>14</v>
      </c>
      <c r="C912" t="str">
        <f>_xlfn.IFNA(VLOOKUP($B912,ref!$B$2:$C$34,2,FALSE),"NA")</f>
        <v>Spot</v>
      </c>
      <c r="D912" s="5" t="s">
        <v>46</v>
      </c>
      <c r="E912">
        <v>8</v>
      </c>
      <c r="F912" s="1">
        <v>3.05</v>
      </c>
      <c r="G912" s="1">
        <v>2.85</v>
      </c>
      <c r="H912" s="10">
        <f t="shared" si="14"/>
        <v>6.557377049180324E-2</v>
      </c>
    </row>
    <row r="913" spans="1:8" x14ac:dyDescent="0.25">
      <c r="A913" s="4">
        <v>45906</v>
      </c>
      <c r="B913" t="s">
        <v>14</v>
      </c>
      <c r="C913" t="str">
        <f>_xlfn.IFNA(VLOOKUP($B913,ref!$B$2:$C$34,2,FALSE),"NA")</f>
        <v>Spot</v>
      </c>
      <c r="D913" s="5" t="s">
        <v>46</v>
      </c>
      <c r="E913">
        <v>8</v>
      </c>
      <c r="F913" s="1">
        <v>3.05</v>
      </c>
      <c r="G913" s="1">
        <v>2.85</v>
      </c>
      <c r="H913" s="10">
        <f t="shared" si="14"/>
        <v>6.557377049180324E-2</v>
      </c>
    </row>
    <row r="914" spans="1:8" x14ac:dyDescent="0.25">
      <c r="A914" s="4">
        <v>45906</v>
      </c>
      <c r="B914" t="s">
        <v>14</v>
      </c>
      <c r="C914" t="str">
        <f>_xlfn.IFNA(VLOOKUP($B914,ref!$B$2:$C$34,2,FALSE),"NA")</f>
        <v>Spot</v>
      </c>
      <c r="D914" s="5" t="s">
        <v>46</v>
      </c>
      <c r="E914">
        <v>8</v>
      </c>
      <c r="F914" s="1">
        <v>4.1500000000000004</v>
      </c>
      <c r="G914" s="1">
        <v>3.75</v>
      </c>
      <c r="H914" s="10">
        <f t="shared" si="14"/>
        <v>9.6385542168674787E-2</v>
      </c>
    </row>
    <row r="915" spans="1:8" x14ac:dyDescent="0.25">
      <c r="A915" s="4">
        <v>45906</v>
      </c>
      <c r="B915" t="s">
        <v>29</v>
      </c>
      <c r="C915" t="str">
        <f>_xlfn.IFNA(VLOOKUP($B915,ref!$B$2:$C$34,2,FALSE),"NA")</f>
        <v>Spot</v>
      </c>
      <c r="D915" s="5" t="s">
        <v>40</v>
      </c>
      <c r="E915">
        <v>8</v>
      </c>
      <c r="F915" s="1">
        <v>0.3</v>
      </c>
      <c r="G915" s="1">
        <v>0.26300000000000001</v>
      </c>
      <c r="H915" s="10">
        <f t="shared" si="14"/>
        <v>0.12333333333333329</v>
      </c>
    </row>
    <row r="916" spans="1:8" x14ac:dyDescent="0.25">
      <c r="A916" s="4">
        <v>45906</v>
      </c>
      <c r="B916" t="s">
        <v>14</v>
      </c>
      <c r="C916" t="str">
        <f>_xlfn.IFNA(VLOOKUP($B916,ref!$B$2:$C$34,2,FALSE),"NA")</f>
        <v>Spot</v>
      </c>
      <c r="D916" s="5" t="s">
        <v>46</v>
      </c>
      <c r="E916">
        <v>8</v>
      </c>
      <c r="F916" s="1">
        <v>4.1500000000000004</v>
      </c>
      <c r="G916" s="1">
        <v>3.75</v>
      </c>
      <c r="H916" s="10">
        <f t="shared" si="14"/>
        <v>9.6385542168674787E-2</v>
      </c>
    </row>
    <row r="917" spans="1:8" x14ac:dyDescent="0.25">
      <c r="A917" s="4">
        <v>45904</v>
      </c>
      <c r="B917" t="s">
        <v>29</v>
      </c>
      <c r="C917" t="str">
        <f>_xlfn.IFNA(VLOOKUP($B917,ref!$B$2:$C$34,2,FALSE),"NA")</f>
        <v>Spot</v>
      </c>
      <c r="D917" s="5" t="s">
        <v>40</v>
      </c>
      <c r="E917">
        <v>8</v>
      </c>
      <c r="F917" s="1">
        <v>0.4</v>
      </c>
      <c r="G917" s="1">
        <v>0.35</v>
      </c>
      <c r="H917" s="10">
        <f t="shared" si="14"/>
        <v>0.12500000000000011</v>
      </c>
    </row>
    <row r="918" spans="1:8" x14ac:dyDescent="0.25">
      <c r="A918" s="4">
        <v>45904</v>
      </c>
      <c r="B918" t="s">
        <v>14</v>
      </c>
      <c r="C918" t="str">
        <f>_xlfn.IFNA(VLOOKUP($B918,ref!$B$2:$C$34,2,FALSE),"NA")</f>
        <v>Spot</v>
      </c>
      <c r="D918" s="5" t="s">
        <v>50</v>
      </c>
      <c r="E918">
        <v>8</v>
      </c>
      <c r="F918" s="1">
        <v>4.3499999999999996</v>
      </c>
      <c r="G918" s="1">
        <v>3.85</v>
      </c>
      <c r="H918" s="10">
        <f t="shared" si="14"/>
        <v>0.11494252873563204</v>
      </c>
    </row>
    <row r="919" spans="1:8" x14ac:dyDescent="0.25">
      <c r="A919" s="4">
        <v>45904</v>
      </c>
      <c r="B919" t="s">
        <v>29</v>
      </c>
      <c r="C919" t="str">
        <f>_xlfn.IFNA(VLOOKUP($B919,ref!$B$2:$C$34,2,FALSE),"NA")</f>
        <v>Spot</v>
      </c>
      <c r="D919" s="5" t="s">
        <v>40</v>
      </c>
      <c r="E919">
        <v>8</v>
      </c>
      <c r="F919" s="1">
        <v>0.4</v>
      </c>
      <c r="G919" s="1">
        <v>0.35</v>
      </c>
      <c r="H919" s="10">
        <f t="shared" si="14"/>
        <v>0.12500000000000011</v>
      </c>
    </row>
    <row r="920" spans="1:8" x14ac:dyDescent="0.25">
      <c r="A920" s="4">
        <v>45904</v>
      </c>
      <c r="B920" t="s">
        <v>29</v>
      </c>
      <c r="C920" t="str">
        <f>_xlfn.IFNA(VLOOKUP($B920,ref!$B$2:$C$34,2,FALSE),"NA")</f>
        <v>Spot</v>
      </c>
      <c r="D920" s="5" t="s">
        <v>40</v>
      </c>
      <c r="E920">
        <v>8</v>
      </c>
      <c r="F920" s="1">
        <v>0.4</v>
      </c>
      <c r="G920" s="1">
        <v>0.35</v>
      </c>
      <c r="H920" s="10">
        <f t="shared" si="14"/>
        <v>0.12500000000000011</v>
      </c>
    </row>
    <row r="921" spans="1:8" x14ac:dyDescent="0.25">
      <c r="A921" s="4">
        <v>45904</v>
      </c>
      <c r="B921" t="s">
        <v>14</v>
      </c>
      <c r="C921" t="str">
        <f>_xlfn.IFNA(VLOOKUP($B921,ref!$B$2:$C$34,2,FALSE),"NA")</f>
        <v>Spot</v>
      </c>
      <c r="D921" s="5" t="s">
        <v>50</v>
      </c>
      <c r="E921">
        <v>8</v>
      </c>
      <c r="F921" s="1">
        <v>4.3499999999999996</v>
      </c>
      <c r="G921" s="1">
        <v>3.85</v>
      </c>
      <c r="H921" s="10">
        <f t="shared" si="14"/>
        <v>0.11494252873563204</v>
      </c>
    </row>
    <row r="922" spans="1:8" x14ac:dyDescent="0.25">
      <c r="A922" s="4">
        <v>45903</v>
      </c>
      <c r="B922" t="s">
        <v>12</v>
      </c>
      <c r="C922" t="str">
        <f>_xlfn.IFNA(VLOOKUP($B922,ref!$B$2:$C$34,2,FALSE),"NA")</f>
        <v>Spot</v>
      </c>
      <c r="D922" s="5" t="s">
        <v>37</v>
      </c>
      <c r="E922">
        <v>8</v>
      </c>
      <c r="F922" s="1">
        <v>2</v>
      </c>
      <c r="G922" s="1">
        <v>1.7</v>
      </c>
      <c r="H922" s="10">
        <f t="shared" si="14"/>
        <v>0.15000000000000002</v>
      </c>
    </row>
    <row r="923" spans="1:8" x14ac:dyDescent="0.25">
      <c r="A923" s="4">
        <v>45903</v>
      </c>
      <c r="B923" t="s">
        <v>12</v>
      </c>
      <c r="C923" t="str">
        <f>_xlfn.IFNA(VLOOKUP($B923,ref!$B$2:$C$34,2,FALSE),"NA")</f>
        <v>Spot</v>
      </c>
      <c r="D923" s="5" t="s">
        <v>37</v>
      </c>
      <c r="E923">
        <v>8</v>
      </c>
      <c r="F923" s="1">
        <v>2</v>
      </c>
      <c r="G923" s="1">
        <v>1.7</v>
      </c>
      <c r="H923" s="10">
        <f t="shared" si="14"/>
        <v>0.15000000000000002</v>
      </c>
    </row>
    <row r="924" spans="1:8" x14ac:dyDescent="0.25">
      <c r="A924" s="4">
        <v>45903</v>
      </c>
      <c r="B924" t="s">
        <v>12</v>
      </c>
      <c r="C924" t="str">
        <f>_xlfn.IFNA(VLOOKUP($B924,ref!$B$2:$C$34,2,FALSE),"NA")</f>
        <v>Spot</v>
      </c>
      <c r="D924" s="5" t="s">
        <v>37</v>
      </c>
      <c r="E924">
        <v>8</v>
      </c>
      <c r="F924" s="1">
        <v>2</v>
      </c>
      <c r="G924" s="1">
        <v>1.7</v>
      </c>
      <c r="H924" s="10">
        <f t="shared" si="14"/>
        <v>0.15000000000000002</v>
      </c>
    </row>
    <row r="925" spans="1:8" x14ac:dyDescent="0.25">
      <c r="A925" s="4">
        <v>45903</v>
      </c>
      <c r="B925" t="s">
        <v>12</v>
      </c>
      <c r="C925" t="str">
        <f>_xlfn.IFNA(VLOOKUP($B925,ref!$B$2:$C$34,2,FALSE),"NA")</f>
        <v>Spot</v>
      </c>
      <c r="D925" s="5" t="s">
        <v>37</v>
      </c>
      <c r="E925">
        <v>8</v>
      </c>
      <c r="F925" s="1">
        <v>2</v>
      </c>
      <c r="G925" s="1">
        <v>1.7</v>
      </c>
      <c r="H925" s="10">
        <f t="shared" si="14"/>
        <v>0.15000000000000002</v>
      </c>
    </row>
    <row r="926" spans="1:8" x14ac:dyDescent="0.25">
      <c r="A926" s="4">
        <v>45903</v>
      </c>
      <c r="B926" t="s">
        <v>12</v>
      </c>
      <c r="C926" t="str">
        <f>_xlfn.IFNA(VLOOKUP($B926,ref!$B$2:$C$34,2,FALSE),"NA")</f>
        <v>Spot</v>
      </c>
      <c r="D926" s="5" t="s">
        <v>37</v>
      </c>
      <c r="E926">
        <v>8</v>
      </c>
      <c r="F926" s="1">
        <v>2</v>
      </c>
      <c r="G926" s="1">
        <v>1.7</v>
      </c>
      <c r="H926" s="10">
        <f t="shared" si="14"/>
        <v>0.15000000000000002</v>
      </c>
    </row>
    <row r="927" spans="1:8" x14ac:dyDescent="0.25">
      <c r="A927" s="4">
        <v>45903</v>
      </c>
      <c r="B927" t="s">
        <v>29</v>
      </c>
      <c r="C927" t="str">
        <f>_xlfn.IFNA(VLOOKUP($B927,ref!$B$2:$C$34,2,FALSE),"NA")</f>
        <v>Spot</v>
      </c>
      <c r="D927" s="5" t="s">
        <v>37</v>
      </c>
      <c r="E927">
        <v>8</v>
      </c>
      <c r="F927" s="1">
        <v>3.1</v>
      </c>
      <c r="G927" s="1">
        <v>2.7130000000000001</v>
      </c>
      <c r="H927" s="10">
        <f t="shared" si="14"/>
        <v>0.12483870967741939</v>
      </c>
    </row>
    <row r="928" spans="1:8" x14ac:dyDescent="0.25">
      <c r="A928" s="4">
        <v>45903</v>
      </c>
      <c r="B928" t="s">
        <v>29</v>
      </c>
      <c r="C928" t="str">
        <f>_xlfn.IFNA(VLOOKUP($B928,ref!$B$2:$C$34,2,FALSE),"NA")</f>
        <v>Spot</v>
      </c>
      <c r="D928" s="5" t="s">
        <v>7</v>
      </c>
      <c r="E928">
        <v>8</v>
      </c>
      <c r="F928" s="1">
        <v>3.1</v>
      </c>
      <c r="G928" s="1">
        <v>2.7130000000000001</v>
      </c>
      <c r="H928" s="10">
        <f t="shared" si="14"/>
        <v>0.12483870967741939</v>
      </c>
    </row>
    <row r="929" spans="1:8" x14ac:dyDescent="0.25">
      <c r="A929" s="4">
        <v>45903</v>
      </c>
      <c r="B929" t="s">
        <v>29</v>
      </c>
      <c r="C929" t="str">
        <f>_xlfn.IFNA(VLOOKUP($B929,ref!$B$2:$C$34,2,FALSE),"NA")</f>
        <v>Spot</v>
      </c>
      <c r="D929" s="5" t="s">
        <v>7</v>
      </c>
      <c r="E929">
        <v>8</v>
      </c>
      <c r="F929" s="1">
        <v>3.1</v>
      </c>
      <c r="G929" s="1">
        <v>2.7130000000000001</v>
      </c>
      <c r="H929" s="10">
        <f t="shared" si="14"/>
        <v>0.12483870967741939</v>
      </c>
    </row>
    <row r="930" spans="1:8" x14ac:dyDescent="0.25">
      <c r="A930" s="4">
        <v>45903</v>
      </c>
      <c r="B930" t="s">
        <v>14</v>
      </c>
      <c r="C930" t="str">
        <f>_xlfn.IFNA(VLOOKUP($B930,ref!$B$2:$C$34,2,FALSE),"NA")</f>
        <v>Spot</v>
      </c>
      <c r="D930" s="5" t="s">
        <v>46</v>
      </c>
      <c r="E930">
        <v>8</v>
      </c>
      <c r="F930" s="1">
        <v>4.3499999999999996</v>
      </c>
      <c r="G930" s="1">
        <v>3.85</v>
      </c>
      <c r="H930" s="10">
        <f t="shared" si="14"/>
        <v>0.11494252873563204</v>
      </c>
    </row>
    <row r="931" spans="1:8" x14ac:dyDescent="0.25">
      <c r="A931" s="4">
        <v>45903</v>
      </c>
      <c r="B931" t="s">
        <v>29</v>
      </c>
      <c r="C931" t="str">
        <f>_xlfn.IFNA(VLOOKUP($B931,ref!$B$2:$C$34,2,FALSE),"NA")</f>
        <v>Spot</v>
      </c>
      <c r="D931" s="5" t="s">
        <v>7</v>
      </c>
      <c r="E931">
        <v>8</v>
      </c>
      <c r="F931" s="1">
        <v>3.1</v>
      </c>
      <c r="G931" s="1">
        <v>2.7130000000000001</v>
      </c>
      <c r="H931" s="10">
        <f t="shared" si="14"/>
        <v>0.12483870967741939</v>
      </c>
    </row>
    <row r="932" spans="1:8" x14ac:dyDescent="0.25">
      <c r="A932" s="4">
        <v>45903</v>
      </c>
      <c r="B932" t="s">
        <v>14</v>
      </c>
      <c r="C932" t="str">
        <f>_xlfn.IFNA(VLOOKUP($B932,ref!$B$2:$C$34,2,FALSE),"NA")</f>
        <v>Spot</v>
      </c>
      <c r="D932" s="5" t="s">
        <v>46</v>
      </c>
      <c r="E932">
        <v>8</v>
      </c>
      <c r="F932" s="1">
        <v>4.3499999999999996</v>
      </c>
      <c r="G932" s="1">
        <v>3.85</v>
      </c>
      <c r="H932" s="10">
        <f t="shared" si="14"/>
        <v>0.11494252873563204</v>
      </c>
    </row>
    <row r="933" spans="1:8" x14ac:dyDescent="0.25">
      <c r="A933" s="4">
        <v>45903</v>
      </c>
      <c r="B933" t="s">
        <v>29</v>
      </c>
      <c r="C933" t="str">
        <f>_xlfn.IFNA(VLOOKUP($B933,ref!$B$2:$C$34,2,FALSE),"NA")</f>
        <v>Spot</v>
      </c>
      <c r="D933" s="5" t="s">
        <v>40</v>
      </c>
      <c r="E933">
        <v>8</v>
      </c>
      <c r="F933" s="1">
        <v>0.5</v>
      </c>
      <c r="G933" s="1">
        <v>0.438</v>
      </c>
      <c r="H933" s="10">
        <f t="shared" si="14"/>
        <v>0.124</v>
      </c>
    </row>
    <row r="934" spans="1:8" x14ac:dyDescent="0.25">
      <c r="A934" s="4">
        <v>45902</v>
      </c>
      <c r="B934" t="s">
        <v>35</v>
      </c>
      <c r="C934" t="str">
        <f>_xlfn.IFNA(VLOOKUP($B934,ref!$B$2:$C$34,2,FALSE),"NA")</f>
        <v>Misc</v>
      </c>
      <c r="D934" s="5" t="s">
        <v>46</v>
      </c>
      <c r="E934">
        <v>8</v>
      </c>
      <c r="F934" s="1">
        <v>3.75</v>
      </c>
      <c r="G934" s="1">
        <v>3.3</v>
      </c>
      <c r="H934" s="10">
        <f t="shared" si="14"/>
        <v>0.12</v>
      </c>
    </row>
    <row r="935" spans="1:8" x14ac:dyDescent="0.25">
      <c r="A935" s="4">
        <v>45898</v>
      </c>
      <c r="B935" t="s">
        <v>6</v>
      </c>
      <c r="C935" t="str">
        <f>_xlfn.IFNA(VLOOKUP($B935,ref!$B$2:$C$34,2,FALSE),"NA")</f>
        <v>3 Month</v>
      </c>
      <c r="D935" s="5" t="s">
        <v>7</v>
      </c>
      <c r="E935">
        <v>8</v>
      </c>
      <c r="F935" s="1">
        <v>2.25</v>
      </c>
      <c r="G935" s="1">
        <v>2.0499999999999998</v>
      </c>
      <c r="H935" s="10">
        <f t="shared" si="14"/>
        <v>8.8888888888889017E-2</v>
      </c>
    </row>
    <row r="936" spans="1:8" x14ac:dyDescent="0.25">
      <c r="A936" s="4">
        <v>45898</v>
      </c>
      <c r="C936" t="str">
        <f>_xlfn.IFNA(VLOOKUP($B936,ref!$B$2:$C$34,2,FALSE),"NA")</f>
        <v>NA</v>
      </c>
      <c r="D936" s="5" t="s">
        <v>13</v>
      </c>
      <c r="E936">
        <v>8</v>
      </c>
      <c r="F936" s="1">
        <v>1.32</v>
      </c>
      <c r="G936" s="1">
        <v>1.1399999999999999</v>
      </c>
      <c r="H936" s="10">
        <f t="shared" si="14"/>
        <v>0.13636363636363646</v>
      </c>
    </row>
    <row r="937" spans="1:8" x14ac:dyDescent="0.25">
      <c r="A937" s="4">
        <v>45897</v>
      </c>
      <c r="B937" t="s">
        <v>29</v>
      </c>
      <c r="C937" t="str">
        <f>_xlfn.IFNA(VLOOKUP($B937,ref!$B$2:$C$34,2,FALSE),"NA")</f>
        <v>Spot</v>
      </c>
      <c r="D937" s="5" t="s">
        <v>40</v>
      </c>
      <c r="E937">
        <v>8</v>
      </c>
      <c r="F937" s="1">
        <v>0.45</v>
      </c>
      <c r="G937" s="1">
        <v>0.39400000000000002</v>
      </c>
      <c r="H937" s="10">
        <f t="shared" si="14"/>
        <v>0.12444444444444447</v>
      </c>
    </row>
    <row r="938" spans="1:8" x14ac:dyDescent="0.25">
      <c r="A938" s="4">
        <v>45896</v>
      </c>
      <c r="B938" t="s">
        <v>31</v>
      </c>
      <c r="C938" t="str">
        <f>_xlfn.IFNA(VLOOKUP($B938,ref!$B$2:$C$34,2,FALSE),"NA")</f>
        <v>1 Month</v>
      </c>
      <c r="D938" s="5" t="s">
        <v>7</v>
      </c>
      <c r="E938">
        <v>8</v>
      </c>
      <c r="F938" s="1">
        <v>2.35</v>
      </c>
      <c r="G938" s="1">
        <v>2.2999999999999998</v>
      </c>
      <c r="H938" s="10">
        <f t="shared" si="14"/>
        <v>2.1276595744680993E-2</v>
      </c>
    </row>
    <row r="939" spans="1:8" x14ac:dyDescent="0.25">
      <c r="A939" s="4">
        <v>45896</v>
      </c>
      <c r="B939" t="s">
        <v>31</v>
      </c>
      <c r="C939" t="str">
        <f>_xlfn.IFNA(VLOOKUP($B939,ref!$B$2:$C$34,2,FALSE),"NA")</f>
        <v>1 Month</v>
      </c>
      <c r="D939" s="5" t="s">
        <v>7</v>
      </c>
      <c r="E939">
        <v>8</v>
      </c>
      <c r="F939" s="1">
        <v>2.35</v>
      </c>
      <c r="G939" s="1">
        <v>2.2999999999999998</v>
      </c>
      <c r="H939" s="10">
        <f t="shared" si="14"/>
        <v>2.1276595744680993E-2</v>
      </c>
    </row>
    <row r="940" spans="1:8" x14ac:dyDescent="0.25">
      <c r="A940" s="4">
        <v>45896</v>
      </c>
      <c r="B940" t="s">
        <v>29</v>
      </c>
      <c r="C940" t="str">
        <f>_xlfn.IFNA(VLOOKUP($B940,ref!$B$2:$C$34,2,FALSE),"NA")</f>
        <v>Spot</v>
      </c>
      <c r="D940" s="5" t="s">
        <v>40</v>
      </c>
      <c r="E940">
        <v>8</v>
      </c>
      <c r="F940" s="1">
        <v>0.3</v>
      </c>
      <c r="G940" s="1">
        <v>0.28499999999999998</v>
      </c>
      <c r="H940" s="10">
        <f t="shared" si="14"/>
        <v>5.0000000000000044E-2</v>
      </c>
    </row>
    <row r="941" spans="1:8" x14ac:dyDescent="0.25">
      <c r="A941" s="4">
        <v>45896</v>
      </c>
      <c r="B941" t="s">
        <v>29</v>
      </c>
      <c r="C941" t="str">
        <f>_xlfn.IFNA(VLOOKUP($B941,ref!$B$2:$C$34,2,FALSE),"NA")</f>
        <v>Spot</v>
      </c>
      <c r="D941" s="5" t="s">
        <v>40</v>
      </c>
      <c r="E941">
        <v>8</v>
      </c>
      <c r="F941" s="1">
        <v>0.3</v>
      </c>
      <c r="G941" s="1">
        <v>0.28499999999999998</v>
      </c>
      <c r="H941" s="10">
        <f t="shared" si="14"/>
        <v>5.0000000000000044E-2</v>
      </c>
    </row>
    <row r="942" spans="1:8" x14ac:dyDescent="0.25">
      <c r="A942" s="4">
        <v>45896</v>
      </c>
      <c r="B942" t="s">
        <v>29</v>
      </c>
      <c r="C942" t="str">
        <f>_xlfn.IFNA(VLOOKUP($B942,ref!$B$2:$C$34,2,FALSE),"NA")</f>
        <v>Spot</v>
      </c>
      <c r="D942" s="5" t="s">
        <v>40</v>
      </c>
      <c r="E942">
        <v>8</v>
      </c>
      <c r="F942" s="1">
        <v>0.3</v>
      </c>
      <c r="G942" s="1">
        <v>0.28499999999999998</v>
      </c>
      <c r="H942" s="10">
        <f t="shared" si="14"/>
        <v>5.0000000000000044E-2</v>
      </c>
    </row>
    <row r="943" spans="1:8" x14ac:dyDescent="0.25">
      <c r="A943" s="4">
        <v>45896</v>
      </c>
      <c r="B943" t="s">
        <v>29</v>
      </c>
      <c r="C943" t="str">
        <f>_xlfn.IFNA(VLOOKUP($B943,ref!$B$2:$C$34,2,FALSE),"NA")</f>
        <v>Spot</v>
      </c>
      <c r="D943" s="5" t="s">
        <v>40</v>
      </c>
      <c r="E943">
        <v>8</v>
      </c>
      <c r="F943" s="1">
        <v>0.3</v>
      </c>
      <c r="G943" s="1">
        <v>0.28499999999999998</v>
      </c>
      <c r="H943" s="10">
        <f t="shared" si="14"/>
        <v>5.0000000000000044E-2</v>
      </c>
    </row>
    <row r="944" spans="1:8" x14ac:dyDescent="0.25">
      <c r="A944" s="4">
        <v>45896</v>
      </c>
      <c r="B944" t="s">
        <v>29</v>
      </c>
      <c r="C944" t="str">
        <f>_xlfn.IFNA(VLOOKUP($B944,ref!$B$2:$C$34,2,FALSE),"NA")</f>
        <v>Spot</v>
      </c>
      <c r="D944" s="5" t="s">
        <v>40</v>
      </c>
      <c r="E944">
        <v>8</v>
      </c>
      <c r="F944" s="1">
        <v>0.3</v>
      </c>
      <c r="G944" s="1">
        <v>0.28499999999999998</v>
      </c>
      <c r="H944" s="10">
        <f t="shared" si="14"/>
        <v>5.0000000000000044E-2</v>
      </c>
    </row>
    <row r="945" spans="1:8" x14ac:dyDescent="0.25">
      <c r="A945" s="4">
        <v>45896</v>
      </c>
      <c r="B945" t="s">
        <v>29</v>
      </c>
      <c r="C945" t="str">
        <f>_xlfn.IFNA(VLOOKUP($B945,ref!$B$2:$C$34,2,FALSE),"NA")</f>
        <v>Spot</v>
      </c>
      <c r="D945" s="5" t="s">
        <v>40</v>
      </c>
      <c r="E945">
        <v>8</v>
      </c>
      <c r="F945" s="1">
        <v>0.3</v>
      </c>
      <c r="G945" s="1">
        <v>0.28499999999999998</v>
      </c>
      <c r="H945" s="10">
        <f t="shared" si="14"/>
        <v>5.0000000000000044E-2</v>
      </c>
    </row>
    <row r="946" spans="1:8" x14ac:dyDescent="0.25">
      <c r="A946" s="4">
        <v>45896</v>
      </c>
      <c r="B946" t="s">
        <v>29</v>
      </c>
      <c r="C946" t="str">
        <f>_xlfn.IFNA(VLOOKUP($B946,ref!$B$2:$C$34,2,FALSE),"NA")</f>
        <v>Spot</v>
      </c>
      <c r="D946" s="5" t="s">
        <v>40</v>
      </c>
      <c r="E946">
        <v>8</v>
      </c>
      <c r="F946" s="1">
        <v>0.3</v>
      </c>
      <c r="G946" s="1">
        <v>0.28499999999999998</v>
      </c>
      <c r="H946" s="10">
        <f t="shared" si="14"/>
        <v>5.0000000000000044E-2</v>
      </c>
    </row>
    <row r="947" spans="1:8" x14ac:dyDescent="0.25">
      <c r="A947" s="4">
        <v>45896</v>
      </c>
      <c r="B947" t="s">
        <v>29</v>
      </c>
      <c r="C947" t="str">
        <f>_xlfn.IFNA(VLOOKUP($B947,ref!$B$2:$C$34,2,FALSE),"NA")</f>
        <v>Spot</v>
      </c>
      <c r="D947" s="5" t="s">
        <v>40</v>
      </c>
      <c r="E947">
        <v>8</v>
      </c>
      <c r="F947" s="1">
        <v>0.3</v>
      </c>
      <c r="G947" s="1">
        <v>0.28499999999999998</v>
      </c>
      <c r="H947" s="10">
        <f t="shared" si="14"/>
        <v>5.0000000000000044E-2</v>
      </c>
    </row>
    <row r="948" spans="1:8" x14ac:dyDescent="0.25">
      <c r="A948" s="4">
        <v>45896</v>
      </c>
      <c r="B948" t="s">
        <v>29</v>
      </c>
      <c r="C948" t="str">
        <f>_xlfn.IFNA(VLOOKUP($B948,ref!$B$2:$C$34,2,FALSE),"NA")</f>
        <v>Spot</v>
      </c>
      <c r="D948" s="5" t="s">
        <v>40</v>
      </c>
      <c r="E948">
        <v>8</v>
      </c>
      <c r="F948" s="1">
        <v>0.3</v>
      </c>
      <c r="G948" s="1">
        <v>0.28499999999999998</v>
      </c>
      <c r="H948" s="10">
        <f t="shared" si="14"/>
        <v>5.0000000000000044E-2</v>
      </c>
    </row>
    <row r="949" spans="1:8" x14ac:dyDescent="0.25">
      <c r="A949" s="4">
        <v>45896</v>
      </c>
      <c r="B949" t="s">
        <v>29</v>
      </c>
      <c r="C949" t="str">
        <f>_xlfn.IFNA(VLOOKUP($B949,ref!$B$2:$C$34,2,FALSE),"NA")</f>
        <v>Spot</v>
      </c>
      <c r="D949" s="5" t="s">
        <v>40</v>
      </c>
      <c r="E949">
        <v>8</v>
      </c>
      <c r="F949" s="1">
        <v>0.3</v>
      </c>
      <c r="G949" s="1">
        <v>0.28499999999999998</v>
      </c>
      <c r="H949" s="10">
        <f t="shared" si="14"/>
        <v>5.0000000000000044E-2</v>
      </c>
    </row>
    <row r="950" spans="1:8" x14ac:dyDescent="0.25">
      <c r="A950" s="4">
        <v>45896</v>
      </c>
      <c r="B950" t="s">
        <v>29</v>
      </c>
      <c r="C950" t="str">
        <f>_xlfn.IFNA(VLOOKUP($B950,ref!$B$2:$C$34,2,FALSE),"NA")</f>
        <v>Spot</v>
      </c>
      <c r="D950" s="5" t="s">
        <v>40</v>
      </c>
      <c r="E950">
        <v>8</v>
      </c>
      <c r="F950" s="1">
        <v>0.3</v>
      </c>
      <c r="G950" s="1">
        <v>0.28499999999999998</v>
      </c>
      <c r="H950" s="10">
        <f t="shared" si="14"/>
        <v>5.0000000000000044E-2</v>
      </c>
    </row>
    <row r="951" spans="1:8" x14ac:dyDescent="0.25">
      <c r="A951" s="4">
        <v>45896</v>
      </c>
      <c r="B951" t="s">
        <v>29</v>
      </c>
      <c r="C951" t="str">
        <f>_xlfn.IFNA(VLOOKUP($B951,ref!$B$2:$C$34,2,FALSE),"NA")</f>
        <v>Spot</v>
      </c>
      <c r="D951" s="5" t="s">
        <v>40</v>
      </c>
      <c r="E951">
        <v>8</v>
      </c>
      <c r="F951" s="1">
        <v>0.3</v>
      </c>
      <c r="G951" s="1">
        <v>0.28499999999999998</v>
      </c>
      <c r="H951" s="10">
        <f t="shared" si="14"/>
        <v>5.0000000000000044E-2</v>
      </c>
    </row>
    <row r="952" spans="1:8" x14ac:dyDescent="0.25">
      <c r="A952" s="4">
        <v>45896</v>
      </c>
      <c r="B952" t="s">
        <v>29</v>
      </c>
      <c r="C952" t="str">
        <f>_xlfn.IFNA(VLOOKUP($B952,ref!$B$2:$C$34,2,FALSE),"NA")</f>
        <v>Spot</v>
      </c>
      <c r="D952" s="5" t="s">
        <v>40</v>
      </c>
      <c r="E952">
        <v>8</v>
      </c>
      <c r="F952" s="1">
        <v>0.3</v>
      </c>
      <c r="G952" s="1">
        <v>0.28499999999999998</v>
      </c>
      <c r="H952" s="10">
        <f t="shared" si="14"/>
        <v>5.0000000000000044E-2</v>
      </c>
    </row>
    <row r="953" spans="1:8" x14ac:dyDescent="0.25">
      <c r="A953" s="4">
        <v>45896</v>
      </c>
      <c r="B953" t="s">
        <v>29</v>
      </c>
      <c r="C953" t="str">
        <f>_xlfn.IFNA(VLOOKUP($B953,ref!$B$2:$C$34,2,FALSE),"NA")</f>
        <v>Spot</v>
      </c>
      <c r="D953" s="5" t="s">
        <v>40</v>
      </c>
      <c r="E953">
        <v>8</v>
      </c>
      <c r="F953" s="1">
        <v>0.3</v>
      </c>
      <c r="G953" s="1">
        <v>0.28499999999999998</v>
      </c>
      <c r="H953" s="10">
        <f t="shared" si="14"/>
        <v>5.0000000000000044E-2</v>
      </c>
    </row>
    <row r="954" spans="1:8" x14ac:dyDescent="0.25">
      <c r="A954" s="4">
        <v>45896</v>
      </c>
      <c r="B954" t="s">
        <v>29</v>
      </c>
      <c r="C954" t="str">
        <f>_xlfn.IFNA(VLOOKUP($B954,ref!$B$2:$C$34,2,FALSE),"NA")</f>
        <v>Spot</v>
      </c>
      <c r="D954" s="5" t="s">
        <v>40</v>
      </c>
      <c r="E954">
        <v>8</v>
      </c>
      <c r="F954" s="1">
        <v>0.3</v>
      </c>
      <c r="G954" s="1">
        <v>0.28499999999999998</v>
      </c>
      <c r="H954" s="10">
        <f t="shared" si="14"/>
        <v>5.0000000000000044E-2</v>
      </c>
    </row>
    <row r="955" spans="1:8" x14ac:dyDescent="0.25">
      <c r="A955" s="4">
        <v>45896</v>
      </c>
      <c r="B955" t="s">
        <v>29</v>
      </c>
      <c r="C955" t="str">
        <f>_xlfn.IFNA(VLOOKUP($B955,ref!$B$2:$C$34,2,FALSE),"NA")</f>
        <v>Spot</v>
      </c>
      <c r="D955" s="5" t="s">
        <v>40</v>
      </c>
      <c r="E955">
        <v>8</v>
      </c>
      <c r="F955" s="1">
        <v>0.3</v>
      </c>
      <c r="G955" s="1">
        <v>0.28499999999999998</v>
      </c>
      <c r="H955" s="10">
        <f t="shared" si="14"/>
        <v>5.0000000000000044E-2</v>
      </c>
    </row>
    <row r="956" spans="1:8" x14ac:dyDescent="0.25">
      <c r="A956" s="4">
        <v>45896</v>
      </c>
      <c r="B956" t="s">
        <v>29</v>
      </c>
      <c r="C956" t="str">
        <f>_xlfn.IFNA(VLOOKUP($B956,ref!$B$2:$C$34,2,FALSE),"NA")</f>
        <v>Spot</v>
      </c>
      <c r="D956" s="5" t="s">
        <v>40</v>
      </c>
      <c r="E956">
        <v>8</v>
      </c>
      <c r="F956" s="1">
        <v>0.3</v>
      </c>
      <c r="G956" s="1">
        <v>0.28499999999999998</v>
      </c>
      <c r="H956" s="10">
        <f t="shared" si="14"/>
        <v>5.0000000000000044E-2</v>
      </c>
    </row>
    <row r="957" spans="1:8" x14ac:dyDescent="0.25">
      <c r="A957" s="4">
        <v>45896</v>
      </c>
      <c r="B957" t="s">
        <v>29</v>
      </c>
      <c r="C957" t="str">
        <f>_xlfn.IFNA(VLOOKUP($B957,ref!$B$2:$C$34,2,FALSE),"NA")</f>
        <v>Spot</v>
      </c>
      <c r="D957" s="5" t="s">
        <v>40</v>
      </c>
      <c r="E957">
        <v>8</v>
      </c>
      <c r="F957" s="1">
        <v>0.49</v>
      </c>
      <c r="G957" s="1">
        <v>0.42899999999999999</v>
      </c>
      <c r="H957" s="10">
        <f t="shared" si="14"/>
        <v>0.1244897959183674</v>
      </c>
    </row>
    <row r="958" spans="1:8" x14ac:dyDescent="0.25">
      <c r="A958" s="4">
        <v>45896</v>
      </c>
      <c r="B958" t="s">
        <v>29</v>
      </c>
      <c r="C958" t="str">
        <f>_xlfn.IFNA(VLOOKUP($B958,ref!$B$2:$C$34,2,FALSE),"NA")</f>
        <v>Spot</v>
      </c>
      <c r="D958" s="5" t="s">
        <v>40</v>
      </c>
      <c r="E958">
        <v>8</v>
      </c>
      <c r="F958" s="1">
        <v>0.3</v>
      </c>
      <c r="G958" s="1">
        <v>0.28499999999999998</v>
      </c>
      <c r="H958" s="10">
        <f t="shared" si="14"/>
        <v>5.0000000000000044E-2</v>
      </c>
    </row>
    <row r="959" spans="1:8" x14ac:dyDescent="0.25">
      <c r="A959" s="4">
        <v>45896</v>
      </c>
      <c r="B959" t="s">
        <v>29</v>
      </c>
      <c r="C959" t="str">
        <f>_xlfn.IFNA(VLOOKUP($B959,ref!$B$2:$C$34,2,FALSE),"NA")</f>
        <v>Spot</v>
      </c>
      <c r="D959" s="5" t="s">
        <v>40</v>
      </c>
      <c r="E959">
        <v>8</v>
      </c>
      <c r="F959" s="1">
        <v>0.3</v>
      </c>
      <c r="G959" s="1">
        <v>0.28499999999999998</v>
      </c>
      <c r="H959" s="10">
        <f t="shared" si="14"/>
        <v>5.0000000000000044E-2</v>
      </c>
    </row>
    <row r="960" spans="1:8" x14ac:dyDescent="0.25">
      <c r="A960" s="4">
        <v>45896</v>
      </c>
      <c r="B960" t="s">
        <v>31</v>
      </c>
      <c r="C960" t="str">
        <f>_xlfn.IFNA(VLOOKUP($B960,ref!$B$2:$C$34,2,FALSE),"NA")</f>
        <v>1 Month</v>
      </c>
      <c r="D960" s="5" t="s">
        <v>7</v>
      </c>
      <c r="E960">
        <v>8</v>
      </c>
      <c r="F960" s="1">
        <v>2.35</v>
      </c>
      <c r="G960" s="1">
        <v>2.2999999999999998</v>
      </c>
      <c r="H960" s="10">
        <f t="shared" si="14"/>
        <v>2.1276595744680993E-2</v>
      </c>
    </row>
    <row r="961" spans="1:8" x14ac:dyDescent="0.25">
      <c r="A961" s="4">
        <v>45896</v>
      </c>
      <c r="B961" t="s">
        <v>29</v>
      </c>
      <c r="C961" t="str">
        <f>_xlfn.IFNA(VLOOKUP($B961,ref!$B$2:$C$34,2,FALSE),"NA")</f>
        <v>Spot</v>
      </c>
      <c r="D961" s="5" t="s">
        <v>34</v>
      </c>
      <c r="E961">
        <v>8</v>
      </c>
      <c r="F961" s="1">
        <v>0.34</v>
      </c>
      <c r="G961" s="1">
        <v>0.29799999999999999</v>
      </c>
      <c r="H961" s="10">
        <f t="shared" si="14"/>
        <v>0.123529411764706</v>
      </c>
    </row>
    <row r="962" spans="1:8" x14ac:dyDescent="0.25">
      <c r="A962" s="4">
        <v>45896</v>
      </c>
      <c r="B962" t="s">
        <v>29</v>
      </c>
      <c r="C962" t="str">
        <f>_xlfn.IFNA(VLOOKUP($B962,ref!$B$2:$C$34,2,FALSE),"NA")</f>
        <v>Spot</v>
      </c>
      <c r="D962" s="5" t="s">
        <v>40</v>
      </c>
      <c r="E962">
        <v>8</v>
      </c>
      <c r="F962" s="1">
        <v>0.6</v>
      </c>
      <c r="G962" s="1">
        <v>0.52500000000000002</v>
      </c>
      <c r="H962" s="10">
        <f t="shared" si="14"/>
        <v>0.12499999999999989</v>
      </c>
    </row>
    <row r="963" spans="1:8" x14ac:dyDescent="0.25">
      <c r="A963" s="4">
        <v>45896</v>
      </c>
      <c r="B963" t="s">
        <v>29</v>
      </c>
      <c r="C963" t="str">
        <f>_xlfn.IFNA(VLOOKUP($B963,ref!$B$2:$C$34,2,FALSE),"NA")</f>
        <v>Spot</v>
      </c>
      <c r="D963" s="5" t="s">
        <v>40</v>
      </c>
      <c r="E963">
        <v>8</v>
      </c>
      <c r="F963" s="1">
        <v>0.49</v>
      </c>
      <c r="G963" s="1">
        <v>0.42899999999999999</v>
      </c>
      <c r="H963" s="10">
        <f t="shared" ref="H963:H1026" si="15">1-(G963/F963)</f>
        <v>0.1244897959183674</v>
      </c>
    </row>
    <row r="964" spans="1:8" x14ac:dyDescent="0.25">
      <c r="A964" s="4">
        <v>45896</v>
      </c>
      <c r="B964" t="s">
        <v>29</v>
      </c>
      <c r="C964" t="str">
        <f>_xlfn.IFNA(VLOOKUP($B964,ref!$B$2:$C$34,2,FALSE),"NA")</f>
        <v>Spot</v>
      </c>
      <c r="D964" s="5" t="s">
        <v>40</v>
      </c>
      <c r="E964">
        <v>8</v>
      </c>
      <c r="F964" s="1">
        <v>0.3</v>
      </c>
      <c r="G964" s="1">
        <v>0.28499999999999998</v>
      </c>
      <c r="H964" s="10">
        <f t="shared" si="15"/>
        <v>5.0000000000000044E-2</v>
      </c>
    </row>
    <row r="965" spans="1:8" x14ac:dyDescent="0.25">
      <c r="A965" s="4">
        <v>45896</v>
      </c>
      <c r="B965" t="s">
        <v>29</v>
      </c>
      <c r="C965" t="str">
        <f>_xlfn.IFNA(VLOOKUP($B965,ref!$B$2:$C$34,2,FALSE),"NA")</f>
        <v>Spot</v>
      </c>
      <c r="D965" s="5" t="s">
        <v>40</v>
      </c>
      <c r="E965">
        <v>8</v>
      </c>
      <c r="F965" s="1">
        <v>0.3</v>
      </c>
      <c r="G965" s="1">
        <v>0.28499999999999998</v>
      </c>
      <c r="H965" s="10">
        <f t="shared" si="15"/>
        <v>5.0000000000000044E-2</v>
      </c>
    </row>
    <row r="966" spans="1:8" x14ac:dyDescent="0.25">
      <c r="A966" s="4">
        <v>45896</v>
      </c>
      <c r="B966" t="s">
        <v>31</v>
      </c>
      <c r="C966" t="str">
        <f>_xlfn.IFNA(VLOOKUP($B966,ref!$B$2:$C$34,2,FALSE),"NA")</f>
        <v>1 Month</v>
      </c>
      <c r="D966" s="5" t="s">
        <v>7</v>
      </c>
      <c r="E966">
        <v>8</v>
      </c>
      <c r="F966" s="1">
        <v>2.35</v>
      </c>
      <c r="G966" s="1">
        <v>2.2999999999999998</v>
      </c>
      <c r="H966" s="10">
        <f t="shared" si="15"/>
        <v>2.1276595744680993E-2</v>
      </c>
    </row>
    <row r="967" spans="1:8" x14ac:dyDescent="0.25">
      <c r="A967" s="4">
        <v>45895</v>
      </c>
      <c r="B967" t="s">
        <v>31</v>
      </c>
      <c r="C967" t="str">
        <f>_xlfn.IFNA(VLOOKUP($B967,ref!$B$2:$C$34,2,FALSE),"NA")</f>
        <v>1 Month</v>
      </c>
      <c r="D967" s="5" t="s">
        <v>53</v>
      </c>
      <c r="E967">
        <v>8</v>
      </c>
      <c r="F967" s="1">
        <v>1.9</v>
      </c>
      <c r="G967" s="1">
        <v>1.8</v>
      </c>
      <c r="H967" s="10">
        <f t="shared" si="15"/>
        <v>5.2631578947368363E-2</v>
      </c>
    </row>
    <row r="968" spans="1:8" x14ac:dyDescent="0.25">
      <c r="A968" s="4">
        <v>45895</v>
      </c>
      <c r="B968" t="s">
        <v>31</v>
      </c>
      <c r="C968" t="str">
        <f>_xlfn.IFNA(VLOOKUP($B968,ref!$B$2:$C$34,2,FALSE),"NA")</f>
        <v>1 Month</v>
      </c>
      <c r="D968" s="5" t="s">
        <v>53</v>
      </c>
      <c r="E968">
        <v>8</v>
      </c>
      <c r="F968" s="1">
        <v>1.9</v>
      </c>
      <c r="G968" s="1">
        <v>1.8</v>
      </c>
      <c r="H968" s="10">
        <f t="shared" si="15"/>
        <v>5.2631578947368363E-2</v>
      </c>
    </row>
    <row r="969" spans="1:8" x14ac:dyDescent="0.25">
      <c r="A969" s="4">
        <v>45895</v>
      </c>
      <c r="B969" t="s">
        <v>31</v>
      </c>
      <c r="C969" t="str">
        <f>_xlfn.IFNA(VLOOKUP($B969,ref!$B$2:$C$34,2,FALSE),"NA")</f>
        <v>1 Month</v>
      </c>
      <c r="D969" s="5" t="s">
        <v>7</v>
      </c>
      <c r="E969">
        <v>8</v>
      </c>
      <c r="F969" s="1">
        <v>1.9</v>
      </c>
      <c r="G969" s="1">
        <v>1.8</v>
      </c>
      <c r="H969" s="10">
        <f t="shared" si="15"/>
        <v>5.2631578947368363E-2</v>
      </c>
    </row>
    <row r="970" spans="1:8" x14ac:dyDescent="0.25">
      <c r="A970" s="4">
        <v>45895</v>
      </c>
      <c r="B970" t="s">
        <v>31</v>
      </c>
      <c r="C970" t="str">
        <f>_xlfn.IFNA(VLOOKUP($B970,ref!$B$2:$C$34,2,FALSE),"NA")</f>
        <v>1 Month</v>
      </c>
      <c r="D970" s="5" t="s">
        <v>53</v>
      </c>
      <c r="E970">
        <v>8</v>
      </c>
      <c r="F970" s="1">
        <v>1.9</v>
      </c>
      <c r="G970" s="1">
        <v>1.8</v>
      </c>
      <c r="H970" s="10">
        <f t="shared" si="15"/>
        <v>5.2631578947368363E-2</v>
      </c>
    </row>
    <row r="971" spans="1:8" x14ac:dyDescent="0.25">
      <c r="A971" s="4">
        <v>45895</v>
      </c>
      <c r="B971" t="s">
        <v>31</v>
      </c>
      <c r="C971" t="str">
        <f>_xlfn.IFNA(VLOOKUP($B971,ref!$B$2:$C$34,2,FALSE),"NA")</f>
        <v>1 Month</v>
      </c>
      <c r="D971" s="5" t="s">
        <v>53</v>
      </c>
      <c r="E971">
        <v>8</v>
      </c>
      <c r="F971" s="1">
        <v>1.9</v>
      </c>
      <c r="G971" s="1">
        <v>1.8</v>
      </c>
      <c r="H971" s="10">
        <f t="shared" si="15"/>
        <v>5.2631578947368363E-2</v>
      </c>
    </row>
    <row r="972" spans="1:8" x14ac:dyDescent="0.25">
      <c r="A972" s="4">
        <v>45895</v>
      </c>
      <c r="B972" t="s">
        <v>31</v>
      </c>
      <c r="C972" t="str">
        <f>_xlfn.IFNA(VLOOKUP($B972,ref!$B$2:$C$34,2,FALSE),"NA")</f>
        <v>1 Month</v>
      </c>
      <c r="D972" s="5" t="s">
        <v>53</v>
      </c>
      <c r="E972">
        <v>8</v>
      </c>
      <c r="F972" s="1">
        <v>1.9</v>
      </c>
      <c r="G972" s="1">
        <v>1.8</v>
      </c>
      <c r="H972" s="10">
        <f t="shared" si="15"/>
        <v>5.2631578947368363E-2</v>
      </c>
    </row>
    <row r="973" spans="1:8" x14ac:dyDescent="0.25">
      <c r="A973" s="4">
        <v>45895</v>
      </c>
      <c r="B973" t="s">
        <v>31</v>
      </c>
      <c r="C973" t="str">
        <f>_xlfn.IFNA(VLOOKUP($B973,ref!$B$2:$C$34,2,FALSE),"NA")</f>
        <v>1 Month</v>
      </c>
      <c r="D973" s="5" t="s">
        <v>7</v>
      </c>
      <c r="E973">
        <v>8</v>
      </c>
      <c r="F973" s="1">
        <v>1.9</v>
      </c>
      <c r="G973" s="1">
        <v>1.8</v>
      </c>
      <c r="H973" s="10">
        <f t="shared" si="15"/>
        <v>5.2631578947368363E-2</v>
      </c>
    </row>
    <row r="974" spans="1:8" x14ac:dyDescent="0.25">
      <c r="A974" s="4">
        <v>45891</v>
      </c>
      <c r="B974" t="s">
        <v>29</v>
      </c>
      <c r="C974" t="str">
        <f>_xlfn.IFNA(VLOOKUP($B974,ref!$B$2:$C$34,2,FALSE),"NA")</f>
        <v>Spot</v>
      </c>
      <c r="D974" s="5" t="s">
        <v>40</v>
      </c>
      <c r="E974">
        <v>8</v>
      </c>
      <c r="F974" s="1">
        <v>0.3</v>
      </c>
      <c r="G974" s="1">
        <v>0.28499999999999998</v>
      </c>
      <c r="H974" s="10">
        <f t="shared" si="15"/>
        <v>5.0000000000000044E-2</v>
      </c>
    </row>
    <row r="975" spans="1:8" x14ac:dyDescent="0.25">
      <c r="A975" s="4">
        <v>45891</v>
      </c>
      <c r="B975" t="s">
        <v>29</v>
      </c>
      <c r="C975" t="str">
        <f>_xlfn.IFNA(VLOOKUP($B975,ref!$B$2:$C$34,2,FALSE),"NA")</f>
        <v>Spot</v>
      </c>
      <c r="D975" s="5" t="s">
        <v>40</v>
      </c>
      <c r="E975">
        <v>8</v>
      </c>
      <c r="F975" s="1">
        <v>0.3</v>
      </c>
      <c r="G975" s="1">
        <v>0.28499999999999998</v>
      </c>
      <c r="H975" s="10">
        <f t="shared" si="15"/>
        <v>5.0000000000000044E-2</v>
      </c>
    </row>
    <row r="976" spans="1:8" x14ac:dyDescent="0.25">
      <c r="A976" s="4">
        <v>45891</v>
      </c>
      <c r="B976" t="s">
        <v>29</v>
      </c>
      <c r="C976" t="str">
        <f>_xlfn.IFNA(VLOOKUP($B976,ref!$B$2:$C$34,2,FALSE),"NA")</f>
        <v>Spot</v>
      </c>
      <c r="D976" s="5" t="s">
        <v>40</v>
      </c>
      <c r="E976">
        <v>8</v>
      </c>
      <c r="F976" s="1">
        <v>0.3</v>
      </c>
      <c r="G976" s="1">
        <v>0.28499999999999998</v>
      </c>
      <c r="H976" s="10">
        <f t="shared" si="15"/>
        <v>5.0000000000000044E-2</v>
      </c>
    </row>
    <row r="977" spans="1:8" x14ac:dyDescent="0.25">
      <c r="A977" s="4">
        <v>45891</v>
      </c>
      <c r="B977" t="s">
        <v>29</v>
      </c>
      <c r="C977" t="str">
        <f>_xlfn.IFNA(VLOOKUP($B977,ref!$B$2:$C$34,2,FALSE),"NA")</f>
        <v>Spot</v>
      </c>
      <c r="D977" s="5" t="s">
        <v>40</v>
      </c>
      <c r="E977">
        <v>8</v>
      </c>
      <c r="F977" s="1">
        <v>0.3</v>
      </c>
      <c r="G977" s="1">
        <v>0.28499999999999998</v>
      </c>
      <c r="H977" s="10">
        <f t="shared" si="15"/>
        <v>5.0000000000000044E-2</v>
      </c>
    </row>
    <row r="978" spans="1:8" x14ac:dyDescent="0.25">
      <c r="A978" s="4">
        <v>45891</v>
      </c>
      <c r="B978" t="s">
        <v>29</v>
      </c>
      <c r="C978" t="str">
        <f>_xlfn.IFNA(VLOOKUP($B978,ref!$B$2:$C$34,2,FALSE),"NA")</f>
        <v>Spot</v>
      </c>
      <c r="D978" s="5" t="s">
        <v>40</v>
      </c>
      <c r="E978">
        <v>8</v>
      </c>
      <c r="F978" s="1">
        <v>0.3</v>
      </c>
      <c r="G978" s="1">
        <v>0.28499999999999998</v>
      </c>
      <c r="H978" s="10">
        <f t="shared" si="15"/>
        <v>5.0000000000000044E-2</v>
      </c>
    </row>
    <row r="979" spans="1:8" x14ac:dyDescent="0.25">
      <c r="A979" s="4">
        <v>45891</v>
      </c>
      <c r="B979" t="s">
        <v>29</v>
      </c>
      <c r="C979" t="str">
        <f>_xlfn.IFNA(VLOOKUP($B979,ref!$B$2:$C$34,2,FALSE),"NA")</f>
        <v>Spot</v>
      </c>
      <c r="D979" s="5" t="s">
        <v>40</v>
      </c>
      <c r="E979">
        <v>8</v>
      </c>
      <c r="F979" s="1">
        <v>0.3</v>
      </c>
      <c r="G979" s="1">
        <v>0.28499999999999998</v>
      </c>
      <c r="H979" s="10">
        <f t="shared" si="15"/>
        <v>5.0000000000000044E-2</v>
      </c>
    </row>
    <row r="980" spans="1:8" x14ac:dyDescent="0.25">
      <c r="A980" s="4">
        <v>45891</v>
      </c>
      <c r="B980" t="s">
        <v>29</v>
      </c>
      <c r="C980" t="str">
        <f>_xlfn.IFNA(VLOOKUP($B980,ref!$B$2:$C$34,2,FALSE),"NA")</f>
        <v>Spot</v>
      </c>
      <c r="D980" s="5" t="s">
        <v>40</v>
      </c>
      <c r="E980">
        <v>8</v>
      </c>
      <c r="F980" s="1">
        <v>0.3</v>
      </c>
      <c r="G980" s="1">
        <v>0.28499999999999998</v>
      </c>
      <c r="H980" s="10">
        <f t="shared" si="15"/>
        <v>5.0000000000000044E-2</v>
      </c>
    </row>
    <row r="981" spans="1:8" x14ac:dyDescent="0.25">
      <c r="A981" s="4">
        <v>45891</v>
      </c>
      <c r="B981" t="s">
        <v>29</v>
      </c>
      <c r="C981" t="str">
        <f>_xlfn.IFNA(VLOOKUP($B981,ref!$B$2:$C$34,2,FALSE),"NA")</f>
        <v>Spot</v>
      </c>
      <c r="D981" s="5" t="s">
        <v>40</v>
      </c>
      <c r="E981">
        <v>8</v>
      </c>
      <c r="F981" s="1">
        <v>0.3</v>
      </c>
      <c r="G981" s="1">
        <v>0.28499999999999998</v>
      </c>
      <c r="H981" s="10">
        <f t="shared" si="15"/>
        <v>5.0000000000000044E-2</v>
      </c>
    </row>
    <row r="982" spans="1:8" x14ac:dyDescent="0.25">
      <c r="A982" s="4">
        <v>45891</v>
      </c>
      <c r="B982" t="s">
        <v>29</v>
      </c>
      <c r="C982" t="str">
        <f>_xlfn.IFNA(VLOOKUP($B982,ref!$B$2:$C$34,2,FALSE),"NA")</f>
        <v>Spot</v>
      </c>
      <c r="D982" s="5" t="s">
        <v>40</v>
      </c>
      <c r="E982">
        <v>8</v>
      </c>
      <c r="F982" s="1">
        <v>0.3</v>
      </c>
      <c r="G982" s="1">
        <v>0.28499999999999998</v>
      </c>
      <c r="H982" s="10">
        <f t="shared" si="15"/>
        <v>5.0000000000000044E-2</v>
      </c>
    </row>
    <row r="983" spans="1:8" x14ac:dyDescent="0.25">
      <c r="A983" s="4">
        <v>45891</v>
      </c>
      <c r="B983" t="s">
        <v>29</v>
      </c>
      <c r="C983" t="str">
        <f>_xlfn.IFNA(VLOOKUP($B983,ref!$B$2:$C$34,2,FALSE),"NA")</f>
        <v>Spot</v>
      </c>
      <c r="D983" s="5" t="s">
        <v>40</v>
      </c>
      <c r="E983">
        <v>8</v>
      </c>
      <c r="F983" s="1">
        <v>0.3</v>
      </c>
      <c r="G983" s="1">
        <v>0.28499999999999998</v>
      </c>
      <c r="H983" s="10">
        <f t="shared" si="15"/>
        <v>5.0000000000000044E-2</v>
      </c>
    </row>
    <row r="984" spans="1:8" x14ac:dyDescent="0.25">
      <c r="A984" s="4">
        <v>45891</v>
      </c>
      <c r="B984" t="s">
        <v>29</v>
      </c>
      <c r="C984" t="str">
        <f>_xlfn.IFNA(VLOOKUP($B984,ref!$B$2:$C$34,2,FALSE),"NA")</f>
        <v>Spot</v>
      </c>
      <c r="D984" s="5" t="s">
        <v>40</v>
      </c>
      <c r="E984">
        <v>8</v>
      </c>
      <c r="F984" s="1">
        <v>0.3</v>
      </c>
      <c r="G984" s="1">
        <v>0.28499999999999998</v>
      </c>
      <c r="H984" s="10">
        <f t="shared" si="15"/>
        <v>5.0000000000000044E-2</v>
      </c>
    </row>
    <row r="985" spans="1:8" x14ac:dyDescent="0.25">
      <c r="A985" s="4">
        <v>45891</v>
      </c>
      <c r="B985" t="s">
        <v>29</v>
      </c>
      <c r="C985" t="str">
        <f>_xlfn.IFNA(VLOOKUP($B985,ref!$B$2:$C$34,2,FALSE),"NA")</f>
        <v>Spot</v>
      </c>
      <c r="D985" s="5" t="s">
        <v>40</v>
      </c>
      <c r="E985">
        <v>8</v>
      </c>
      <c r="F985" s="1">
        <v>0.5</v>
      </c>
      <c r="G985" s="1">
        <v>0.438</v>
      </c>
      <c r="H985" s="10">
        <f t="shared" si="15"/>
        <v>0.124</v>
      </c>
    </row>
    <row r="986" spans="1:8" x14ac:dyDescent="0.25">
      <c r="A986" s="4">
        <v>45890</v>
      </c>
      <c r="B986" t="s">
        <v>9</v>
      </c>
      <c r="C986" t="str">
        <f>_xlfn.IFNA(VLOOKUP($B986,ref!$B$2:$C$34,2,FALSE),"NA")</f>
        <v>12 Month</v>
      </c>
      <c r="D986" s="5">
        <v>4090</v>
      </c>
      <c r="E986">
        <v>8</v>
      </c>
      <c r="F986" s="1">
        <v>0.38</v>
      </c>
      <c r="G986" s="1">
        <v>0.32</v>
      </c>
      <c r="H986" s="10">
        <f t="shared" si="15"/>
        <v>0.15789473684210531</v>
      </c>
    </row>
    <row r="987" spans="1:8" x14ac:dyDescent="0.25">
      <c r="A987" s="4">
        <v>45890</v>
      </c>
      <c r="B987" t="s">
        <v>9</v>
      </c>
      <c r="C987" t="str">
        <f>_xlfn.IFNA(VLOOKUP($B987,ref!$B$2:$C$34,2,FALSE),"NA")</f>
        <v>12 Month</v>
      </c>
      <c r="D987" s="5">
        <v>4090</v>
      </c>
      <c r="E987">
        <v>8</v>
      </c>
      <c r="F987" s="1">
        <v>0.38</v>
      </c>
      <c r="G987" s="1">
        <v>0.32</v>
      </c>
      <c r="H987" s="10">
        <f t="shared" si="15"/>
        <v>0.15789473684210531</v>
      </c>
    </row>
    <row r="988" spans="1:8" x14ac:dyDescent="0.25">
      <c r="A988" s="4">
        <v>45890</v>
      </c>
      <c r="B988" t="s">
        <v>9</v>
      </c>
      <c r="C988" t="str">
        <f>_xlfn.IFNA(VLOOKUP($B988,ref!$B$2:$C$34,2,FALSE),"NA")</f>
        <v>12 Month</v>
      </c>
      <c r="D988" s="5">
        <v>4090</v>
      </c>
      <c r="E988">
        <v>8</v>
      </c>
      <c r="F988" s="1">
        <v>0.38</v>
      </c>
      <c r="G988" s="1">
        <v>0.32</v>
      </c>
      <c r="H988" s="10">
        <f t="shared" si="15"/>
        <v>0.15789473684210531</v>
      </c>
    </row>
    <row r="989" spans="1:8" x14ac:dyDescent="0.25">
      <c r="A989" s="4">
        <v>45890</v>
      </c>
      <c r="B989" t="s">
        <v>9</v>
      </c>
      <c r="C989" t="str">
        <f>_xlfn.IFNA(VLOOKUP($B989,ref!$B$2:$C$34,2,FALSE),"NA")</f>
        <v>12 Month</v>
      </c>
      <c r="D989" s="5">
        <v>4090</v>
      </c>
      <c r="E989">
        <v>8</v>
      </c>
      <c r="F989" s="1">
        <v>0.38</v>
      </c>
      <c r="G989" s="1">
        <v>0.32</v>
      </c>
      <c r="H989" s="10">
        <f t="shared" si="15"/>
        <v>0.15789473684210531</v>
      </c>
    </row>
    <row r="990" spans="1:8" x14ac:dyDescent="0.25">
      <c r="A990" s="4">
        <v>45890</v>
      </c>
      <c r="B990" t="s">
        <v>9</v>
      </c>
      <c r="C990" t="str">
        <f>_xlfn.IFNA(VLOOKUP($B990,ref!$B$2:$C$34,2,FALSE),"NA")</f>
        <v>12 Month</v>
      </c>
      <c r="D990" s="5">
        <v>4090</v>
      </c>
      <c r="E990">
        <v>8</v>
      </c>
      <c r="F990" s="1">
        <v>0.38</v>
      </c>
      <c r="G990" s="1">
        <v>0.32</v>
      </c>
      <c r="H990" s="10">
        <f t="shared" si="15"/>
        <v>0.15789473684210531</v>
      </c>
    </row>
    <row r="991" spans="1:8" x14ac:dyDescent="0.25">
      <c r="A991" s="4">
        <v>45890</v>
      </c>
      <c r="B991" t="s">
        <v>9</v>
      </c>
      <c r="C991" t="str">
        <f>_xlfn.IFNA(VLOOKUP($B991,ref!$B$2:$C$34,2,FALSE),"NA")</f>
        <v>12 Month</v>
      </c>
      <c r="D991" s="5">
        <v>4090</v>
      </c>
      <c r="E991">
        <v>8</v>
      </c>
      <c r="F991" s="1">
        <v>0.38</v>
      </c>
      <c r="G991" s="1">
        <v>0.32</v>
      </c>
      <c r="H991" s="10">
        <f t="shared" si="15"/>
        <v>0.15789473684210531</v>
      </c>
    </row>
    <row r="992" spans="1:8" x14ac:dyDescent="0.25">
      <c r="A992" s="4">
        <v>45890</v>
      </c>
      <c r="B992" t="s">
        <v>9</v>
      </c>
      <c r="C992" t="str">
        <f>_xlfn.IFNA(VLOOKUP($B992,ref!$B$2:$C$34,2,FALSE),"NA")</f>
        <v>12 Month</v>
      </c>
      <c r="D992" s="5">
        <v>4090</v>
      </c>
      <c r="E992">
        <v>8</v>
      </c>
      <c r="F992" s="1">
        <v>0.38</v>
      </c>
      <c r="G992" s="1">
        <v>0.32</v>
      </c>
      <c r="H992" s="10">
        <f t="shared" si="15"/>
        <v>0.15789473684210531</v>
      </c>
    </row>
    <row r="993" spans="1:8" x14ac:dyDescent="0.25">
      <c r="A993" s="4">
        <v>45889</v>
      </c>
      <c r="B993" t="s">
        <v>29</v>
      </c>
      <c r="C993" t="str">
        <f>_xlfn.IFNA(VLOOKUP($B993,ref!$B$2:$C$34,2,FALSE),"NA")</f>
        <v>Spot</v>
      </c>
      <c r="D993" s="5" t="s">
        <v>50</v>
      </c>
      <c r="E993">
        <v>8</v>
      </c>
      <c r="F993" s="1">
        <v>4.3499999999999996</v>
      </c>
      <c r="G993" s="1">
        <v>3.85</v>
      </c>
      <c r="H993" s="10">
        <f t="shared" si="15"/>
        <v>0.11494252873563204</v>
      </c>
    </row>
    <row r="994" spans="1:8" x14ac:dyDescent="0.25">
      <c r="A994" s="4">
        <v>45889</v>
      </c>
      <c r="B994" t="s">
        <v>29</v>
      </c>
      <c r="C994" t="str">
        <f>_xlfn.IFNA(VLOOKUP($B994,ref!$B$2:$C$34,2,FALSE),"NA")</f>
        <v>Spot</v>
      </c>
      <c r="D994" s="5" t="s">
        <v>50</v>
      </c>
      <c r="E994">
        <v>8</v>
      </c>
      <c r="F994" s="1">
        <v>4.3499999999999996</v>
      </c>
      <c r="G994" s="1">
        <v>3.85</v>
      </c>
      <c r="H994" s="10">
        <f t="shared" si="15"/>
        <v>0.11494252873563204</v>
      </c>
    </row>
    <row r="995" spans="1:8" x14ac:dyDescent="0.25">
      <c r="A995" s="4">
        <v>45887</v>
      </c>
      <c r="B995" t="s">
        <v>29</v>
      </c>
      <c r="C995" t="str">
        <f>_xlfn.IFNA(VLOOKUP($B995,ref!$B$2:$C$34,2,FALSE),"NA")</f>
        <v>Spot</v>
      </c>
      <c r="D995" s="5" t="s">
        <v>18</v>
      </c>
      <c r="E995">
        <v>8</v>
      </c>
      <c r="F995" s="1">
        <v>0.59</v>
      </c>
      <c r="G995" s="1">
        <v>0.52</v>
      </c>
      <c r="H995" s="10">
        <f t="shared" si="15"/>
        <v>0.11864406779661008</v>
      </c>
    </row>
    <row r="996" spans="1:8" x14ac:dyDescent="0.25">
      <c r="A996" s="4">
        <v>45885</v>
      </c>
      <c r="B996" t="s">
        <v>29</v>
      </c>
      <c r="C996" t="str">
        <f>_xlfn.IFNA(VLOOKUP($B996,ref!$B$2:$C$34,2,FALSE),"NA")</f>
        <v>Spot</v>
      </c>
      <c r="D996" s="5" t="s">
        <v>40</v>
      </c>
      <c r="E996">
        <v>8</v>
      </c>
      <c r="F996" s="1">
        <v>0.3</v>
      </c>
      <c r="G996" s="1">
        <v>0.28499999999999998</v>
      </c>
      <c r="H996" s="10">
        <f t="shared" si="15"/>
        <v>5.0000000000000044E-2</v>
      </c>
    </row>
    <row r="997" spans="1:8" x14ac:dyDescent="0.25">
      <c r="A997" s="4">
        <v>45885</v>
      </c>
      <c r="B997" t="s">
        <v>29</v>
      </c>
      <c r="C997" t="str">
        <f>_xlfn.IFNA(VLOOKUP($B997,ref!$B$2:$C$34,2,FALSE),"NA")</f>
        <v>Spot</v>
      </c>
      <c r="D997" s="5" t="s">
        <v>40</v>
      </c>
      <c r="E997">
        <v>8</v>
      </c>
      <c r="F997" s="1">
        <v>0.3</v>
      </c>
      <c r="G997" s="1">
        <v>0.28499999999999998</v>
      </c>
      <c r="H997" s="10">
        <f t="shared" si="15"/>
        <v>5.0000000000000044E-2</v>
      </c>
    </row>
    <row r="998" spans="1:8" x14ac:dyDescent="0.25">
      <c r="A998" s="4">
        <v>45885</v>
      </c>
      <c r="B998" t="s">
        <v>29</v>
      </c>
      <c r="C998" t="str">
        <f>_xlfn.IFNA(VLOOKUP($B998,ref!$B$2:$C$34,2,FALSE),"NA")</f>
        <v>Spot</v>
      </c>
      <c r="D998" s="5" t="s">
        <v>40</v>
      </c>
      <c r="E998">
        <v>8</v>
      </c>
      <c r="F998" s="1">
        <v>0.3</v>
      </c>
      <c r="G998" s="1">
        <v>0.28499999999999998</v>
      </c>
      <c r="H998" s="10">
        <f t="shared" si="15"/>
        <v>5.0000000000000044E-2</v>
      </c>
    </row>
    <row r="999" spans="1:8" x14ac:dyDescent="0.25">
      <c r="A999" s="4">
        <v>45885</v>
      </c>
      <c r="B999" t="s">
        <v>29</v>
      </c>
      <c r="C999" t="str">
        <f>_xlfn.IFNA(VLOOKUP($B999,ref!$B$2:$C$34,2,FALSE),"NA")</f>
        <v>Spot</v>
      </c>
      <c r="D999" s="5" t="s">
        <v>40</v>
      </c>
      <c r="E999">
        <v>8</v>
      </c>
      <c r="F999" s="1">
        <v>0.3</v>
      </c>
      <c r="G999" s="1">
        <v>0.28499999999999998</v>
      </c>
      <c r="H999" s="10">
        <f t="shared" si="15"/>
        <v>5.0000000000000044E-2</v>
      </c>
    </row>
    <row r="1000" spans="1:8" x14ac:dyDescent="0.25">
      <c r="A1000" s="4">
        <v>45885</v>
      </c>
      <c r="B1000" t="s">
        <v>29</v>
      </c>
      <c r="C1000" t="str">
        <f>_xlfn.IFNA(VLOOKUP($B1000,ref!$B$2:$C$34,2,FALSE),"NA")</f>
        <v>Spot</v>
      </c>
      <c r="D1000" s="5" t="s">
        <v>40</v>
      </c>
      <c r="E1000">
        <v>8</v>
      </c>
      <c r="F1000" s="1">
        <v>0.3</v>
      </c>
      <c r="G1000" s="1">
        <v>0.28499999999999998</v>
      </c>
      <c r="H1000" s="10">
        <f t="shared" si="15"/>
        <v>5.0000000000000044E-2</v>
      </c>
    </row>
    <row r="1001" spans="1:8" x14ac:dyDescent="0.25">
      <c r="A1001" s="4">
        <v>45885</v>
      </c>
      <c r="B1001" t="s">
        <v>29</v>
      </c>
      <c r="C1001" t="str">
        <f>_xlfn.IFNA(VLOOKUP($B1001,ref!$B$2:$C$34,2,FALSE),"NA")</f>
        <v>Spot</v>
      </c>
      <c r="D1001" s="5" t="s">
        <v>40</v>
      </c>
      <c r="E1001">
        <v>8</v>
      </c>
      <c r="F1001" s="1">
        <v>0.3</v>
      </c>
      <c r="G1001" s="1">
        <v>0.28499999999999998</v>
      </c>
      <c r="H1001" s="10">
        <f t="shared" si="15"/>
        <v>5.0000000000000044E-2</v>
      </c>
    </row>
    <row r="1002" spans="1:8" x14ac:dyDescent="0.25">
      <c r="A1002" s="4">
        <v>45885</v>
      </c>
      <c r="B1002" t="s">
        <v>29</v>
      </c>
      <c r="C1002" t="str">
        <f>_xlfn.IFNA(VLOOKUP($B1002,ref!$B$2:$C$34,2,FALSE),"NA")</f>
        <v>Spot</v>
      </c>
      <c r="D1002" s="5" t="s">
        <v>40</v>
      </c>
      <c r="E1002">
        <v>8</v>
      </c>
      <c r="F1002" s="1">
        <v>0.3</v>
      </c>
      <c r="G1002" s="1">
        <v>0.28499999999999998</v>
      </c>
      <c r="H1002" s="10">
        <f t="shared" si="15"/>
        <v>5.0000000000000044E-2</v>
      </c>
    </row>
    <row r="1003" spans="1:8" x14ac:dyDescent="0.25">
      <c r="A1003" s="4">
        <v>45885</v>
      </c>
      <c r="B1003" t="s">
        <v>29</v>
      </c>
      <c r="C1003" t="str">
        <f>_xlfn.IFNA(VLOOKUP($B1003,ref!$B$2:$C$34,2,FALSE),"NA")</f>
        <v>Spot</v>
      </c>
      <c r="D1003" s="5" t="s">
        <v>40</v>
      </c>
      <c r="E1003">
        <v>8</v>
      </c>
      <c r="F1003" s="1">
        <v>0.3</v>
      </c>
      <c r="G1003" s="1">
        <v>0.28499999999999998</v>
      </c>
      <c r="H1003" s="10">
        <f t="shared" si="15"/>
        <v>5.0000000000000044E-2</v>
      </c>
    </row>
    <row r="1004" spans="1:8" x14ac:dyDescent="0.25">
      <c r="A1004" s="4">
        <v>45885</v>
      </c>
      <c r="B1004" t="s">
        <v>29</v>
      </c>
      <c r="C1004" t="str">
        <f>_xlfn.IFNA(VLOOKUP($B1004,ref!$B$2:$C$34,2,FALSE),"NA")</f>
        <v>Spot</v>
      </c>
      <c r="D1004" s="5" t="s">
        <v>40</v>
      </c>
      <c r="E1004">
        <v>8</v>
      </c>
      <c r="F1004" s="1">
        <v>0.3</v>
      </c>
      <c r="G1004" s="1">
        <v>0.28499999999999998</v>
      </c>
      <c r="H1004" s="10">
        <f t="shared" si="15"/>
        <v>5.0000000000000044E-2</v>
      </c>
    </row>
    <row r="1005" spans="1:8" x14ac:dyDescent="0.25">
      <c r="A1005" s="4">
        <v>45885</v>
      </c>
      <c r="B1005" t="s">
        <v>29</v>
      </c>
      <c r="C1005" t="str">
        <f>_xlfn.IFNA(VLOOKUP($B1005,ref!$B$2:$C$34,2,FALSE),"NA")</f>
        <v>Spot</v>
      </c>
      <c r="D1005" s="5" t="s">
        <v>40</v>
      </c>
      <c r="E1005">
        <v>8</v>
      </c>
      <c r="F1005" s="1">
        <v>0.3</v>
      </c>
      <c r="G1005" s="1">
        <v>0.28499999999999998</v>
      </c>
      <c r="H1005" s="10">
        <f t="shared" si="15"/>
        <v>5.0000000000000044E-2</v>
      </c>
    </row>
    <row r="1006" spans="1:8" x14ac:dyDescent="0.25">
      <c r="A1006" s="4">
        <v>45885</v>
      </c>
      <c r="B1006" t="s">
        <v>29</v>
      </c>
      <c r="C1006" t="str">
        <f>_xlfn.IFNA(VLOOKUP($B1006,ref!$B$2:$C$34,2,FALSE),"NA")</f>
        <v>Spot</v>
      </c>
      <c r="D1006" s="5" t="s">
        <v>40</v>
      </c>
      <c r="E1006">
        <v>8</v>
      </c>
      <c r="F1006" s="1">
        <v>0.3</v>
      </c>
      <c r="G1006" s="1">
        <v>0.28499999999999998</v>
      </c>
      <c r="H1006" s="10">
        <f t="shared" si="15"/>
        <v>5.0000000000000044E-2</v>
      </c>
    </row>
    <row r="1007" spans="1:8" x14ac:dyDescent="0.25">
      <c r="A1007" s="4">
        <v>45884</v>
      </c>
      <c r="B1007" t="s">
        <v>35</v>
      </c>
      <c r="C1007" t="str">
        <f>_xlfn.IFNA(VLOOKUP($B1007,ref!$B$2:$C$34,2,FALSE),"NA")</f>
        <v>Misc</v>
      </c>
      <c r="D1007" s="5" t="s">
        <v>7</v>
      </c>
      <c r="E1007">
        <v>8</v>
      </c>
      <c r="F1007" s="1">
        <v>1.35</v>
      </c>
      <c r="G1007" s="1">
        <v>1.25</v>
      </c>
      <c r="H1007" s="10">
        <f t="shared" si="15"/>
        <v>7.4074074074074181E-2</v>
      </c>
    </row>
    <row r="1008" spans="1:8" x14ac:dyDescent="0.25">
      <c r="A1008" s="4">
        <v>45884</v>
      </c>
      <c r="B1008" t="s">
        <v>29</v>
      </c>
      <c r="C1008" t="str">
        <f>_xlfn.IFNA(VLOOKUP($B1008,ref!$B$2:$C$34,2,FALSE),"NA")</f>
        <v>Spot</v>
      </c>
      <c r="D1008" s="5" t="s">
        <v>40</v>
      </c>
      <c r="E1008">
        <v>8</v>
      </c>
      <c r="F1008" s="1">
        <v>0.5</v>
      </c>
      <c r="G1008" s="1">
        <v>0.438</v>
      </c>
      <c r="H1008" s="10">
        <f t="shared" si="15"/>
        <v>0.124</v>
      </c>
    </row>
    <row r="1009" spans="1:8" x14ac:dyDescent="0.25">
      <c r="A1009" s="4">
        <v>45884</v>
      </c>
      <c r="B1009" t="s">
        <v>29</v>
      </c>
      <c r="C1009" t="str">
        <f>_xlfn.IFNA(VLOOKUP($B1009,ref!$B$2:$C$34,2,FALSE),"NA")</f>
        <v>Spot</v>
      </c>
      <c r="D1009" s="5" t="s">
        <v>40</v>
      </c>
      <c r="E1009">
        <v>8</v>
      </c>
      <c r="F1009" s="1">
        <v>0.5</v>
      </c>
      <c r="G1009" s="1">
        <v>0.438</v>
      </c>
      <c r="H1009" s="10">
        <f t="shared" si="15"/>
        <v>0.124</v>
      </c>
    </row>
    <row r="1010" spans="1:8" x14ac:dyDescent="0.25">
      <c r="A1010" s="4">
        <v>45883</v>
      </c>
      <c r="B1010" t="s">
        <v>14</v>
      </c>
      <c r="C1010" t="str">
        <f>_xlfn.IFNA(VLOOKUP($B1010,ref!$B$2:$C$34,2,FALSE),"NA")</f>
        <v>Spot</v>
      </c>
      <c r="D1010" s="5" t="s">
        <v>46</v>
      </c>
      <c r="E1010">
        <v>8</v>
      </c>
      <c r="F1010" s="1">
        <v>4.3499999999999996</v>
      </c>
      <c r="G1010" s="1">
        <v>3.85</v>
      </c>
      <c r="H1010" s="10">
        <f t="shared" si="15"/>
        <v>0.11494252873563204</v>
      </c>
    </row>
    <row r="1011" spans="1:8" x14ac:dyDescent="0.25">
      <c r="A1011" s="4">
        <v>45883</v>
      </c>
      <c r="B1011" t="s">
        <v>14</v>
      </c>
      <c r="C1011" t="str">
        <f>_xlfn.IFNA(VLOOKUP($B1011,ref!$B$2:$C$34,2,FALSE),"NA")</f>
        <v>Spot</v>
      </c>
      <c r="D1011" s="5" t="s">
        <v>46</v>
      </c>
      <c r="E1011">
        <v>8</v>
      </c>
      <c r="F1011" s="1">
        <v>4.3499999999999996</v>
      </c>
      <c r="G1011" s="1">
        <v>3.85</v>
      </c>
      <c r="H1011" s="10">
        <f t="shared" si="15"/>
        <v>0.11494252873563204</v>
      </c>
    </row>
    <row r="1012" spans="1:8" x14ac:dyDescent="0.25">
      <c r="A1012" s="4">
        <v>45882</v>
      </c>
      <c r="B1012" t="s">
        <v>17</v>
      </c>
      <c r="C1012" t="str">
        <f>_xlfn.IFNA(VLOOKUP($B1012,ref!$B$2:$C$34,2,FALSE),"NA")</f>
        <v>6 Month</v>
      </c>
      <c r="D1012" s="5" t="s">
        <v>38</v>
      </c>
      <c r="E1012">
        <v>8</v>
      </c>
      <c r="F1012" s="1">
        <v>0.44</v>
      </c>
      <c r="G1012" s="1">
        <v>0.4</v>
      </c>
      <c r="H1012" s="10">
        <f t="shared" si="15"/>
        <v>9.0909090909090828E-2</v>
      </c>
    </row>
    <row r="1013" spans="1:8" x14ac:dyDescent="0.25">
      <c r="A1013" s="4">
        <v>45882</v>
      </c>
      <c r="B1013" t="s">
        <v>17</v>
      </c>
      <c r="C1013" t="str">
        <f>_xlfn.IFNA(VLOOKUP($B1013,ref!$B$2:$C$34,2,FALSE),"NA")</f>
        <v>6 Month</v>
      </c>
      <c r="D1013" s="5" t="s">
        <v>38</v>
      </c>
      <c r="E1013">
        <v>8</v>
      </c>
      <c r="F1013" s="1">
        <v>0.44</v>
      </c>
      <c r="G1013" s="1">
        <v>0.4</v>
      </c>
      <c r="H1013" s="10">
        <f t="shared" si="15"/>
        <v>9.0909090909090828E-2</v>
      </c>
    </row>
    <row r="1014" spans="1:8" x14ac:dyDescent="0.25">
      <c r="A1014" s="4">
        <v>45882</v>
      </c>
      <c r="B1014" t="s">
        <v>17</v>
      </c>
      <c r="C1014" t="str">
        <f>_xlfn.IFNA(VLOOKUP($B1014,ref!$B$2:$C$34,2,FALSE),"NA")</f>
        <v>6 Month</v>
      </c>
      <c r="D1014" s="5" t="s">
        <v>38</v>
      </c>
      <c r="E1014">
        <v>8</v>
      </c>
      <c r="F1014" s="1">
        <v>0.44</v>
      </c>
      <c r="G1014" s="1">
        <v>0.4</v>
      </c>
      <c r="H1014" s="10">
        <f t="shared" si="15"/>
        <v>9.0909090909090828E-2</v>
      </c>
    </row>
    <row r="1015" spans="1:8" x14ac:dyDescent="0.25">
      <c r="A1015" s="4">
        <v>45882</v>
      </c>
      <c r="B1015" t="s">
        <v>17</v>
      </c>
      <c r="C1015" t="str">
        <f>_xlfn.IFNA(VLOOKUP($B1015,ref!$B$2:$C$34,2,FALSE),"NA")</f>
        <v>6 Month</v>
      </c>
      <c r="D1015" s="5" t="s">
        <v>38</v>
      </c>
      <c r="E1015">
        <v>8</v>
      </c>
      <c r="F1015" s="1">
        <v>0.44</v>
      </c>
      <c r="G1015" s="1">
        <v>0.4</v>
      </c>
      <c r="H1015" s="10">
        <f t="shared" si="15"/>
        <v>9.0909090909090828E-2</v>
      </c>
    </row>
    <row r="1016" spans="1:8" x14ac:dyDescent="0.25">
      <c r="A1016" s="4">
        <v>45882</v>
      </c>
      <c r="B1016" t="s">
        <v>17</v>
      </c>
      <c r="C1016" t="str">
        <f>_xlfn.IFNA(VLOOKUP($B1016,ref!$B$2:$C$34,2,FALSE),"NA")</f>
        <v>6 Month</v>
      </c>
      <c r="D1016" s="5" t="s">
        <v>38</v>
      </c>
      <c r="E1016">
        <v>8</v>
      </c>
      <c r="F1016" s="1">
        <v>0.44</v>
      </c>
      <c r="G1016" s="1">
        <v>0.4</v>
      </c>
      <c r="H1016" s="10">
        <f t="shared" si="15"/>
        <v>9.0909090909090828E-2</v>
      </c>
    </row>
    <row r="1017" spans="1:8" x14ac:dyDescent="0.25">
      <c r="A1017" s="4">
        <v>45882</v>
      </c>
      <c r="B1017" t="s">
        <v>29</v>
      </c>
      <c r="C1017" t="str">
        <f>_xlfn.IFNA(VLOOKUP($B1017,ref!$B$2:$C$34,2,FALSE),"NA")</f>
        <v>Spot</v>
      </c>
      <c r="D1017" s="5" t="s">
        <v>40</v>
      </c>
      <c r="E1017">
        <v>8</v>
      </c>
      <c r="F1017" s="1">
        <v>0.5</v>
      </c>
      <c r="G1017" s="1">
        <v>0.438</v>
      </c>
      <c r="H1017" s="10">
        <f t="shared" si="15"/>
        <v>0.124</v>
      </c>
    </row>
    <row r="1018" spans="1:8" x14ac:dyDescent="0.25">
      <c r="A1018" s="4">
        <v>45882</v>
      </c>
      <c r="B1018" t="s">
        <v>14</v>
      </c>
      <c r="C1018" t="str">
        <f>_xlfn.IFNA(VLOOKUP($B1018,ref!$B$2:$C$34,2,FALSE),"NA")</f>
        <v>Spot</v>
      </c>
      <c r="D1018" s="5" t="s">
        <v>7</v>
      </c>
      <c r="E1018">
        <v>8</v>
      </c>
      <c r="F1018" s="1">
        <v>2.35</v>
      </c>
      <c r="G1018" s="1">
        <v>2.1</v>
      </c>
      <c r="H1018" s="10">
        <f t="shared" si="15"/>
        <v>0.1063829787234043</v>
      </c>
    </row>
    <row r="1019" spans="1:8" x14ac:dyDescent="0.25">
      <c r="A1019" s="4">
        <v>45882</v>
      </c>
      <c r="B1019" t="s">
        <v>17</v>
      </c>
      <c r="C1019" t="str">
        <f>_xlfn.IFNA(VLOOKUP($B1019,ref!$B$2:$C$34,2,FALSE),"NA")</f>
        <v>6 Month</v>
      </c>
      <c r="D1019" s="5" t="s">
        <v>38</v>
      </c>
      <c r="E1019">
        <v>8</v>
      </c>
      <c r="F1019" s="1">
        <v>0.44</v>
      </c>
      <c r="G1019" s="1">
        <v>0.4</v>
      </c>
      <c r="H1019" s="10">
        <f t="shared" si="15"/>
        <v>9.0909090909090828E-2</v>
      </c>
    </row>
    <row r="1020" spans="1:8" x14ac:dyDescent="0.25">
      <c r="A1020" s="4">
        <v>45881</v>
      </c>
      <c r="B1020" t="s">
        <v>35</v>
      </c>
      <c r="C1020" t="str">
        <f>_xlfn.IFNA(VLOOKUP($B1020,ref!$B$2:$C$34,2,FALSE),"NA")</f>
        <v>Misc</v>
      </c>
      <c r="D1020" s="5" t="s">
        <v>7</v>
      </c>
      <c r="E1020">
        <v>8</v>
      </c>
      <c r="F1020" s="1">
        <v>1.76</v>
      </c>
      <c r="G1020" s="1">
        <v>1.65</v>
      </c>
      <c r="H1020" s="10">
        <f t="shared" si="15"/>
        <v>6.25E-2</v>
      </c>
    </row>
    <row r="1021" spans="1:8" x14ac:dyDescent="0.25">
      <c r="A1021" s="4">
        <v>45881</v>
      </c>
      <c r="B1021" t="s">
        <v>35</v>
      </c>
      <c r="C1021" t="str">
        <f>_xlfn.IFNA(VLOOKUP($B1021,ref!$B$2:$C$34,2,FALSE),"NA")</f>
        <v>Misc</v>
      </c>
      <c r="D1021" s="5" t="s">
        <v>7</v>
      </c>
      <c r="E1021">
        <v>8</v>
      </c>
      <c r="F1021" s="1">
        <v>1.76</v>
      </c>
      <c r="G1021" s="1">
        <v>1.65</v>
      </c>
      <c r="H1021" s="10">
        <f t="shared" si="15"/>
        <v>6.25E-2</v>
      </c>
    </row>
    <row r="1022" spans="1:8" x14ac:dyDescent="0.25">
      <c r="A1022" s="4">
        <v>45879</v>
      </c>
      <c r="B1022" t="s">
        <v>44</v>
      </c>
      <c r="C1022" t="str">
        <f>_xlfn.IFNA(VLOOKUP($B1022,ref!$B$2:$C$34,2,FALSE),"NA")</f>
        <v>Spot</v>
      </c>
      <c r="D1022" s="5" t="s">
        <v>18</v>
      </c>
      <c r="E1022">
        <v>8</v>
      </c>
      <c r="F1022" s="1">
        <v>0.85</v>
      </c>
      <c r="G1022" s="1">
        <v>0.75</v>
      </c>
      <c r="H1022" s="10">
        <f t="shared" si="15"/>
        <v>0.11764705882352944</v>
      </c>
    </row>
    <row r="1023" spans="1:8" x14ac:dyDescent="0.25">
      <c r="A1023" s="4">
        <v>45879</v>
      </c>
      <c r="B1023" t="s">
        <v>44</v>
      </c>
      <c r="C1023" t="str">
        <f>_xlfn.IFNA(VLOOKUP($B1023,ref!$B$2:$C$34,2,FALSE),"NA")</f>
        <v>Spot</v>
      </c>
      <c r="D1023" s="5" t="s">
        <v>18</v>
      </c>
      <c r="E1023">
        <v>8</v>
      </c>
      <c r="F1023" s="1">
        <v>0.85</v>
      </c>
      <c r="G1023" s="1">
        <v>0.75</v>
      </c>
      <c r="H1023" s="10">
        <f t="shared" si="15"/>
        <v>0.11764705882352944</v>
      </c>
    </row>
    <row r="1024" spans="1:8" x14ac:dyDescent="0.25">
      <c r="A1024" s="4">
        <v>45879</v>
      </c>
      <c r="B1024" t="s">
        <v>44</v>
      </c>
      <c r="C1024" t="str">
        <f>_xlfn.IFNA(VLOOKUP($B1024,ref!$B$2:$C$34,2,FALSE),"NA")</f>
        <v>Spot</v>
      </c>
      <c r="D1024" s="5" t="s">
        <v>18</v>
      </c>
      <c r="E1024">
        <v>8</v>
      </c>
      <c r="F1024" s="1">
        <v>0.85</v>
      </c>
      <c r="G1024" s="1">
        <v>0.75</v>
      </c>
      <c r="H1024" s="10">
        <f t="shared" si="15"/>
        <v>0.11764705882352944</v>
      </c>
    </row>
    <row r="1025" spans="1:8" x14ac:dyDescent="0.25">
      <c r="A1025" s="4">
        <v>45877</v>
      </c>
      <c r="B1025" t="s">
        <v>6</v>
      </c>
      <c r="C1025" t="str">
        <f>_xlfn.IFNA(VLOOKUP($B1025,ref!$B$2:$C$34,2,FALSE),"NA")</f>
        <v>3 Month</v>
      </c>
      <c r="D1025" s="5" t="s">
        <v>18</v>
      </c>
      <c r="E1025">
        <v>8</v>
      </c>
      <c r="F1025" s="1">
        <v>0.8</v>
      </c>
      <c r="G1025" s="1">
        <v>0.72</v>
      </c>
      <c r="H1025" s="10">
        <f t="shared" si="15"/>
        <v>0.10000000000000009</v>
      </c>
    </row>
    <row r="1026" spans="1:8" x14ac:dyDescent="0.25">
      <c r="A1026" s="4">
        <v>45877</v>
      </c>
      <c r="B1026" t="s">
        <v>6</v>
      </c>
      <c r="C1026" t="str">
        <f>_xlfn.IFNA(VLOOKUP($B1026,ref!$B$2:$C$34,2,FALSE),"NA")</f>
        <v>3 Month</v>
      </c>
      <c r="D1026" s="5" t="s">
        <v>18</v>
      </c>
      <c r="E1026">
        <v>8</v>
      </c>
      <c r="F1026" s="1">
        <v>0.8</v>
      </c>
      <c r="G1026" s="1">
        <v>0.72</v>
      </c>
      <c r="H1026" s="10">
        <f t="shared" si="15"/>
        <v>0.10000000000000009</v>
      </c>
    </row>
    <row r="1027" spans="1:8" x14ac:dyDescent="0.25">
      <c r="A1027" s="4">
        <v>45877</v>
      </c>
      <c r="B1027" t="s">
        <v>6</v>
      </c>
      <c r="C1027" t="str">
        <f>_xlfn.IFNA(VLOOKUP($B1027,ref!$B$2:$C$34,2,FALSE),"NA")</f>
        <v>3 Month</v>
      </c>
      <c r="D1027" s="5" t="s">
        <v>18</v>
      </c>
      <c r="E1027">
        <v>8</v>
      </c>
      <c r="F1027" s="1">
        <v>0.8</v>
      </c>
      <c r="G1027" s="1">
        <v>0.72</v>
      </c>
      <c r="H1027" s="10">
        <f t="shared" ref="H1027:H1090" si="16">1-(G1027/F1027)</f>
        <v>0.10000000000000009</v>
      </c>
    </row>
    <row r="1028" spans="1:8" x14ac:dyDescent="0.25">
      <c r="A1028" s="4">
        <v>45877</v>
      </c>
      <c r="B1028" t="s">
        <v>6</v>
      </c>
      <c r="C1028" t="str">
        <f>_xlfn.IFNA(VLOOKUP($B1028,ref!$B$2:$C$34,2,FALSE),"NA")</f>
        <v>3 Month</v>
      </c>
      <c r="D1028" s="5" t="s">
        <v>18</v>
      </c>
      <c r="E1028">
        <v>8</v>
      </c>
      <c r="F1028" s="1">
        <v>0.8</v>
      </c>
      <c r="G1028" s="1">
        <v>0.72</v>
      </c>
      <c r="H1028" s="10">
        <f t="shared" si="16"/>
        <v>0.10000000000000009</v>
      </c>
    </row>
    <row r="1029" spans="1:8" x14ac:dyDescent="0.25">
      <c r="A1029" s="4">
        <v>45877</v>
      </c>
      <c r="B1029" t="s">
        <v>6</v>
      </c>
      <c r="C1029" t="str">
        <f>_xlfn.IFNA(VLOOKUP($B1029,ref!$B$2:$C$34,2,FALSE),"NA")</f>
        <v>3 Month</v>
      </c>
      <c r="D1029" s="5" t="s">
        <v>18</v>
      </c>
      <c r="E1029">
        <v>8</v>
      </c>
      <c r="F1029" s="1">
        <v>0.8</v>
      </c>
      <c r="G1029" s="1">
        <v>0.72</v>
      </c>
      <c r="H1029" s="10">
        <f t="shared" si="16"/>
        <v>0.10000000000000009</v>
      </c>
    </row>
    <row r="1030" spans="1:8" x14ac:dyDescent="0.25">
      <c r="A1030" s="4">
        <v>45877</v>
      </c>
      <c r="B1030" t="s">
        <v>6</v>
      </c>
      <c r="C1030" t="str">
        <f>_xlfn.IFNA(VLOOKUP($B1030,ref!$B$2:$C$34,2,FALSE),"NA")</f>
        <v>3 Month</v>
      </c>
      <c r="D1030" s="5" t="s">
        <v>18</v>
      </c>
      <c r="E1030">
        <v>8</v>
      </c>
      <c r="F1030" s="1">
        <v>0.8</v>
      </c>
      <c r="G1030" s="1">
        <v>0.72</v>
      </c>
      <c r="H1030" s="10">
        <f t="shared" si="16"/>
        <v>0.10000000000000009</v>
      </c>
    </row>
    <row r="1031" spans="1:8" x14ac:dyDescent="0.25">
      <c r="A1031" s="4">
        <v>45877</v>
      </c>
      <c r="B1031" t="s">
        <v>29</v>
      </c>
      <c r="C1031" t="str">
        <f>_xlfn.IFNA(VLOOKUP($B1031,ref!$B$2:$C$34,2,FALSE),"NA")</f>
        <v>Spot</v>
      </c>
      <c r="D1031" s="5" t="s">
        <v>46</v>
      </c>
      <c r="E1031">
        <v>8</v>
      </c>
      <c r="F1031" s="1">
        <v>4.3499999999999996</v>
      </c>
      <c r="G1031" s="1">
        <v>3.85</v>
      </c>
      <c r="H1031" s="10">
        <f t="shared" si="16"/>
        <v>0.11494252873563204</v>
      </c>
    </row>
    <row r="1032" spans="1:8" x14ac:dyDescent="0.25">
      <c r="A1032" s="4">
        <v>45877</v>
      </c>
      <c r="B1032" t="s">
        <v>35</v>
      </c>
      <c r="C1032" t="str">
        <f>_xlfn.IFNA(VLOOKUP($B1032,ref!$B$2:$C$34,2,FALSE),"NA")</f>
        <v>Misc</v>
      </c>
      <c r="D1032" s="5" t="s">
        <v>7</v>
      </c>
      <c r="E1032">
        <v>8</v>
      </c>
      <c r="F1032" s="1">
        <v>2.15</v>
      </c>
      <c r="G1032" s="1">
        <v>1.9</v>
      </c>
      <c r="H1032" s="10">
        <f t="shared" si="16"/>
        <v>0.11627906976744184</v>
      </c>
    </row>
    <row r="1033" spans="1:8" x14ac:dyDescent="0.25">
      <c r="A1033" s="4">
        <v>45876</v>
      </c>
      <c r="B1033" t="s">
        <v>49</v>
      </c>
      <c r="C1033" t="str">
        <f>_xlfn.IFNA(VLOOKUP($B1033,ref!$B$2:$C$34,2,FALSE),"NA")</f>
        <v>Misc</v>
      </c>
      <c r="D1033" s="5" t="s">
        <v>7</v>
      </c>
      <c r="E1033">
        <v>8</v>
      </c>
      <c r="F1033" s="1">
        <v>1.75</v>
      </c>
      <c r="G1033" s="1">
        <v>1.65</v>
      </c>
      <c r="H1033" s="10">
        <f t="shared" si="16"/>
        <v>5.7142857142857162E-2</v>
      </c>
    </row>
    <row r="1034" spans="1:8" x14ac:dyDescent="0.25">
      <c r="A1034" s="4">
        <v>45875</v>
      </c>
      <c r="B1034" t="s">
        <v>29</v>
      </c>
      <c r="C1034" t="str">
        <f>_xlfn.IFNA(VLOOKUP($B1034,ref!$B$2:$C$34,2,FALSE),"NA")</f>
        <v>Spot</v>
      </c>
      <c r="D1034" s="5" t="s">
        <v>34</v>
      </c>
      <c r="E1034">
        <v>8</v>
      </c>
      <c r="F1034" s="1">
        <v>0.3</v>
      </c>
      <c r="G1034" s="1">
        <v>0.26</v>
      </c>
      <c r="H1034" s="10">
        <f t="shared" si="16"/>
        <v>0.1333333333333333</v>
      </c>
    </row>
    <row r="1035" spans="1:8" x14ac:dyDescent="0.25">
      <c r="A1035" s="4">
        <v>45873</v>
      </c>
      <c r="B1035" t="s">
        <v>29</v>
      </c>
      <c r="C1035" t="str">
        <f>_xlfn.IFNA(VLOOKUP($B1035,ref!$B$2:$C$34,2,FALSE),"NA")</f>
        <v>Spot</v>
      </c>
      <c r="D1035" s="5" t="s">
        <v>40</v>
      </c>
      <c r="E1035">
        <v>8</v>
      </c>
      <c r="F1035" s="1">
        <v>0.5</v>
      </c>
      <c r="G1035" s="1">
        <v>0.438</v>
      </c>
      <c r="H1035" s="10">
        <f t="shared" si="16"/>
        <v>0.124</v>
      </c>
    </row>
    <row r="1036" spans="1:8" x14ac:dyDescent="0.25">
      <c r="A1036" s="4">
        <v>45870</v>
      </c>
      <c r="B1036" t="s">
        <v>29</v>
      </c>
      <c r="C1036" t="str">
        <f>_xlfn.IFNA(VLOOKUP($B1036,ref!$B$2:$C$34,2,FALSE),"NA")</f>
        <v>Spot</v>
      </c>
      <c r="D1036" s="5" t="s">
        <v>7</v>
      </c>
      <c r="E1036">
        <v>8</v>
      </c>
      <c r="F1036" s="1">
        <v>2.2000000000000002</v>
      </c>
      <c r="G1036" s="1">
        <v>2</v>
      </c>
      <c r="H1036" s="10">
        <f t="shared" si="16"/>
        <v>9.0909090909090939E-2</v>
      </c>
    </row>
    <row r="1037" spans="1:8" x14ac:dyDescent="0.25">
      <c r="A1037" s="4">
        <v>45870</v>
      </c>
      <c r="B1037" t="s">
        <v>14</v>
      </c>
      <c r="C1037" t="str">
        <f>_xlfn.IFNA(VLOOKUP($B1037,ref!$B$2:$C$34,2,FALSE),"NA")</f>
        <v>Spot</v>
      </c>
      <c r="D1037" s="5" t="s">
        <v>7</v>
      </c>
      <c r="E1037">
        <v>8</v>
      </c>
      <c r="F1037" s="1">
        <v>2.15</v>
      </c>
      <c r="G1037" s="1">
        <v>1.9</v>
      </c>
      <c r="H1037" s="10">
        <f t="shared" si="16"/>
        <v>0.11627906976744184</v>
      </c>
    </row>
    <row r="1038" spans="1:8" x14ac:dyDescent="0.25">
      <c r="A1038" s="4">
        <v>45869</v>
      </c>
      <c r="B1038" t="s">
        <v>29</v>
      </c>
      <c r="C1038" t="str">
        <f>_xlfn.IFNA(VLOOKUP($B1038,ref!$B$2:$C$34,2,FALSE),"NA")</f>
        <v>Spot</v>
      </c>
      <c r="D1038" s="5" t="s">
        <v>40</v>
      </c>
      <c r="E1038">
        <v>8</v>
      </c>
      <c r="F1038" s="1">
        <v>0.5</v>
      </c>
      <c r="G1038" s="1">
        <v>0.438</v>
      </c>
      <c r="H1038" s="10">
        <f t="shared" si="16"/>
        <v>0.124</v>
      </c>
    </row>
    <row r="1039" spans="1:8" x14ac:dyDescent="0.25">
      <c r="A1039" s="4">
        <v>45869</v>
      </c>
      <c r="B1039" t="s">
        <v>29</v>
      </c>
      <c r="C1039" t="str">
        <f>_xlfn.IFNA(VLOOKUP($B1039,ref!$B$2:$C$34,2,FALSE),"NA")</f>
        <v>Spot</v>
      </c>
      <c r="D1039" s="5" t="s">
        <v>40</v>
      </c>
      <c r="E1039">
        <v>8</v>
      </c>
      <c r="F1039" s="1">
        <v>0.5</v>
      </c>
      <c r="G1039" s="1">
        <v>0.438</v>
      </c>
      <c r="H1039" s="10">
        <f t="shared" si="16"/>
        <v>0.124</v>
      </c>
    </row>
    <row r="1040" spans="1:8" x14ac:dyDescent="0.25">
      <c r="A1040" s="4">
        <v>45869</v>
      </c>
      <c r="B1040" t="s">
        <v>29</v>
      </c>
      <c r="C1040" t="str">
        <f>_xlfn.IFNA(VLOOKUP($B1040,ref!$B$2:$C$34,2,FALSE),"NA")</f>
        <v>Spot</v>
      </c>
      <c r="D1040" s="5" t="s">
        <v>40</v>
      </c>
      <c r="E1040">
        <v>8</v>
      </c>
      <c r="F1040" s="1">
        <v>0.5</v>
      </c>
      <c r="G1040" s="1">
        <v>0.438</v>
      </c>
      <c r="H1040" s="10">
        <f t="shared" si="16"/>
        <v>0.124</v>
      </c>
    </row>
    <row r="1041" spans="1:8" x14ac:dyDescent="0.25">
      <c r="A1041" s="4">
        <v>45869</v>
      </c>
      <c r="B1041" t="s">
        <v>29</v>
      </c>
      <c r="C1041" t="str">
        <f>_xlfn.IFNA(VLOOKUP($B1041,ref!$B$2:$C$34,2,FALSE),"NA")</f>
        <v>Spot</v>
      </c>
      <c r="D1041" s="5" t="s">
        <v>40</v>
      </c>
      <c r="E1041">
        <v>8</v>
      </c>
      <c r="F1041" s="1">
        <v>0.5</v>
      </c>
      <c r="G1041" s="1">
        <v>0.438</v>
      </c>
      <c r="H1041" s="10">
        <f t="shared" si="16"/>
        <v>0.124</v>
      </c>
    </row>
    <row r="1042" spans="1:8" x14ac:dyDescent="0.25">
      <c r="A1042" s="4">
        <v>45869</v>
      </c>
      <c r="B1042" t="s">
        <v>29</v>
      </c>
      <c r="C1042" t="str">
        <f>_xlfn.IFNA(VLOOKUP($B1042,ref!$B$2:$C$34,2,FALSE),"NA")</f>
        <v>Spot</v>
      </c>
      <c r="D1042" s="5" t="s">
        <v>40</v>
      </c>
      <c r="E1042">
        <v>8</v>
      </c>
      <c r="F1042" s="1">
        <v>0.5</v>
      </c>
      <c r="G1042" s="1">
        <v>0.438</v>
      </c>
      <c r="H1042" s="10">
        <f t="shared" si="16"/>
        <v>0.124</v>
      </c>
    </row>
    <row r="1043" spans="1:8" x14ac:dyDescent="0.25">
      <c r="A1043" s="4">
        <v>45869</v>
      </c>
      <c r="B1043" t="s">
        <v>29</v>
      </c>
      <c r="C1043" t="str">
        <f>_xlfn.IFNA(VLOOKUP($B1043,ref!$B$2:$C$34,2,FALSE),"NA")</f>
        <v>Spot</v>
      </c>
      <c r="D1043" s="5" t="s">
        <v>40</v>
      </c>
      <c r="E1043">
        <v>8</v>
      </c>
      <c r="F1043" s="1">
        <v>0.5</v>
      </c>
      <c r="G1043" s="1">
        <v>0.438</v>
      </c>
      <c r="H1043" s="10">
        <f t="shared" si="16"/>
        <v>0.124</v>
      </c>
    </row>
    <row r="1044" spans="1:8" x14ac:dyDescent="0.25">
      <c r="A1044" s="4">
        <v>45869</v>
      </c>
      <c r="B1044" t="s">
        <v>29</v>
      </c>
      <c r="C1044" t="str">
        <f>_xlfn.IFNA(VLOOKUP($B1044,ref!$B$2:$C$34,2,FALSE),"NA")</f>
        <v>Spot</v>
      </c>
      <c r="D1044" s="5" t="s">
        <v>48</v>
      </c>
      <c r="E1044">
        <v>8</v>
      </c>
      <c r="F1044" s="1">
        <v>1.35</v>
      </c>
      <c r="G1044" s="1">
        <v>1.181</v>
      </c>
      <c r="H1044" s="10">
        <f t="shared" si="16"/>
        <v>0.12518518518518518</v>
      </c>
    </row>
    <row r="1045" spans="1:8" x14ac:dyDescent="0.25">
      <c r="A1045" s="4">
        <v>45869</v>
      </c>
      <c r="B1045" t="s">
        <v>29</v>
      </c>
      <c r="C1045" t="str">
        <f>_xlfn.IFNA(VLOOKUP($B1045,ref!$B$2:$C$34,2,FALSE),"NA")</f>
        <v>Spot</v>
      </c>
      <c r="D1045" s="5" t="s">
        <v>40</v>
      </c>
      <c r="E1045">
        <v>8</v>
      </c>
      <c r="F1045" s="1">
        <v>0.5</v>
      </c>
      <c r="G1045" s="1">
        <v>0.438</v>
      </c>
      <c r="H1045" s="10">
        <f t="shared" si="16"/>
        <v>0.124</v>
      </c>
    </row>
    <row r="1046" spans="1:8" x14ac:dyDescent="0.25">
      <c r="A1046" s="4">
        <v>45868</v>
      </c>
      <c r="B1046" t="s">
        <v>29</v>
      </c>
      <c r="C1046" t="str">
        <f>_xlfn.IFNA(VLOOKUP($B1046,ref!$B$2:$C$34,2,FALSE),"NA")</f>
        <v>Spot</v>
      </c>
      <c r="D1046" s="5" t="s">
        <v>18</v>
      </c>
      <c r="E1046">
        <v>8</v>
      </c>
      <c r="F1046" s="1">
        <v>0.59</v>
      </c>
      <c r="G1046" s="1">
        <v>0.52</v>
      </c>
      <c r="H1046" s="10">
        <f t="shared" si="16"/>
        <v>0.11864406779661008</v>
      </c>
    </row>
    <row r="1047" spans="1:8" x14ac:dyDescent="0.25">
      <c r="A1047" s="4">
        <v>45868</v>
      </c>
      <c r="B1047" t="s">
        <v>29</v>
      </c>
      <c r="C1047" t="str">
        <f>_xlfn.IFNA(VLOOKUP($B1047,ref!$B$2:$C$34,2,FALSE),"NA")</f>
        <v>Spot</v>
      </c>
      <c r="D1047" s="5" t="s">
        <v>18</v>
      </c>
      <c r="E1047">
        <v>8</v>
      </c>
      <c r="F1047" s="1">
        <v>0.59</v>
      </c>
      <c r="G1047" s="1">
        <v>0.52</v>
      </c>
      <c r="H1047" s="10">
        <f t="shared" si="16"/>
        <v>0.11864406779661008</v>
      </c>
    </row>
    <row r="1048" spans="1:8" x14ac:dyDescent="0.25">
      <c r="A1048" s="4">
        <v>45867</v>
      </c>
      <c r="B1048" t="s">
        <v>29</v>
      </c>
      <c r="C1048" t="str">
        <f>_xlfn.IFNA(VLOOKUP($B1048,ref!$B$2:$C$34,2,FALSE),"NA")</f>
        <v>Spot</v>
      </c>
      <c r="D1048" s="5" t="s">
        <v>40</v>
      </c>
      <c r="E1048">
        <v>8</v>
      </c>
      <c r="F1048" s="1">
        <v>0.5</v>
      </c>
      <c r="G1048" s="1">
        <v>0.438</v>
      </c>
      <c r="H1048" s="10">
        <f t="shared" si="16"/>
        <v>0.124</v>
      </c>
    </row>
    <row r="1049" spans="1:8" x14ac:dyDescent="0.25">
      <c r="A1049" s="4">
        <v>45867</v>
      </c>
      <c r="B1049" t="s">
        <v>29</v>
      </c>
      <c r="C1049" t="str">
        <f>_xlfn.IFNA(VLOOKUP($B1049,ref!$B$2:$C$34,2,FALSE),"NA")</f>
        <v>Spot</v>
      </c>
      <c r="D1049" s="5" t="s">
        <v>40</v>
      </c>
      <c r="E1049">
        <v>8</v>
      </c>
      <c r="F1049" s="1">
        <v>0.5</v>
      </c>
      <c r="G1049" s="1">
        <v>0.438</v>
      </c>
      <c r="H1049" s="10">
        <f t="shared" si="16"/>
        <v>0.124</v>
      </c>
    </row>
    <row r="1050" spans="1:8" x14ac:dyDescent="0.25">
      <c r="A1050" s="4">
        <v>45867</v>
      </c>
      <c r="B1050" t="s">
        <v>29</v>
      </c>
      <c r="C1050" t="str">
        <f>_xlfn.IFNA(VLOOKUP($B1050,ref!$B$2:$C$34,2,FALSE),"NA")</f>
        <v>Spot</v>
      </c>
      <c r="D1050" s="5" t="s">
        <v>34</v>
      </c>
      <c r="E1050">
        <v>8</v>
      </c>
      <c r="F1050" s="1">
        <v>0.3</v>
      </c>
      <c r="G1050" s="1">
        <v>0.26300000000000001</v>
      </c>
      <c r="H1050" s="10">
        <f t="shared" si="16"/>
        <v>0.12333333333333329</v>
      </c>
    </row>
    <row r="1051" spans="1:8" x14ac:dyDescent="0.25">
      <c r="A1051" s="4">
        <v>45866</v>
      </c>
      <c r="B1051" t="s">
        <v>29</v>
      </c>
      <c r="C1051" t="str">
        <f>_xlfn.IFNA(VLOOKUP($B1051,ref!$B$2:$C$34,2,FALSE),"NA")</f>
        <v>Spot</v>
      </c>
      <c r="D1051" s="5" t="s">
        <v>40</v>
      </c>
      <c r="E1051">
        <v>8</v>
      </c>
      <c r="F1051" s="1">
        <v>0.5</v>
      </c>
      <c r="G1051" s="1">
        <v>0.438</v>
      </c>
      <c r="H1051" s="10">
        <f t="shared" si="16"/>
        <v>0.124</v>
      </c>
    </row>
    <row r="1052" spans="1:8" x14ac:dyDescent="0.25">
      <c r="A1052" s="4">
        <v>45866</v>
      </c>
      <c r="B1052" t="s">
        <v>29</v>
      </c>
      <c r="C1052" t="str">
        <f>_xlfn.IFNA(VLOOKUP($B1052,ref!$B$2:$C$34,2,FALSE),"NA")</f>
        <v>Spot</v>
      </c>
      <c r="D1052" s="5" t="s">
        <v>34</v>
      </c>
      <c r="E1052">
        <v>8</v>
      </c>
      <c r="F1052" s="1">
        <v>0.3</v>
      </c>
      <c r="G1052" s="1">
        <v>0.26300000000000001</v>
      </c>
      <c r="H1052" s="10">
        <f t="shared" si="16"/>
        <v>0.12333333333333329</v>
      </c>
    </row>
    <row r="1053" spans="1:8" x14ac:dyDescent="0.25">
      <c r="A1053" s="4">
        <v>45865</v>
      </c>
      <c r="B1053" t="s">
        <v>29</v>
      </c>
      <c r="C1053" t="str">
        <f>_xlfn.IFNA(VLOOKUP($B1053,ref!$B$2:$C$34,2,FALSE),"NA")</f>
        <v>Spot</v>
      </c>
      <c r="D1053" s="5" t="s">
        <v>40</v>
      </c>
      <c r="E1053">
        <v>8</v>
      </c>
      <c r="F1053" s="1">
        <v>0.52</v>
      </c>
      <c r="G1053" s="1">
        <v>0.45500000000000002</v>
      </c>
      <c r="H1053" s="10">
        <f t="shared" si="16"/>
        <v>0.125</v>
      </c>
    </row>
    <row r="1054" spans="1:8" x14ac:dyDescent="0.25">
      <c r="A1054" s="4">
        <v>45865</v>
      </c>
      <c r="B1054" t="s">
        <v>29</v>
      </c>
      <c r="C1054" t="str">
        <f>_xlfn.IFNA(VLOOKUP($B1054,ref!$B$2:$C$34,2,FALSE),"NA")</f>
        <v>Spot</v>
      </c>
      <c r="D1054" s="5" t="s">
        <v>34</v>
      </c>
      <c r="E1054">
        <v>8</v>
      </c>
      <c r="F1054" s="1">
        <v>0.3</v>
      </c>
      <c r="G1054" s="1">
        <v>0.26300000000000001</v>
      </c>
      <c r="H1054" s="10">
        <f t="shared" si="16"/>
        <v>0.12333333333333329</v>
      </c>
    </row>
    <row r="1055" spans="1:8" x14ac:dyDescent="0.25">
      <c r="A1055" s="4">
        <v>45865</v>
      </c>
      <c r="B1055" t="s">
        <v>29</v>
      </c>
      <c r="C1055" t="str">
        <f>_xlfn.IFNA(VLOOKUP($B1055,ref!$B$2:$C$34,2,FALSE),"NA")</f>
        <v>Spot</v>
      </c>
      <c r="D1055" s="5" t="s">
        <v>40</v>
      </c>
      <c r="E1055">
        <v>8</v>
      </c>
      <c r="F1055" s="1">
        <v>0.52</v>
      </c>
      <c r="G1055" s="1">
        <v>0.45500000000000002</v>
      </c>
      <c r="H1055" s="10">
        <f t="shared" si="16"/>
        <v>0.125</v>
      </c>
    </row>
    <row r="1056" spans="1:8" x14ac:dyDescent="0.25">
      <c r="A1056" s="4">
        <v>45864</v>
      </c>
      <c r="C1056" t="str">
        <f>_xlfn.IFNA(VLOOKUP($B1056,ref!$B$2:$C$34,2,FALSE),"NA")</f>
        <v>NA</v>
      </c>
      <c r="D1056" s="5">
        <v>3090</v>
      </c>
      <c r="E1056">
        <v>8</v>
      </c>
      <c r="F1056" s="1">
        <v>0.26</v>
      </c>
      <c r="G1056" s="1">
        <v>0.22800000000000001</v>
      </c>
      <c r="H1056" s="10">
        <f t="shared" si="16"/>
        <v>0.12307692307692308</v>
      </c>
    </row>
    <row r="1057" spans="1:8" x14ac:dyDescent="0.25">
      <c r="A1057" s="4">
        <v>45863</v>
      </c>
      <c r="B1057" t="s">
        <v>9</v>
      </c>
      <c r="C1057" t="str">
        <f>_xlfn.IFNA(VLOOKUP($B1057,ref!$B$2:$C$34,2,FALSE),"NA")</f>
        <v>12 Month</v>
      </c>
      <c r="D1057" s="5" t="s">
        <v>46</v>
      </c>
      <c r="E1057">
        <v>8</v>
      </c>
      <c r="F1057" s="1">
        <v>3.6</v>
      </c>
      <c r="G1057" s="1">
        <v>3.4</v>
      </c>
      <c r="H1057" s="10">
        <f t="shared" si="16"/>
        <v>5.555555555555558E-2</v>
      </c>
    </row>
    <row r="1058" spans="1:8" x14ac:dyDescent="0.25">
      <c r="A1058" s="4">
        <v>45863</v>
      </c>
      <c r="B1058" t="s">
        <v>9</v>
      </c>
      <c r="C1058" t="str">
        <f>_xlfn.IFNA(VLOOKUP($B1058,ref!$B$2:$C$34,2,FALSE),"NA")</f>
        <v>12 Month</v>
      </c>
      <c r="D1058" s="5" t="s">
        <v>46</v>
      </c>
      <c r="E1058">
        <v>8</v>
      </c>
      <c r="F1058" s="1">
        <v>3.6</v>
      </c>
      <c r="G1058" s="1">
        <v>3.4</v>
      </c>
      <c r="H1058" s="10">
        <f t="shared" si="16"/>
        <v>5.555555555555558E-2</v>
      </c>
    </row>
    <row r="1059" spans="1:8" x14ac:dyDescent="0.25">
      <c r="A1059" s="4">
        <v>45863</v>
      </c>
      <c r="B1059" t="s">
        <v>9</v>
      </c>
      <c r="C1059" t="str">
        <f>_xlfn.IFNA(VLOOKUP($B1059,ref!$B$2:$C$34,2,FALSE),"NA")</f>
        <v>12 Month</v>
      </c>
      <c r="D1059" s="5" t="s">
        <v>46</v>
      </c>
      <c r="E1059">
        <v>8</v>
      </c>
      <c r="F1059" s="1">
        <v>3.6</v>
      </c>
      <c r="G1059" s="1">
        <v>3.4</v>
      </c>
      <c r="H1059" s="10">
        <f t="shared" si="16"/>
        <v>5.555555555555558E-2</v>
      </c>
    </row>
    <row r="1060" spans="1:8" x14ac:dyDescent="0.25">
      <c r="A1060" s="4">
        <v>45863</v>
      </c>
      <c r="B1060" t="s">
        <v>9</v>
      </c>
      <c r="C1060" t="str">
        <f>_xlfn.IFNA(VLOOKUP($B1060,ref!$B$2:$C$34,2,FALSE),"NA")</f>
        <v>12 Month</v>
      </c>
      <c r="D1060" s="5" t="s">
        <v>46</v>
      </c>
      <c r="E1060">
        <v>8</v>
      </c>
      <c r="F1060" s="1">
        <v>3.6</v>
      </c>
      <c r="G1060" s="1">
        <v>3.4</v>
      </c>
      <c r="H1060" s="10">
        <f t="shared" si="16"/>
        <v>5.555555555555558E-2</v>
      </c>
    </row>
    <row r="1061" spans="1:8" x14ac:dyDescent="0.25">
      <c r="A1061" s="4">
        <v>45863</v>
      </c>
      <c r="B1061" t="s">
        <v>9</v>
      </c>
      <c r="C1061" t="str">
        <f>_xlfn.IFNA(VLOOKUP($B1061,ref!$B$2:$C$34,2,FALSE),"NA")</f>
        <v>12 Month</v>
      </c>
      <c r="D1061" s="5" t="s">
        <v>46</v>
      </c>
      <c r="E1061">
        <v>8</v>
      </c>
      <c r="F1061" s="1">
        <v>3.6</v>
      </c>
      <c r="G1061" s="1">
        <v>3.4</v>
      </c>
      <c r="H1061" s="10">
        <f t="shared" si="16"/>
        <v>5.555555555555558E-2</v>
      </c>
    </row>
    <row r="1062" spans="1:8" x14ac:dyDescent="0.25">
      <c r="A1062" s="4">
        <v>45863</v>
      </c>
      <c r="B1062" t="s">
        <v>9</v>
      </c>
      <c r="C1062" t="str">
        <f>_xlfn.IFNA(VLOOKUP($B1062,ref!$B$2:$C$34,2,FALSE),"NA")</f>
        <v>12 Month</v>
      </c>
      <c r="D1062" s="5" t="s">
        <v>46</v>
      </c>
      <c r="E1062">
        <v>8</v>
      </c>
      <c r="F1062" s="1">
        <v>3.6</v>
      </c>
      <c r="G1062" s="1">
        <v>3.4</v>
      </c>
      <c r="H1062" s="10">
        <f t="shared" si="16"/>
        <v>5.555555555555558E-2</v>
      </c>
    </row>
    <row r="1063" spans="1:8" x14ac:dyDescent="0.25">
      <c r="A1063" s="4">
        <v>45863</v>
      </c>
      <c r="B1063" t="s">
        <v>29</v>
      </c>
      <c r="C1063" t="str">
        <f>_xlfn.IFNA(VLOOKUP($B1063,ref!$B$2:$C$34,2,FALSE),"NA")</f>
        <v>Spot</v>
      </c>
      <c r="D1063" s="5" t="s">
        <v>34</v>
      </c>
      <c r="E1063">
        <v>8</v>
      </c>
      <c r="F1063" s="1">
        <v>0.04</v>
      </c>
      <c r="G1063" s="1">
        <v>3.5000000000000003E-2</v>
      </c>
      <c r="H1063" s="10">
        <f t="shared" si="16"/>
        <v>0.12499999999999989</v>
      </c>
    </row>
    <row r="1064" spans="1:8" x14ac:dyDescent="0.25">
      <c r="A1064" s="4">
        <v>45859</v>
      </c>
      <c r="B1064" t="s">
        <v>17</v>
      </c>
      <c r="C1064" t="str">
        <f>_xlfn.IFNA(VLOOKUP($B1064,ref!$B$2:$C$34,2,FALSE),"NA")</f>
        <v>6 Month</v>
      </c>
      <c r="D1064" s="5" t="s">
        <v>7</v>
      </c>
      <c r="E1064">
        <v>8</v>
      </c>
      <c r="F1064" s="1">
        <v>2.46</v>
      </c>
      <c r="G1064" s="1">
        <v>2.4</v>
      </c>
      <c r="H1064" s="10">
        <f t="shared" si="16"/>
        <v>2.4390243902439046E-2</v>
      </c>
    </row>
    <row r="1065" spans="1:8" x14ac:dyDescent="0.25">
      <c r="A1065" s="4">
        <v>45859</v>
      </c>
      <c r="B1065" t="s">
        <v>17</v>
      </c>
      <c r="C1065" t="str">
        <f>_xlfn.IFNA(VLOOKUP($B1065,ref!$B$2:$C$34,2,FALSE),"NA")</f>
        <v>6 Month</v>
      </c>
      <c r="D1065" s="5" t="s">
        <v>7</v>
      </c>
      <c r="E1065">
        <v>8</v>
      </c>
      <c r="F1065" s="1">
        <v>2.46</v>
      </c>
      <c r="G1065" s="1">
        <v>2.4</v>
      </c>
      <c r="H1065" s="10">
        <f t="shared" si="16"/>
        <v>2.4390243902439046E-2</v>
      </c>
    </row>
    <row r="1066" spans="1:8" x14ac:dyDescent="0.25">
      <c r="A1066" s="4">
        <v>45859</v>
      </c>
      <c r="B1066" t="s">
        <v>17</v>
      </c>
      <c r="C1066" t="str">
        <f>_xlfn.IFNA(VLOOKUP($B1066,ref!$B$2:$C$34,2,FALSE),"NA")</f>
        <v>6 Month</v>
      </c>
      <c r="D1066" s="5" t="s">
        <v>7</v>
      </c>
      <c r="E1066">
        <v>8</v>
      </c>
      <c r="F1066" s="1">
        <v>2.46</v>
      </c>
      <c r="G1066" s="1">
        <v>2.4</v>
      </c>
      <c r="H1066" s="10">
        <f t="shared" si="16"/>
        <v>2.4390243902439046E-2</v>
      </c>
    </row>
    <row r="1067" spans="1:8" x14ac:dyDescent="0.25">
      <c r="A1067" s="4">
        <v>45859</v>
      </c>
      <c r="B1067" t="s">
        <v>17</v>
      </c>
      <c r="C1067" t="str">
        <f>_xlfn.IFNA(VLOOKUP($B1067,ref!$B$2:$C$34,2,FALSE),"NA")</f>
        <v>6 Month</v>
      </c>
      <c r="D1067" s="5" t="s">
        <v>7</v>
      </c>
      <c r="E1067">
        <v>8</v>
      </c>
      <c r="F1067" s="1">
        <v>2.46</v>
      </c>
      <c r="G1067" s="1">
        <v>2.4</v>
      </c>
      <c r="H1067" s="10">
        <f t="shared" si="16"/>
        <v>2.4390243902439046E-2</v>
      </c>
    </row>
    <row r="1068" spans="1:8" x14ac:dyDescent="0.25">
      <c r="A1068" s="4">
        <v>45859</v>
      </c>
      <c r="B1068" t="s">
        <v>17</v>
      </c>
      <c r="C1068" t="str">
        <f>_xlfn.IFNA(VLOOKUP($B1068,ref!$B$2:$C$34,2,FALSE),"NA")</f>
        <v>6 Month</v>
      </c>
      <c r="D1068" s="5" t="s">
        <v>7</v>
      </c>
      <c r="E1068">
        <v>8</v>
      </c>
      <c r="F1068" s="1">
        <v>2.46</v>
      </c>
      <c r="G1068" s="1">
        <v>2.4</v>
      </c>
      <c r="H1068" s="10">
        <f t="shared" si="16"/>
        <v>2.4390243902439046E-2</v>
      </c>
    </row>
    <row r="1069" spans="1:8" x14ac:dyDescent="0.25">
      <c r="A1069" s="4">
        <v>45859</v>
      </c>
      <c r="B1069" t="s">
        <v>17</v>
      </c>
      <c r="C1069" t="str">
        <f>_xlfn.IFNA(VLOOKUP($B1069,ref!$B$2:$C$34,2,FALSE),"NA")</f>
        <v>6 Month</v>
      </c>
      <c r="D1069" s="5" t="s">
        <v>7</v>
      </c>
      <c r="E1069">
        <v>8</v>
      </c>
      <c r="F1069" s="1">
        <v>2.46</v>
      </c>
      <c r="G1069" s="1">
        <v>2.4</v>
      </c>
      <c r="H1069" s="10">
        <f t="shared" si="16"/>
        <v>2.4390243902439046E-2</v>
      </c>
    </row>
    <row r="1070" spans="1:8" x14ac:dyDescent="0.25">
      <c r="A1070" s="4">
        <v>45859</v>
      </c>
      <c r="B1070" t="s">
        <v>17</v>
      </c>
      <c r="C1070" t="str">
        <f>_xlfn.IFNA(VLOOKUP($B1070,ref!$B$2:$C$34,2,FALSE),"NA")</f>
        <v>6 Month</v>
      </c>
      <c r="D1070" s="5" t="s">
        <v>7</v>
      </c>
      <c r="E1070">
        <v>8</v>
      </c>
      <c r="F1070" s="1">
        <v>2.46</v>
      </c>
      <c r="G1070" s="1">
        <v>2.4</v>
      </c>
      <c r="H1070" s="10">
        <f t="shared" si="16"/>
        <v>2.4390243902439046E-2</v>
      </c>
    </row>
    <row r="1071" spans="1:8" x14ac:dyDescent="0.25">
      <c r="A1071" s="4">
        <v>45859</v>
      </c>
      <c r="B1071" t="s">
        <v>17</v>
      </c>
      <c r="C1071" t="str">
        <f>_xlfn.IFNA(VLOOKUP($B1071,ref!$B$2:$C$34,2,FALSE),"NA")</f>
        <v>6 Month</v>
      </c>
      <c r="D1071" s="5" t="s">
        <v>7</v>
      </c>
      <c r="E1071">
        <v>8</v>
      </c>
      <c r="F1071" s="1">
        <v>2.46</v>
      </c>
      <c r="G1071" s="1">
        <v>2.4</v>
      </c>
      <c r="H1071" s="10">
        <f t="shared" si="16"/>
        <v>2.4390243902439046E-2</v>
      </c>
    </row>
    <row r="1072" spans="1:8" x14ac:dyDescent="0.25">
      <c r="A1072" s="4">
        <v>45859</v>
      </c>
      <c r="B1072" t="s">
        <v>17</v>
      </c>
      <c r="C1072" t="str">
        <f>_xlfn.IFNA(VLOOKUP($B1072,ref!$B$2:$C$34,2,FALSE),"NA")</f>
        <v>6 Month</v>
      </c>
      <c r="D1072" s="5" t="s">
        <v>7</v>
      </c>
      <c r="E1072">
        <v>8</v>
      </c>
      <c r="F1072" s="1">
        <v>2.46</v>
      </c>
      <c r="G1072" s="1">
        <v>2.4</v>
      </c>
      <c r="H1072" s="10">
        <f t="shared" si="16"/>
        <v>2.4390243902439046E-2</v>
      </c>
    </row>
    <row r="1073" spans="1:8" x14ac:dyDescent="0.25">
      <c r="A1073" s="4">
        <v>45859</v>
      </c>
      <c r="B1073" t="s">
        <v>17</v>
      </c>
      <c r="C1073" t="str">
        <f>_xlfn.IFNA(VLOOKUP($B1073,ref!$B$2:$C$34,2,FALSE),"NA")</f>
        <v>6 Month</v>
      </c>
      <c r="D1073" s="5" t="s">
        <v>7</v>
      </c>
      <c r="E1073">
        <v>8</v>
      </c>
      <c r="F1073" s="1">
        <v>2.46</v>
      </c>
      <c r="G1073" s="1">
        <v>2.4</v>
      </c>
      <c r="H1073" s="10">
        <f t="shared" si="16"/>
        <v>2.4390243902439046E-2</v>
      </c>
    </row>
    <row r="1074" spans="1:8" x14ac:dyDescent="0.25">
      <c r="A1074" s="4">
        <v>45852</v>
      </c>
      <c r="B1074" t="s">
        <v>29</v>
      </c>
      <c r="C1074" t="str">
        <f>_xlfn.IFNA(VLOOKUP($B1074,ref!$B$2:$C$34,2,FALSE),"NA")</f>
        <v>Spot</v>
      </c>
      <c r="D1074" s="5" t="s">
        <v>40</v>
      </c>
      <c r="E1074">
        <v>8</v>
      </c>
      <c r="F1074" s="1">
        <v>0.3</v>
      </c>
      <c r="G1074" s="1">
        <v>0.28499999999999998</v>
      </c>
      <c r="H1074" s="10">
        <f t="shared" si="16"/>
        <v>5.0000000000000044E-2</v>
      </c>
    </row>
    <row r="1075" spans="1:8" x14ac:dyDescent="0.25">
      <c r="A1075" s="4">
        <v>45852</v>
      </c>
      <c r="B1075" t="s">
        <v>29</v>
      </c>
      <c r="C1075" t="str">
        <f>_xlfn.IFNA(VLOOKUP($B1075,ref!$B$2:$C$34,2,FALSE),"NA")</f>
        <v>Spot</v>
      </c>
      <c r="D1075" s="5" t="s">
        <v>40</v>
      </c>
      <c r="E1075">
        <v>8</v>
      </c>
      <c r="F1075" s="1">
        <v>0.3</v>
      </c>
      <c r="G1075" s="1">
        <v>0.28499999999999998</v>
      </c>
      <c r="H1075" s="10">
        <f t="shared" si="16"/>
        <v>5.0000000000000044E-2</v>
      </c>
    </row>
    <row r="1076" spans="1:8" x14ac:dyDescent="0.25">
      <c r="A1076" s="4">
        <v>45852</v>
      </c>
      <c r="B1076" t="s">
        <v>29</v>
      </c>
      <c r="C1076" t="str">
        <f>_xlfn.IFNA(VLOOKUP($B1076,ref!$B$2:$C$34,2,FALSE),"NA")</f>
        <v>Spot</v>
      </c>
      <c r="D1076" s="5" t="s">
        <v>40</v>
      </c>
      <c r="E1076">
        <v>8</v>
      </c>
      <c r="F1076" s="1">
        <v>0.3</v>
      </c>
      <c r="G1076" s="1">
        <v>0.28499999999999998</v>
      </c>
      <c r="H1076" s="10">
        <f t="shared" si="16"/>
        <v>5.0000000000000044E-2</v>
      </c>
    </row>
    <row r="1077" spans="1:8" x14ac:dyDescent="0.25">
      <c r="A1077" s="4">
        <v>45852</v>
      </c>
      <c r="B1077" t="s">
        <v>29</v>
      </c>
      <c r="C1077" t="str">
        <f>_xlfn.IFNA(VLOOKUP($B1077,ref!$B$2:$C$34,2,FALSE),"NA")</f>
        <v>Spot</v>
      </c>
      <c r="D1077" s="5" t="s">
        <v>40</v>
      </c>
      <c r="E1077">
        <v>8</v>
      </c>
      <c r="F1077" s="1">
        <v>0.3</v>
      </c>
      <c r="G1077" s="1">
        <v>0.28499999999999998</v>
      </c>
      <c r="H1077" s="10">
        <f t="shared" si="16"/>
        <v>5.0000000000000044E-2</v>
      </c>
    </row>
    <row r="1078" spans="1:8" x14ac:dyDescent="0.25">
      <c r="A1078" s="4">
        <v>45852</v>
      </c>
      <c r="B1078" t="s">
        <v>6</v>
      </c>
      <c r="C1078" t="str">
        <f>_xlfn.IFNA(VLOOKUP($B1078,ref!$B$2:$C$34,2,FALSE),"NA")</f>
        <v>3 Month</v>
      </c>
      <c r="D1078" s="5" t="s">
        <v>46</v>
      </c>
      <c r="E1078">
        <v>8</v>
      </c>
      <c r="F1078" s="1">
        <v>3.5</v>
      </c>
      <c r="G1078" s="1">
        <v>3.4</v>
      </c>
      <c r="H1078" s="10">
        <f t="shared" si="16"/>
        <v>2.8571428571428581E-2</v>
      </c>
    </row>
    <row r="1079" spans="1:8" x14ac:dyDescent="0.25">
      <c r="A1079" s="4">
        <v>45849</v>
      </c>
      <c r="B1079" t="s">
        <v>29</v>
      </c>
      <c r="C1079" t="str">
        <f>_xlfn.IFNA(VLOOKUP($B1079,ref!$B$2:$C$34,2,FALSE),"NA")</f>
        <v>Spot</v>
      </c>
      <c r="D1079" s="5" t="s">
        <v>7</v>
      </c>
      <c r="E1079">
        <v>8</v>
      </c>
      <c r="F1079" s="1">
        <v>2.9</v>
      </c>
      <c r="G1079" s="1">
        <v>2.5</v>
      </c>
      <c r="H1079" s="10">
        <f t="shared" si="16"/>
        <v>0.13793103448275856</v>
      </c>
    </row>
    <row r="1080" spans="1:8" x14ac:dyDescent="0.25">
      <c r="A1080" s="4">
        <v>45849</v>
      </c>
      <c r="B1080" t="s">
        <v>29</v>
      </c>
      <c r="C1080" t="str">
        <f>_xlfn.IFNA(VLOOKUP($B1080,ref!$B$2:$C$34,2,FALSE),"NA")</f>
        <v>Spot</v>
      </c>
      <c r="D1080" s="5" t="s">
        <v>7</v>
      </c>
      <c r="E1080">
        <v>8</v>
      </c>
      <c r="F1080" s="1">
        <v>2.9</v>
      </c>
      <c r="G1080" s="1">
        <v>2.5</v>
      </c>
      <c r="H1080" s="10">
        <f t="shared" si="16"/>
        <v>0.13793103448275856</v>
      </c>
    </row>
    <row r="1081" spans="1:8" x14ac:dyDescent="0.25">
      <c r="A1081" s="4">
        <v>45849</v>
      </c>
      <c r="B1081" t="s">
        <v>29</v>
      </c>
      <c r="C1081" t="str">
        <f>_xlfn.IFNA(VLOOKUP($B1081,ref!$B$2:$C$34,2,FALSE),"NA")</f>
        <v>Spot</v>
      </c>
      <c r="D1081" s="5" t="s">
        <v>7</v>
      </c>
      <c r="E1081">
        <v>8</v>
      </c>
      <c r="F1081" s="1">
        <v>2.9</v>
      </c>
      <c r="G1081" s="1">
        <v>2.5</v>
      </c>
      <c r="H1081" s="10">
        <f t="shared" si="16"/>
        <v>0.13793103448275856</v>
      </c>
    </row>
    <row r="1082" spans="1:8" x14ac:dyDescent="0.25">
      <c r="A1082" s="4">
        <v>45849</v>
      </c>
      <c r="B1082" t="s">
        <v>29</v>
      </c>
      <c r="C1082" t="str">
        <f>_xlfn.IFNA(VLOOKUP($B1082,ref!$B$2:$C$34,2,FALSE),"NA")</f>
        <v>Spot</v>
      </c>
      <c r="D1082" s="5" t="s">
        <v>40</v>
      </c>
      <c r="E1082">
        <v>8</v>
      </c>
      <c r="F1082" s="1">
        <v>0.3</v>
      </c>
      <c r="G1082" s="1">
        <v>0.28499999999999998</v>
      </c>
      <c r="H1082" s="10">
        <f t="shared" si="16"/>
        <v>5.0000000000000044E-2</v>
      </c>
    </row>
    <row r="1083" spans="1:8" x14ac:dyDescent="0.25">
      <c r="A1083" s="4">
        <v>45849</v>
      </c>
      <c r="B1083" t="s">
        <v>29</v>
      </c>
      <c r="C1083" t="str">
        <f>_xlfn.IFNA(VLOOKUP($B1083,ref!$B$2:$C$34,2,FALSE),"NA")</f>
        <v>Spot</v>
      </c>
      <c r="D1083" s="5" t="s">
        <v>40</v>
      </c>
      <c r="E1083">
        <v>8</v>
      </c>
      <c r="F1083" s="1">
        <v>0.3</v>
      </c>
      <c r="G1083" s="1">
        <v>0.28499999999999998</v>
      </c>
      <c r="H1083" s="10">
        <f t="shared" si="16"/>
        <v>5.0000000000000044E-2</v>
      </c>
    </row>
    <row r="1084" spans="1:8" x14ac:dyDescent="0.25">
      <c r="A1084" s="4">
        <v>45849</v>
      </c>
      <c r="B1084" t="s">
        <v>29</v>
      </c>
      <c r="C1084" t="str">
        <f>_xlfn.IFNA(VLOOKUP($B1084,ref!$B$2:$C$34,2,FALSE),"NA")</f>
        <v>Spot</v>
      </c>
      <c r="D1084" s="5" t="s">
        <v>7</v>
      </c>
      <c r="E1084">
        <v>8</v>
      </c>
      <c r="F1084" s="1">
        <v>2.9</v>
      </c>
      <c r="G1084" s="1">
        <v>2.5</v>
      </c>
      <c r="H1084" s="10">
        <f t="shared" si="16"/>
        <v>0.13793103448275856</v>
      </c>
    </row>
    <row r="1085" spans="1:8" x14ac:dyDescent="0.25">
      <c r="A1085" s="4">
        <v>45849</v>
      </c>
      <c r="B1085" t="s">
        <v>29</v>
      </c>
      <c r="C1085" t="str">
        <f>_xlfn.IFNA(VLOOKUP($B1085,ref!$B$2:$C$34,2,FALSE),"NA")</f>
        <v>Spot</v>
      </c>
      <c r="D1085" s="5" t="s">
        <v>40</v>
      </c>
      <c r="E1085">
        <v>8</v>
      </c>
      <c r="F1085" s="1">
        <v>0.3</v>
      </c>
      <c r="G1085" s="1">
        <v>0.28499999999999998</v>
      </c>
      <c r="H1085" s="10">
        <f t="shared" si="16"/>
        <v>5.0000000000000044E-2</v>
      </c>
    </row>
    <row r="1086" spans="1:8" x14ac:dyDescent="0.25">
      <c r="A1086" s="4">
        <v>45849</v>
      </c>
      <c r="B1086" t="s">
        <v>29</v>
      </c>
      <c r="C1086" t="str">
        <f>_xlfn.IFNA(VLOOKUP($B1086,ref!$B$2:$C$34,2,FALSE),"NA")</f>
        <v>Spot</v>
      </c>
      <c r="D1086" s="5" t="s">
        <v>40</v>
      </c>
      <c r="E1086">
        <v>8</v>
      </c>
      <c r="F1086" s="1">
        <v>0.3</v>
      </c>
      <c r="G1086" s="1">
        <v>0.28499999999999998</v>
      </c>
      <c r="H1086" s="10">
        <f t="shared" si="16"/>
        <v>5.0000000000000044E-2</v>
      </c>
    </row>
    <row r="1087" spans="1:8" x14ac:dyDescent="0.25">
      <c r="A1087" s="4">
        <v>45849</v>
      </c>
      <c r="B1087" t="s">
        <v>29</v>
      </c>
      <c r="C1087" t="str">
        <f>_xlfn.IFNA(VLOOKUP($B1087,ref!$B$2:$C$34,2,FALSE),"NA")</f>
        <v>Spot</v>
      </c>
      <c r="D1087" s="5" t="s">
        <v>7</v>
      </c>
      <c r="E1087">
        <v>8</v>
      </c>
      <c r="F1087" s="1">
        <v>2.9</v>
      </c>
      <c r="G1087" s="1">
        <v>2.5</v>
      </c>
      <c r="H1087" s="10">
        <f t="shared" si="16"/>
        <v>0.13793103448275856</v>
      </c>
    </row>
    <row r="1088" spans="1:8" x14ac:dyDescent="0.25">
      <c r="A1088" s="4">
        <v>45849</v>
      </c>
      <c r="B1088" t="s">
        <v>29</v>
      </c>
      <c r="C1088" t="str">
        <f>_xlfn.IFNA(VLOOKUP($B1088,ref!$B$2:$C$34,2,FALSE),"NA")</f>
        <v>Spot</v>
      </c>
      <c r="D1088" s="5" t="s">
        <v>40</v>
      </c>
      <c r="E1088">
        <v>8</v>
      </c>
      <c r="F1088" s="1">
        <v>0.3</v>
      </c>
      <c r="G1088" s="1">
        <v>0.28499999999999998</v>
      </c>
      <c r="H1088" s="10">
        <f t="shared" si="16"/>
        <v>5.0000000000000044E-2</v>
      </c>
    </row>
    <row r="1089" spans="1:8" x14ac:dyDescent="0.25">
      <c r="A1089" s="4">
        <v>45849</v>
      </c>
      <c r="B1089" t="s">
        <v>29</v>
      </c>
      <c r="C1089" t="str">
        <f>_xlfn.IFNA(VLOOKUP($B1089,ref!$B$2:$C$34,2,FALSE),"NA")</f>
        <v>Spot</v>
      </c>
      <c r="D1089" s="5" t="s">
        <v>40</v>
      </c>
      <c r="E1089">
        <v>8</v>
      </c>
      <c r="F1089" s="1">
        <v>0.3</v>
      </c>
      <c r="G1089" s="1">
        <v>0.28499999999999998</v>
      </c>
      <c r="H1089" s="10">
        <f t="shared" si="16"/>
        <v>5.0000000000000044E-2</v>
      </c>
    </row>
    <row r="1090" spans="1:8" x14ac:dyDescent="0.25">
      <c r="A1090" s="4">
        <v>45849</v>
      </c>
      <c r="C1090" t="str">
        <f>_xlfn.IFNA(VLOOKUP($B1090,ref!$B$2:$C$34,2,FALSE),"NA")</f>
        <v>NA</v>
      </c>
      <c r="D1090" s="5" t="s">
        <v>40</v>
      </c>
      <c r="E1090">
        <v>8</v>
      </c>
      <c r="F1090" s="1">
        <v>0.3</v>
      </c>
      <c r="G1090" s="1">
        <v>0.28499999999999998</v>
      </c>
      <c r="H1090" s="10">
        <f t="shared" si="16"/>
        <v>5.0000000000000044E-2</v>
      </c>
    </row>
    <row r="1091" spans="1:8" x14ac:dyDescent="0.25">
      <c r="A1091" s="4">
        <v>45849</v>
      </c>
      <c r="B1091" t="s">
        <v>29</v>
      </c>
      <c r="C1091" t="str">
        <f>_xlfn.IFNA(VLOOKUP($B1091,ref!$B$2:$C$34,2,FALSE),"NA")</f>
        <v>Spot</v>
      </c>
      <c r="D1091" s="5" t="s">
        <v>40</v>
      </c>
      <c r="E1091">
        <v>8</v>
      </c>
      <c r="F1091" s="1">
        <v>0.55000000000000004</v>
      </c>
      <c r="G1091" s="1">
        <v>0.48099999999999998</v>
      </c>
      <c r="H1091" s="10">
        <f t="shared" ref="H1091:H1154" si="17">1-(G1091/F1091)</f>
        <v>0.1254545454545456</v>
      </c>
    </row>
    <row r="1092" spans="1:8" x14ac:dyDescent="0.25">
      <c r="A1092" s="4">
        <v>45849</v>
      </c>
      <c r="B1092" t="s">
        <v>29</v>
      </c>
      <c r="C1092" t="str">
        <f>_xlfn.IFNA(VLOOKUP($B1092,ref!$B$2:$C$34,2,FALSE),"NA")</f>
        <v>Spot</v>
      </c>
      <c r="D1092" s="5" t="s">
        <v>7</v>
      </c>
      <c r="E1092">
        <v>8</v>
      </c>
      <c r="F1092" s="1">
        <v>2.9</v>
      </c>
      <c r="G1092" s="1">
        <v>2.5</v>
      </c>
      <c r="H1092" s="10">
        <f t="shared" si="17"/>
        <v>0.13793103448275856</v>
      </c>
    </row>
    <row r="1093" spans="1:8" x14ac:dyDescent="0.25">
      <c r="A1093" s="4">
        <v>45848</v>
      </c>
      <c r="B1093" t="s">
        <v>31</v>
      </c>
      <c r="C1093" t="str">
        <f>_xlfn.IFNA(VLOOKUP($B1093,ref!$B$2:$C$34,2,FALSE),"NA")</f>
        <v>1 Month</v>
      </c>
      <c r="D1093" s="5" t="s">
        <v>7</v>
      </c>
      <c r="E1093">
        <v>8</v>
      </c>
      <c r="F1093" s="1">
        <v>2.35</v>
      </c>
      <c r="G1093" s="1">
        <v>2.25</v>
      </c>
      <c r="H1093" s="10">
        <f t="shared" si="17"/>
        <v>4.2553191489361764E-2</v>
      </c>
    </row>
    <row r="1094" spans="1:8" x14ac:dyDescent="0.25">
      <c r="A1094" s="4">
        <v>45848</v>
      </c>
      <c r="B1094" t="s">
        <v>31</v>
      </c>
      <c r="C1094" t="str">
        <f>_xlfn.IFNA(VLOOKUP($B1094,ref!$B$2:$C$34,2,FALSE),"NA")</f>
        <v>1 Month</v>
      </c>
      <c r="D1094" s="5" t="s">
        <v>7</v>
      </c>
      <c r="E1094">
        <v>8</v>
      </c>
      <c r="F1094" s="1">
        <v>2.35</v>
      </c>
      <c r="G1094" s="1">
        <v>2.25</v>
      </c>
      <c r="H1094" s="10">
        <f t="shared" si="17"/>
        <v>4.2553191489361764E-2</v>
      </c>
    </row>
    <row r="1095" spans="1:8" x14ac:dyDescent="0.25">
      <c r="A1095" s="4">
        <v>45848</v>
      </c>
      <c r="B1095" t="s">
        <v>31</v>
      </c>
      <c r="C1095" t="str">
        <f>_xlfn.IFNA(VLOOKUP($B1095,ref!$B$2:$C$34,2,FALSE),"NA")</f>
        <v>1 Month</v>
      </c>
      <c r="D1095" s="5" t="s">
        <v>7</v>
      </c>
      <c r="E1095">
        <v>8</v>
      </c>
      <c r="F1095" s="1">
        <v>2.35</v>
      </c>
      <c r="G1095" s="1">
        <v>2.25</v>
      </c>
      <c r="H1095" s="10">
        <f t="shared" si="17"/>
        <v>4.2553191489361764E-2</v>
      </c>
    </row>
    <row r="1096" spans="1:8" x14ac:dyDescent="0.25">
      <c r="A1096" s="4">
        <v>45848</v>
      </c>
      <c r="B1096" t="s">
        <v>31</v>
      </c>
      <c r="C1096" t="str">
        <f>_xlfn.IFNA(VLOOKUP($B1096,ref!$B$2:$C$34,2,FALSE),"NA")</f>
        <v>1 Month</v>
      </c>
      <c r="D1096" s="5" t="s">
        <v>18</v>
      </c>
      <c r="E1096">
        <v>8</v>
      </c>
      <c r="F1096" s="1">
        <v>0.85</v>
      </c>
      <c r="G1096" s="1">
        <v>0.75</v>
      </c>
      <c r="H1096" s="10">
        <f t="shared" si="17"/>
        <v>0.11764705882352944</v>
      </c>
    </row>
    <row r="1097" spans="1:8" x14ac:dyDescent="0.25">
      <c r="A1097" s="4">
        <v>45848</v>
      </c>
      <c r="B1097" t="s">
        <v>31</v>
      </c>
      <c r="C1097" t="str">
        <f>_xlfn.IFNA(VLOOKUP($B1097,ref!$B$2:$C$34,2,FALSE),"NA")</f>
        <v>1 Month</v>
      </c>
      <c r="D1097" s="5" t="s">
        <v>7</v>
      </c>
      <c r="E1097">
        <v>8</v>
      </c>
      <c r="F1097" s="1">
        <v>2.6</v>
      </c>
      <c r="G1097" s="1">
        <v>2.4</v>
      </c>
      <c r="H1097" s="10">
        <f t="shared" si="17"/>
        <v>7.6923076923076983E-2</v>
      </c>
    </row>
    <row r="1098" spans="1:8" x14ac:dyDescent="0.25">
      <c r="A1098" s="4">
        <v>45848</v>
      </c>
      <c r="B1098" t="s">
        <v>31</v>
      </c>
      <c r="C1098" t="str">
        <f>_xlfn.IFNA(VLOOKUP($B1098,ref!$B$2:$C$34,2,FALSE),"NA")</f>
        <v>1 Month</v>
      </c>
      <c r="D1098" s="5" t="s">
        <v>7</v>
      </c>
      <c r="E1098">
        <v>8</v>
      </c>
      <c r="F1098" s="1">
        <v>2.6</v>
      </c>
      <c r="G1098" s="1">
        <v>2.4</v>
      </c>
      <c r="H1098" s="10">
        <f t="shared" si="17"/>
        <v>7.6923076923076983E-2</v>
      </c>
    </row>
    <row r="1099" spans="1:8" x14ac:dyDescent="0.25">
      <c r="A1099" s="4">
        <v>45848</v>
      </c>
      <c r="B1099" t="s">
        <v>31</v>
      </c>
      <c r="C1099" t="str">
        <f>_xlfn.IFNA(VLOOKUP($B1099,ref!$B$2:$C$34,2,FALSE),"NA")</f>
        <v>1 Month</v>
      </c>
      <c r="D1099" s="5" t="s">
        <v>7</v>
      </c>
      <c r="E1099">
        <v>8</v>
      </c>
      <c r="F1099" s="1">
        <v>2.6</v>
      </c>
      <c r="G1099" s="1">
        <v>2.4</v>
      </c>
      <c r="H1099" s="10">
        <f t="shared" si="17"/>
        <v>7.6923076923076983E-2</v>
      </c>
    </row>
    <row r="1100" spans="1:8" x14ac:dyDescent="0.25">
      <c r="A1100" s="4">
        <v>45848</v>
      </c>
      <c r="B1100" t="s">
        <v>31</v>
      </c>
      <c r="C1100" t="str">
        <f>_xlfn.IFNA(VLOOKUP($B1100,ref!$B$2:$C$34,2,FALSE),"NA")</f>
        <v>1 Month</v>
      </c>
      <c r="D1100" s="5" t="s">
        <v>7</v>
      </c>
      <c r="E1100">
        <v>8</v>
      </c>
      <c r="F1100" s="1">
        <v>2.6</v>
      </c>
      <c r="G1100" s="1">
        <v>2.4</v>
      </c>
      <c r="H1100" s="10">
        <f t="shared" si="17"/>
        <v>7.6923076923076983E-2</v>
      </c>
    </row>
    <row r="1101" spans="1:8" x14ac:dyDescent="0.25">
      <c r="A1101" s="4">
        <v>45848</v>
      </c>
      <c r="B1101" t="s">
        <v>31</v>
      </c>
      <c r="C1101" t="str">
        <f>_xlfn.IFNA(VLOOKUP($B1101,ref!$B$2:$C$34,2,FALSE),"NA")</f>
        <v>1 Month</v>
      </c>
      <c r="D1101" s="5" t="s">
        <v>18</v>
      </c>
      <c r="E1101">
        <v>8</v>
      </c>
      <c r="F1101" s="1">
        <v>0.85</v>
      </c>
      <c r="G1101" s="1">
        <v>0.75</v>
      </c>
      <c r="H1101" s="10">
        <f t="shared" si="17"/>
        <v>0.11764705882352944</v>
      </c>
    </row>
    <row r="1102" spans="1:8" x14ac:dyDescent="0.25">
      <c r="A1102" s="4">
        <v>45847</v>
      </c>
      <c r="B1102" t="s">
        <v>29</v>
      </c>
      <c r="C1102" t="str">
        <f>_xlfn.IFNA(VLOOKUP($B1102,ref!$B$2:$C$34,2,FALSE),"NA")</f>
        <v>Spot</v>
      </c>
      <c r="D1102" s="5" t="s">
        <v>40</v>
      </c>
      <c r="E1102">
        <v>8</v>
      </c>
      <c r="F1102" s="1">
        <v>0.3</v>
      </c>
      <c r="G1102" s="1">
        <v>0.28499999999999998</v>
      </c>
      <c r="H1102" s="10">
        <f t="shared" si="17"/>
        <v>5.0000000000000044E-2</v>
      </c>
    </row>
    <row r="1103" spans="1:8" x14ac:dyDescent="0.25">
      <c r="A1103" s="4">
        <v>45847</v>
      </c>
      <c r="B1103" t="s">
        <v>29</v>
      </c>
      <c r="C1103" t="str">
        <f>_xlfn.IFNA(VLOOKUP($B1103,ref!$B$2:$C$34,2,FALSE),"NA")</f>
        <v>Spot</v>
      </c>
      <c r="D1103" s="5" t="s">
        <v>40</v>
      </c>
      <c r="E1103">
        <v>8</v>
      </c>
      <c r="F1103" s="1">
        <v>0.3</v>
      </c>
      <c r="G1103" s="1">
        <v>0.28499999999999998</v>
      </c>
      <c r="H1103" s="10">
        <f t="shared" si="17"/>
        <v>5.0000000000000044E-2</v>
      </c>
    </row>
    <row r="1104" spans="1:8" x14ac:dyDescent="0.25">
      <c r="A1104" s="4">
        <v>45847</v>
      </c>
      <c r="B1104" t="s">
        <v>29</v>
      </c>
      <c r="C1104" t="str">
        <f>_xlfn.IFNA(VLOOKUP($B1104,ref!$B$2:$C$34,2,FALSE),"NA")</f>
        <v>Spot</v>
      </c>
      <c r="D1104" s="5" t="s">
        <v>40</v>
      </c>
      <c r="E1104">
        <v>8</v>
      </c>
      <c r="F1104" s="1">
        <v>0.3</v>
      </c>
      <c r="G1104" s="1">
        <v>0.28499999999999998</v>
      </c>
      <c r="H1104" s="10">
        <f t="shared" si="17"/>
        <v>5.0000000000000044E-2</v>
      </c>
    </row>
    <row r="1105" spans="1:8" x14ac:dyDescent="0.25">
      <c r="A1105" s="4">
        <v>45847</v>
      </c>
      <c r="B1105" t="s">
        <v>29</v>
      </c>
      <c r="C1105" t="str">
        <f>_xlfn.IFNA(VLOOKUP($B1105,ref!$B$2:$C$34,2,FALSE),"NA")</f>
        <v>Spot</v>
      </c>
      <c r="D1105" s="5" t="s">
        <v>40</v>
      </c>
      <c r="E1105">
        <v>8</v>
      </c>
      <c r="F1105" s="1">
        <v>0.3</v>
      </c>
      <c r="G1105" s="1">
        <v>0.28499999999999998</v>
      </c>
      <c r="H1105" s="10">
        <f t="shared" si="17"/>
        <v>5.0000000000000044E-2</v>
      </c>
    </row>
    <row r="1106" spans="1:8" x14ac:dyDescent="0.25">
      <c r="A1106" s="4">
        <v>45847</v>
      </c>
      <c r="B1106" t="s">
        <v>29</v>
      </c>
      <c r="C1106" t="str">
        <f>_xlfn.IFNA(VLOOKUP($B1106,ref!$B$2:$C$34,2,FALSE),"NA")</f>
        <v>Spot</v>
      </c>
      <c r="D1106" s="5" t="s">
        <v>40</v>
      </c>
      <c r="E1106">
        <v>8</v>
      </c>
      <c r="F1106" s="1">
        <v>0.3</v>
      </c>
      <c r="G1106" s="1">
        <v>0.28499999999999998</v>
      </c>
      <c r="H1106" s="10">
        <f t="shared" si="17"/>
        <v>5.0000000000000044E-2</v>
      </c>
    </row>
    <row r="1107" spans="1:8" x14ac:dyDescent="0.25">
      <c r="A1107" s="4">
        <v>45847</v>
      </c>
      <c r="B1107" t="s">
        <v>29</v>
      </c>
      <c r="C1107" t="str">
        <f>_xlfn.IFNA(VLOOKUP($B1107,ref!$B$2:$C$34,2,FALSE),"NA")</f>
        <v>Spot</v>
      </c>
      <c r="D1107" s="5" t="s">
        <v>40</v>
      </c>
      <c r="E1107">
        <v>8</v>
      </c>
      <c r="F1107" s="1">
        <v>0.3</v>
      </c>
      <c r="G1107" s="1">
        <v>0.28499999999999998</v>
      </c>
      <c r="H1107" s="10">
        <f t="shared" si="17"/>
        <v>5.0000000000000044E-2</v>
      </c>
    </row>
    <row r="1108" spans="1:8" x14ac:dyDescent="0.25">
      <c r="A1108" s="4">
        <v>45847</v>
      </c>
      <c r="B1108" t="s">
        <v>29</v>
      </c>
      <c r="C1108" t="str">
        <f>_xlfn.IFNA(VLOOKUP($B1108,ref!$B$2:$C$34,2,FALSE),"NA")</f>
        <v>Spot</v>
      </c>
      <c r="D1108" s="5" t="s">
        <v>40</v>
      </c>
      <c r="E1108">
        <v>8</v>
      </c>
      <c r="F1108" s="1">
        <v>0.3</v>
      </c>
      <c r="G1108" s="1">
        <v>0.28499999999999998</v>
      </c>
      <c r="H1108" s="10">
        <f t="shared" si="17"/>
        <v>5.0000000000000044E-2</v>
      </c>
    </row>
    <row r="1109" spans="1:8" x14ac:dyDescent="0.25">
      <c r="A1109" s="4">
        <v>45847</v>
      </c>
      <c r="B1109" t="s">
        <v>29</v>
      </c>
      <c r="C1109" t="str">
        <f>_xlfn.IFNA(VLOOKUP($B1109,ref!$B$2:$C$34,2,FALSE),"NA")</f>
        <v>Spot</v>
      </c>
      <c r="D1109" s="5" t="s">
        <v>40</v>
      </c>
      <c r="E1109">
        <v>8</v>
      </c>
      <c r="F1109" s="1">
        <v>0.3</v>
      </c>
      <c r="G1109" s="1">
        <v>0.28499999999999998</v>
      </c>
      <c r="H1109" s="10">
        <f t="shared" si="17"/>
        <v>5.0000000000000044E-2</v>
      </c>
    </row>
    <row r="1110" spans="1:8" x14ac:dyDescent="0.25">
      <c r="A1110" s="4">
        <v>45847</v>
      </c>
      <c r="B1110" t="s">
        <v>29</v>
      </c>
      <c r="C1110" t="str">
        <f>_xlfn.IFNA(VLOOKUP($B1110,ref!$B$2:$C$34,2,FALSE),"NA")</f>
        <v>Spot</v>
      </c>
      <c r="D1110" s="5" t="s">
        <v>40</v>
      </c>
      <c r="E1110">
        <v>8</v>
      </c>
      <c r="F1110" s="1">
        <v>0.3</v>
      </c>
      <c r="G1110" s="1">
        <v>0.28499999999999998</v>
      </c>
      <c r="H1110" s="10">
        <f t="shared" si="17"/>
        <v>5.0000000000000044E-2</v>
      </c>
    </row>
    <row r="1111" spans="1:8" x14ac:dyDescent="0.25">
      <c r="A1111" s="4">
        <v>45847</v>
      </c>
      <c r="B1111" t="s">
        <v>29</v>
      </c>
      <c r="C1111" t="str">
        <f>_xlfn.IFNA(VLOOKUP($B1111,ref!$B$2:$C$34,2,FALSE),"NA")</f>
        <v>Spot</v>
      </c>
      <c r="D1111" s="5" t="s">
        <v>40</v>
      </c>
      <c r="E1111">
        <v>8</v>
      </c>
      <c r="F1111" s="1">
        <v>0.3</v>
      </c>
      <c r="G1111" s="1">
        <v>0.28499999999999998</v>
      </c>
      <c r="H1111" s="10">
        <f t="shared" si="17"/>
        <v>5.0000000000000044E-2</v>
      </c>
    </row>
    <row r="1112" spans="1:8" x14ac:dyDescent="0.25">
      <c r="A1112" s="4">
        <v>45847</v>
      </c>
      <c r="B1112" t="s">
        <v>29</v>
      </c>
      <c r="C1112" t="str">
        <f>_xlfn.IFNA(VLOOKUP($B1112,ref!$B$2:$C$34,2,FALSE),"NA")</f>
        <v>Spot</v>
      </c>
      <c r="D1112" s="5" t="s">
        <v>40</v>
      </c>
      <c r="E1112">
        <v>8</v>
      </c>
      <c r="F1112" s="1">
        <v>0.3</v>
      </c>
      <c r="G1112" s="1">
        <v>0.28499999999999998</v>
      </c>
      <c r="H1112" s="10">
        <f t="shared" si="17"/>
        <v>5.0000000000000044E-2</v>
      </c>
    </row>
    <row r="1113" spans="1:8" x14ac:dyDescent="0.25">
      <c r="A1113" s="4">
        <v>45847</v>
      </c>
      <c r="B1113" t="s">
        <v>29</v>
      </c>
      <c r="C1113" t="str">
        <f>_xlfn.IFNA(VLOOKUP($B1113,ref!$B$2:$C$34,2,FALSE),"NA")</f>
        <v>Spot</v>
      </c>
      <c r="D1113" s="5" t="s">
        <v>40</v>
      </c>
      <c r="E1113">
        <v>8</v>
      </c>
      <c r="F1113" s="1">
        <v>0.3</v>
      </c>
      <c r="G1113" s="1">
        <v>0.28499999999999998</v>
      </c>
      <c r="H1113" s="10">
        <f t="shared" si="17"/>
        <v>5.0000000000000044E-2</v>
      </c>
    </row>
    <row r="1114" spans="1:8" x14ac:dyDescent="0.25">
      <c r="A1114" s="4">
        <v>45846</v>
      </c>
      <c r="B1114" t="s">
        <v>31</v>
      </c>
      <c r="C1114" t="str">
        <f>_xlfn.IFNA(VLOOKUP($B1114,ref!$B$2:$C$34,2,FALSE),"NA")</f>
        <v>1 Month</v>
      </c>
      <c r="D1114" s="5" t="s">
        <v>21</v>
      </c>
      <c r="E1114">
        <v>8</v>
      </c>
      <c r="F1114" s="1">
        <v>0.57999999999999996</v>
      </c>
      <c r="G1114" s="1">
        <v>0.52</v>
      </c>
      <c r="H1114" s="10">
        <f t="shared" si="17"/>
        <v>0.10344827586206884</v>
      </c>
    </row>
    <row r="1115" spans="1:8" x14ac:dyDescent="0.25">
      <c r="A1115" s="4">
        <v>45826</v>
      </c>
      <c r="B1115" t="s">
        <v>43</v>
      </c>
      <c r="C1115" t="str">
        <f>_xlfn.IFNA(VLOOKUP($B1115,ref!$B$2:$C$34,2,FALSE),"NA")</f>
        <v>Misc</v>
      </c>
      <c r="D1115" s="5" t="s">
        <v>7</v>
      </c>
      <c r="E1115">
        <v>8</v>
      </c>
      <c r="F1115" s="1">
        <v>2.25</v>
      </c>
      <c r="G1115" s="1">
        <v>2.1</v>
      </c>
      <c r="H1115" s="10">
        <f t="shared" si="17"/>
        <v>6.6666666666666652E-2</v>
      </c>
    </row>
    <row r="1116" spans="1:8" x14ac:dyDescent="0.25">
      <c r="A1116" s="4">
        <v>45826</v>
      </c>
      <c r="B1116" t="s">
        <v>43</v>
      </c>
      <c r="C1116" t="str">
        <f>_xlfn.IFNA(VLOOKUP($B1116,ref!$B$2:$C$34,2,FALSE),"NA")</f>
        <v>Misc</v>
      </c>
      <c r="D1116" s="5" t="s">
        <v>7</v>
      </c>
      <c r="E1116">
        <v>8</v>
      </c>
      <c r="F1116" s="1">
        <v>2.25</v>
      </c>
      <c r="G1116" s="1">
        <v>2.1</v>
      </c>
      <c r="H1116" s="10">
        <f t="shared" si="17"/>
        <v>6.6666666666666652E-2</v>
      </c>
    </row>
    <row r="1117" spans="1:8" x14ac:dyDescent="0.25">
      <c r="A1117" s="4">
        <v>45826</v>
      </c>
      <c r="B1117" t="s">
        <v>43</v>
      </c>
      <c r="C1117" t="str">
        <f>_xlfn.IFNA(VLOOKUP($B1117,ref!$B$2:$C$34,2,FALSE),"NA")</f>
        <v>Misc</v>
      </c>
      <c r="D1117" s="5" t="s">
        <v>7</v>
      </c>
      <c r="E1117">
        <v>8</v>
      </c>
      <c r="F1117" s="1">
        <v>2.25</v>
      </c>
      <c r="G1117" s="1">
        <v>2.1</v>
      </c>
      <c r="H1117" s="10">
        <f t="shared" si="17"/>
        <v>6.6666666666666652E-2</v>
      </c>
    </row>
    <row r="1118" spans="1:8" x14ac:dyDescent="0.25">
      <c r="A1118" s="4">
        <v>45826</v>
      </c>
      <c r="B1118" t="s">
        <v>43</v>
      </c>
      <c r="C1118" t="str">
        <f>_xlfn.IFNA(VLOOKUP($B1118,ref!$B$2:$C$34,2,FALSE),"NA")</f>
        <v>Misc</v>
      </c>
      <c r="D1118" s="5" t="s">
        <v>7</v>
      </c>
      <c r="E1118">
        <v>8</v>
      </c>
      <c r="F1118" s="1">
        <v>2.25</v>
      </c>
      <c r="G1118" s="1">
        <v>2.1</v>
      </c>
      <c r="H1118" s="10">
        <f t="shared" si="17"/>
        <v>6.6666666666666652E-2</v>
      </c>
    </row>
    <row r="1119" spans="1:8" x14ac:dyDescent="0.25">
      <c r="A1119" s="4">
        <v>45824</v>
      </c>
      <c r="B1119" t="s">
        <v>42</v>
      </c>
      <c r="C1119" t="str">
        <f>_xlfn.IFNA(VLOOKUP($B1119,ref!$B$2:$C$34,2,FALSE),"NA")</f>
        <v>Misc</v>
      </c>
      <c r="D1119" s="5" t="s">
        <v>7</v>
      </c>
      <c r="E1119">
        <v>8</v>
      </c>
      <c r="F1119" s="1">
        <v>2.7</v>
      </c>
      <c r="G1119" s="1">
        <v>2.5</v>
      </c>
      <c r="H1119" s="10">
        <f t="shared" si="17"/>
        <v>7.4074074074074181E-2</v>
      </c>
    </row>
    <row r="1120" spans="1:8" x14ac:dyDescent="0.25">
      <c r="A1120" s="4">
        <v>45822</v>
      </c>
      <c r="B1120" t="s">
        <v>35</v>
      </c>
      <c r="C1120" t="str">
        <f>_xlfn.IFNA(VLOOKUP($B1120,ref!$B$2:$C$34,2,FALSE),"NA")</f>
        <v>Misc</v>
      </c>
      <c r="D1120" s="5" t="s">
        <v>7</v>
      </c>
      <c r="E1120">
        <v>8</v>
      </c>
      <c r="F1120" s="1">
        <v>2.25</v>
      </c>
      <c r="G1120" s="1">
        <v>2</v>
      </c>
      <c r="H1120" s="10">
        <f t="shared" si="17"/>
        <v>0.11111111111111116</v>
      </c>
    </row>
    <row r="1121" spans="1:8" x14ac:dyDescent="0.25">
      <c r="A1121" s="4">
        <v>45821</v>
      </c>
      <c r="B1121" t="s">
        <v>29</v>
      </c>
      <c r="C1121" t="str">
        <f>_xlfn.IFNA(VLOOKUP($B1121,ref!$B$2:$C$34,2,FALSE),"NA")</f>
        <v>Spot</v>
      </c>
      <c r="D1121" s="5" t="s">
        <v>40</v>
      </c>
      <c r="E1121">
        <v>8</v>
      </c>
      <c r="F1121" s="1">
        <v>0.57999999999999996</v>
      </c>
      <c r="G1121" s="1">
        <v>0.50800000000000001</v>
      </c>
      <c r="H1121" s="10">
        <f t="shared" si="17"/>
        <v>0.12413793103448267</v>
      </c>
    </row>
    <row r="1122" spans="1:8" x14ac:dyDescent="0.25">
      <c r="A1122" s="4">
        <v>45820</v>
      </c>
      <c r="B1122" t="s">
        <v>29</v>
      </c>
      <c r="C1122" t="str">
        <f>_xlfn.IFNA(VLOOKUP($B1122,ref!$B$2:$C$34,2,FALSE),"NA")</f>
        <v>Spot</v>
      </c>
      <c r="D1122" s="5" t="s">
        <v>40</v>
      </c>
      <c r="E1122">
        <v>8</v>
      </c>
      <c r="F1122" s="1">
        <v>0.57999999999999996</v>
      </c>
      <c r="G1122" s="1">
        <v>0.50800000000000001</v>
      </c>
      <c r="H1122" s="10">
        <f t="shared" si="17"/>
        <v>0.12413793103448267</v>
      </c>
    </row>
    <row r="1123" spans="1:8" x14ac:dyDescent="0.25">
      <c r="A1123" s="4">
        <v>45820</v>
      </c>
      <c r="B1123" t="s">
        <v>29</v>
      </c>
      <c r="C1123" t="str">
        <f>_xlfn.IFNA(VLOOKUP($B1123,ref!$B$2:$C$34,2,FALSE),"NA")</f>
        <v>Spot</v>
      </c>
      <c r="D1123" s="5" t="s">
        <v>40</v>
      </c>
      <c r="E1123">
        <v>8</v>
      </c>
      <c r="F1123" s="1">
        <v>0.57999999999999996</v>
      </c>
      <c r="G1123" s="1">
        <v>0.50800000000000001</v>
      </c>
      <c r="H1123" s="10">
        <f t="shared" si="17"/>
        <v>0.12413793103448267</v>
      </c>
    </row>
    <row r="1124" spans="1:8" x14ac:dyDescent="0.25">
      <c r="A1124" s="4">
        <v>45820</v>
      </c>
      <c r="B1124" t="s">
        <v>29</v>
      </c>
      <c r="C1124" t="str">
        <f>_xlfn.IFNA(VLOOKUP($B1124,ref!$B$2:$C$34,2,FALSE),"NA")</f>
        <v>Spot</v>
      </c>
      <c r="D1124" s="5" t="s">
        <v>40</v>
      </c>
      <c r="E1124">
        <v>8</v>
      </c>
      <c r="F1124" s="1">
        <v>0.57999999999999996</v>
      </c>
      <c r="G1124" s="1">
        <v>0.50800000000000001</v>
      </c>
      <c r="H1124" s="10">
        <f t="shared" si="17"/>
        <v>0.12413793103448267</v>
      </c>
    </row>
    <row r="1125" spans="1:8" x14ac:dyDescent="0.25">
      <c r="A1125" s="4">
        <v>45820</v>
      </c>
      <c r="B1125" t="s">
        <v>29</v>
      </c>
      <c r="C1125" t="str">
        <f>_xlfn.IFNA(VLOOKUP($B1125,ref!$B$2:$C$34,2,FALSE),"NA")</f>
        <v>Spot</v>
      </c>
      <c r="D1125" s="5" t="s">
        <v>40</v>
      </c>
      <c r="E1125">
        <v>8</v>
      </c>
      <c r="F1125" s="1">
        <v>0.57999999999999996</v>
      </c>
      <c r="G1125" s="1">
        <v>0.50800000000000001</v>
      </c>
      <c r="H1125" s="10">
        <f t="shared" si="17"/>
        <v>0.12413793103448267</v>
      </c>
    </row>
    <row r="1126" spans="1:8" x14ac:dyDescent="0.25">
      <c r="A1126" s="4">
        <v>45820</v>
      </c>
      <c r="B1126" t="s">
        <v>29</v>
      </c>
      <c r="C1126" t="str">
        <f>_xlfn.IFNA(VLOOKUP($B1126,ref!$B$2:$C$34,2,FALSE),"NA")</f>
        <v>Spot</v>
      </c>
      <c r="D1126" s="5" t="s">
        <v>40</v>
      </c>
      <c r="E1126">
        <v>8</v>
      </c>
      <c r="F1126" s="1">
        <v>0.57999999999999996</v>
      </c>
      <c r="G1126" s="1">
        <v>0.50800000000000001</v>
      </c>
      <c r="H1126" s="10">
        <f t="shared" si="17"/>
        <v>0.12413793103448267</v>
      </c>
    </row>
    <row r="1127" spans="1:8" x14ac:dyDescent="0.25">
      <c r="A1127" s="4">
        <v>45820</v>
      </c>
      <c r="B1127" t="s">
        <v>29</v>
      </c>
      <c r="C1127" t="str">
        <f>_xlfn.IFNA(VLOOKUP($B1127,ref!$B$2:$C$34,2,FALSE),"NA")</f>
        <v>Spot</v>
      </c>
      <c r="D1127" s="5" t="s">
        <v>40</v>
      </c>
      <c r="E1127">
        <v>8</v>
      </c>
      <c r="F1127" s="1">
        <v>0.57999999999999996</v>
      </c>
      <c r="G1127" s="1">
        <v>0.50800000000000001</v>
      </c>
      <c r="H1127" s="10">
        <f t="shared" si="17"/>
        <v>0.12413793103448267</v>
      </c>
    </row>
    <row r="1128" spans="1:8" x14ac:dyDescent="0.25">
      <c r="A1128" s="4">
        <v>45820</v>
      </c>
      <c r="B1128" t="s">
        <v>29</v>
      </c>
      <c r="C1128" t="str">
        <f>_xlfn.IFNA(VLOOKUP($B1128,ref!$B$2:$C$34,2,FALSE),"NA")</f>
        <v>Spot</v>
      </c>
      <c r="D1128" s="5" t="s">
        <v>40</v>
      </c>
      <c r="E1128">
        <v>8</v>
      </c>
      <c r="F1128" s="1">
        <v>0.57999999999999996</v>
      </c>
      <c r="G1128" s="1">
        <v>0.50800000000000001</v>
      </c>
      <c r="H1128" s="10">
        <f t="shared" si="17"/>
        <v>0.12413793103448267</v>
      </c>
    </row>
    <row r="1129" spans="1:8" x14ac:dyDescent="0.25">
      <c r="A1129" s="4">
        <v>45820</v>
      </c>
      <c r="B1129" t="s">
        <v>29</v>
      </c>
      <c r="C1129" t="str">
        <f>_xlfn.IFNA(VLOOKUP($B1129,ref!$B$2:$C$34,2,FALSE),"NA")</f>
        <v>Spot</v>
      </c>
      <c r="D1129" s="5" t="s">
        <v>40</v>
      </c>
      <c r="E1129">
        <v>8</v>
      </c>
      <c r="F1129" s="1">
        <v>0.57999999999999996</v>
      </c>
      <c r="G1129" s="1">
        <v>0.50800000000000001</v>
      </c>
      <c r="H1129" s="10">
        <f t="shared" si="17"/>
        <v>0.12413793103448267</v>
      </c>
    </row>
    <row r="1130" spans="1:8" x14ac:dyDescent="0.25">
      <c r="A1130" s="4">
        <v>45820</v>
      </c>
      <c r="B1130" t="s">
        <v>29</v>
      </c>
      <c r="C1130" t="str">
        <f>_xlfn.IFNA(VLOOKUP($B1130,ref!$B$2:$C$34,2,FALSE),"NA")</f>
        <v>Spot</v>
      </c>
      <c r="D1130" s="5" t="s">
        <v>40</v>
      </c>
      <c r="E1130">
        <v>8</v>
      </c>
      <c r="F1130" s="1">
        <v>0.57999999999999996</v>
      </c>
      <c r="G1130" s="1">
        <v>0.50800000000000001</v>
      </c>
      <c r="H1130" s="10">
        <f t="shared" si="17"/>
        <v>0.12413793103448267</v>
      </c>
    </row>
    <row r="1131" spans="1:8" x14ac:dyDescent="0.25">
      <c r="A1131" s="4">
        <v>45820</v>
      </c>
      <c r="B1131" t="s">
        <v>29</v>
      </c>
      <c r="C1131" t="str">
        <f>_xlfn.IFNA(VLOOKUP($B1131,ref!$B$2:$C$34,2,FALSE),"NA")</f>
        <v>Spot</v>
      </c>
      <c r="D1131" s="5" t="s">
        <v>40</v>
      </c>
      <c r="E1131">
        <v>8</v>
      </c>
      <c r="F1131" s="1">
        <v>0.57999999999999996</v>
      </c>
      <c r="G1131" s="1">
        <v>0.50800000000000001</v>
      </c>
      <c r="H1131" s="10">
        <f t="shared" si="17"/>
        <v>0.12413793103448267</v>
      </c>
    </row>
    <row r="1132" spans="1:8" x14ac:dyDescent="0.25">
      <c r="A1132" s="4">
        <v>45820</v>
      </c>
      <c r="B1132" t="s">
        <v>29</v>
      </c>
      <c r="C1132" t="str">
        <f>_xlfn.IFNA(VLOOKUP($B1132,ref!$B$2:$C$34,2,FALSE),"NA")</f>
        <v>Spot</v>
      </c>
      <c r="D1132" s="5" t="s">
        <v>40</v>
      </c>
      <c r="E1132">
        <v>8</v>
      </c>
      <c r="F1132" s="1">
        <v>0.57999999999999996</v>
      </c>
      <c r="G1132" s="1">
        <v>0.50800000000000001</v>
      </c>
      <c r="H1132" s="10">
        <f t="shared" si="17"/>
        <v>0.12413793103448267</v>
      </c>
    </row>
    <row r="1133" spans="1:8" x14ac:dyDescent="0.25">
      <c r="A1133" s="4">
        <v>45820</v>
      </c>
      <c r="B1133" t="s">
        <v>29</v>
      </c>
      <c r="C1133" t="str">
        <f>_xlfn.IFNA(VLOOKUP($B1133,ref!$B$2:$C$34,2,FALSE),"NA")</f>
        <v>Spot</v>
      </c>
      <c r="D1133" s="5" t="s">
        <v>40</v>
      </c>
      <c r="E1133">
        <v>8</v>
      </c>
      <c r="F1133" s="1">
        <v>0.57999999999999996</v>
      </c>
      <c r="G1133" s="1">
        <v>0.50800000000000001</v>
      </c>
      <c r="H1133" s="10">
        <f t="shared" si="17"/>
        <v>0.12413793103448267</v>
      </c>
    </row>
    <row r="1134" spans="1:8" x14ac:dyDescent="0.25">
      <c r="A1134" s="4">
        <v>45820</v>
      </c>
      <c r="B1134" t="s">
        <v>29</v>
      </c>
      <c r="C1134" t="str">
        <f>_xlfn.IFNA(VLOOKUP($B1134,ref!$B$2:$C$34,2,FALSE),"NA")</f>
        <v>Spot</v>
      </c>
      <c r="D1134" s="5" t="s">
        <v>40</v>
      </c>
      <c r="E1134">
        <v>8</v>
      </c>
      <c r="F1134" s="1">
        <v>0.57999999999999996</v>
      </c>
      <c r="G1134" s="1">
        <v>0.50800000000000001</v>
      </c>
      <c r="H1134" s="10">
        <f t="shared" si="17"/>
        <v>0.12413793103448267</v>
      </c>
    </row>
    <row r="1135" spans="1:8" x14ac:dyDescent="0.25">
      <c r="A1135" s="4">
        <v>45820</v>
      </c>
      <c r="B1135" t="s">
        <v>29</v>
      </c>
      <c r="C1135" t="str">
        <f>_xlfn.IFNA(VLOOKUP($B1135,ref!$B$2:$C$34,2,FALSE),"NA")</f>
        <v>Spot</v>
      </c>
      <c r="D1135" s="5" t="s">
        <v>40</v>
      </c>
      <c r="E1135">
        <v>8</v>
      </c>
      <c r="F1135" s="1">
        <v>0.57999999999999996</v>
      </c>
      <c r="G1135" s="1">
        <v>0.50800000000000001</v>
      </c>
      <c r="H1135" s="10">
        <f t="shared" si="17"/>
        <v>0.12413793103448267</v>
      </c>
    </row>
    <row r="1136" spans="1:8" x14ac:dyDescent="0.25">
      <c r="A1136" s="4">
        <v>45820</v>
      </c>
      <c r="B1136" t="s">
        <v>29</v>
      </c>
      <c r="C1136" t="str">
        <f>_xlfn.IFNA(VLOOKUP($B1136,ref!$B$2:$C$34,2,FALSE),"NA")</f>
        <v>Spot</v>
      </c>
      <c r="D1136" s="5" t="s">
        <v>40</v>
      </c>
      <c r="E1136">
        <v>8</v>
      </c>
      <c r="F1136" s="1">
        <v>0.6</v>
      </c>
      <c r="G1136" s="1">
        <v>0.52500000000000002</v>
      </c>
      <c r="H1136" s="10">
        <f t="shared" si="17"/>
        <v>0.12499999999999989</v>
      </c>
    </row>
    <row r="1137" spans="1:8" x14ac:dyDescent="0.25">
      <c r="A1137" s="4">
        <v>45820</v>
      </c>
      <c r="B1137" t="s">
        <v>29</v>
      </c>
      <c r="C1137" t="str">
        <f>_xlfn.IFNA(VLOOKUP($B1137,ref!$B$2:$C$34,2,FALSE),"NA")</f>
        <v>Spot</v>
      </c>
      <c r="D1137" s="5" t="s">
        <v>34</v>
      </c>
      <c r="E1137">
        <v>8</v>
      </c>
      <c r="F1137" s="1">
        <v>0.34</v>
      </c>
      <c r="G1137" s="1">
        <v>0.29799999999999999</v>
      </c>
      <c r="H1137" s="10">
        <f t="shared" si="17"/>
        <v>0.123529411764706</v>
      </c>
    </row>
    <row r="1138" spans="1:8" x14ac:dyDescent="0.25">
      <c r="A1138" s="4">
        <v>45820</v>
      </c>
      <c r="B1138" t="s">
        <v>35</v>
      </c>
      <c r="C1138" t="str">
        <f>_xlfn.IFNA(VLOOKUP($B1138,ref!$B$2:$C$34,2,FALSE),"NA")</f>
        <v>Misc</v>
      </c>
      <c r="D1138" s="5" t="s">
        <v>7</v>
      </c>
      <c r="E1138">
        <v>8</v>
      </c>
      <c r="F1138" s="1">
        <v>2.1</v>
      </c>
      <c r="G1138" s="1">
        <v>1.95</v>
      </c>
      <c r="H1138" s="10">
        <f t="shared" si="17"/>
        <v>7.1428571428571508E-2</v>
      </c>
    </row>
    <row r="1139" spans="1:8" x14ac:dyDescent="0.25">
      <c r="A1139" s="4">
        <v>45819</v>
      </c>
      <c r="B1139" t="s">
        <v>14</v>
      </c>
      <c r="C1139" t="str">
        <f>_xlfn.IFNA(VLOOKUP($B1139,ref!$B$2:$C$34,2,FALSE),"NA")</f>
        <v>Spot</v>
      </c>
      <c r="D1139" s="5" t="s">
        <v>7</v>
      </c>
      <c r="E1139">
        <v>8</v>
      </c>
      <c r="F1139" s="1">
        <v>2.35</v>
      </c>
      <c r="G1139" s="1">
        <v>2.1</v>
      </c>
      <c r="H1139" s="10">
        <f t="shared" si="17"/>
        <v>0.1063829787234043</v>
      </c>
    </row>
    <row r="1140" spans="1:8" x14ac:dyDescent="0.25">
      <c r="A1140" s="4">
        <v>45819</v>
      </c>
      <c r="B1140" t="s">
        <v>14</v>
      </c>
      <c r="C1140" t="str">
        <f>_xlfn.IFNA(VLOOKUP($B1140,ref!$B$2:$C$34,2,FALSE),"NA")</f>
        <v>Spot</v>
      </c>
      <c r="D1140" s="5" t="s">
        <v>7</v>
      </c>
      <c r="E1140">
        <v>8</v>
      </c>
      <c r="F1140" s="1">
        <v>2.35</v>
      </c>
      <c r="G1140" s="1">
        <v>2.1</v>
      </c>
      <c r="H1140" s="10">
        <f t="shared" si="17"/>
        <v>0.1063829787234043</v>
      </c>
    </row>
    <row r="1141" spans="1:8" x14ac:dyDescent="0.25">
      <c r="A1141" s="4">
        <v>45819</v>
      </c>
      <c r="B1141" t="s">
        <v>14</v>
      </c>
      <c r="C1141" t="str">
        <f>_xlfn.IFNA(VLOOKUP($B1141,ref!$B$2:$C$34,2,FALSE),"NA")</f>
        <v>Spot</v>
      </c>
      <c r="D1141" s="5" t="s">
        <v>7</v>
      </c>
      <c r="E1141">
        <v>8</v>
      </c>
      <c r="F1141" s="1">
        <v>2.35</v>
      </c>
      <c r="G1141" s="1">
        <v>2.1</v>
      </c>
      <c r="H1141" s="10">
        <f t="shared" si="17"/>
        <v>0.1063829787234043</v>
      </c>
    </row>
    <row r="1142" spans="1:8" x14ac:dyDescent="0.25">
      <c r="A1142" s="4">
        <v>45819</v>
      </c>
      <c r="B1142" t="s">
        <v>14</v>
      </c>
      <c r="C1142" t="str">
        <f>_xlfn.IFNA(VLOOKUP($B1142,ref!$B$2:$C$34,2,FALSE),"NA")</f>
        <v>Spot</v>
      </c>
      <c r="D1142" s="5" t="s">
        <v>7</v>
      </c>
      <c r="E1142">
        <v>8</v>
      </c>
      <c r="F1142" s="1">
        <v>2.35</v>
      </c>
      <c r="G1142" s="1">
        <v>2.1</v>
      </c>
      <c r="H1142" s="10">
        <f t="shared" si="17"/>
        <v>0.1063829787234043</v>
      </c>
    </row>
    <row r="1143" spans="1:8" x14ac:dyDescent="0.25">
      <c r="A1143" s="4">
        <v>45819</v>
      </c>
      <c r="B1143" t="s">
        <v>14</v>
      </c>
      <c r="C1143" t="str">
        <f>_xlfn.IFNA(VLOOKUP($B1143,ref!$B$2:$C$34,2,FALSE),"NA")</f>
        <v>Spot</v>
      </c>
      <c r="D1143" s="5" t="s">
        <v>7</v>
      </c>
      <c r="E1143">
        <v>8</v>
      </c>
      <c r="F1143" s="1">
        <v>2.35</v>
      </c>
      <c r="G1143" s="1">
        <v>2.1</v>
      </c>
      <c r="H1143" s="10">
        <f t="shared" si="17"/>
        <v>0.1063829787234043</v>
      </c>
    </row>
    <row r="1144" spans="1:8" x14ac:dyDescent="0.25">
      <c r="A1144" s="4">
        <v>45819</v>
      </c>
      <c r="B1144" t="s">
        <v>14</v>
      </c>
      <c r="C1144" t="str">
        <f>_xlfn.IFNA(VLOOKUP($B1144,ref!$B$2:$C$34,2,FALSE),"NA")</f>
        <v>Spot</v>
      </c>
      <c r="D1144" s="5" t="s">
        <v>7</v>
      </c>
      <c r="E1144">
        <v>8</v>
      </c>
      <c r="F1144" s="1">
        <v>2.35</v>
      </c>
      <c r="G1144" s="1">
        <v>2.1</v>
      </c>
      <c r="H1144" s="10">
        <f t="shared" si="17"/>
        <v>0.1063829787234043</v>
      </c>
    </row>
    <row r="1145" spans="1:8" x14ac:dyDescent="0.25">
      <c r="A1145" s="4">
        <v>45819</v>
      </c>
      <c r="B1145" t="s">
        <v>14</v>
      </c>
      <c r="C1145" t="str">
        <f>_xlfn.IFNA(VLOOKUP($B1145,ref!$B$2:$C$34,2,FALSE),"NA")</f>
        <v>Spot</v>
      </c>
      <c r="D1145" s="5" t="s">
        <v>7</v>
      </c>
      <c r="E1145">
        <v>8</v>
      </c>
      <c r="F1145" s="1">
        <v>2.35</v>
      </c>
      <c r="G1145" s="1">
        <v>2.1</v>
      </c>
      <c r="H1145" s="10">
        <f t="shared" si="17"/>
        <v>0.1063829787234043</v>
      </c>
    </row>
    <row r="1146" spans="1:8" x14ac:dyDescent="0.25">
      <c r="A1146" s="4">
        <v>45819</v>
      </c>
      <c r="B1146" t="s">
        <v>14</v>
      </c>
      <c r="C1146" t="str">
        <f>_xlfn.IFNA(VLOOKUP($B1146,ref!$B$2:$C$34,2,FALSE),"NA")</f>
        <v>Spot</v>
      </c>
      <c r="D1146" s="5" t="s">
        <v>7</v>
      </c>
      <c r="E1146">
        <v>8</v>
      </c>
      <c r="F1146" s="1">
        <v>2.35</v>
      </c>
      <c r="G1146" s="1">
        <v>2.1</v>
      </c>
      <c r="H1146" s="10">
        <f t="shared" si="17"/>
        <v>0.1063829787234043</v>
      </c>
    </row>
    <row r="1147" spans="1:8" x14ac:dyDescent="0.25">
      <c r="A1147" s="4">
        <v>45819</v>
      </c>
      <c r="B1147" t="s">
        <v>14</v>
      </c>
      <c r="C1147" t="str">
        <f>_xlfn.IFNA(VLOOKUP($B1147,ref!$B$2:$C$34,2,FALSE),"NA")</f>
        <v>Spot</v>
      </c>
      <c r="D1147" s="5" t="s">
        <v>7</v>
      </c>
      <c r="E1147">
        <v>8</v>
      </c>
      <c r="F1147" s="1">
        <v>2.35</v>
      </c>
      <c r="G1147" s="1">
        <v>2.1</v>
      </c>
      <c r="H1147" s="10">
        <f t="shared" si="17"/>
        <v>0.1063829787234043</v>
      </c>
    </row>
    <row r="1148" spans="1:8" x14ac:dyDescent="0.25">
      <c r="A1148" s="4">
        <v>45819</v>
      </c>
      <c r="B1148" t="s">
        <v>14</v>
      </c>
      <c r="C1148" t="str">
        <f>_xlfn.IFNA(VLOOKUP($B1148,ref!$B$2:$C$34,2,FALSE),"NA")</f>
        <v>Spot</v>
      </c>
      <c r="D1148" s="5" t="s">
        <v>7</v>
      </c>
      <c r="E1148">
        <v>8</v>
      </c>
      <c r="F1148" s="1">
        <v>3.15</v>
      </c>
      <c r="G1148" s="1">
        <v>2.7</v>
      </c>
      <c r="H1148" s="10">
        <f t="shared" si="17"/>
        <v>0.14285714285714279</v>
      </c>
    </row>
    <row r="1149" spans="1:8" x14ac:dyDescent="0.25">
      <c r="A1149" s="4">
        <v>45819</v>
      </c>
      <c r="B1149" t="s">
        <v>14</v>
      </c>
      <c r="C1149" t="str">
        <f>_xlfn.IFNA(VLOOKUP($B1149,ref!$B$2:$C$34,2,FALSE),"NA")</f>
        <v>Spot</v>
      </c>
      <c r="D1149" s="5" t="s">
        <v>7</v>
      </c>
      <c r="E1149">
        <v>8</v>
      </c>
      <c r="F1149" s="1">
        <v>3.15</v>
      </c>
      <c r="G1149" s="1">
        <v>2.7</v>
      </c>
      <c r="H1149" s="10">
        <f t="shared" si="17"/>
        <v>0.14285714285714279</v>
      </c>
    </row>
    <row r="1150" spans="1:8" x14ac:dyDescent="0.25">
      <c r="A1150" s="4">
        <v>45818</v>
      </c>
      <c r="B1150" t="s">
        <v>29</v>
      </c>
      <c r="C1150" t="str">
        <f>_xlfn.IFNA(VLOOKUP($B1150,ref!$B$2:$C$34,2,FALSE),"NA")</f>
        <v>Spot</v>
      </c>
      <c r="D1150" s="5" t="s">
        <v>40</v>
      </c>
      <c r="E1150">
        <v>8</v>
      </c>
      <c r="F1150" s="1">
        <v>0.55000000000000004</v>
      </c>
      <c r="G1150" s="1">
        <v>0.48099999999999998</v>
      </c>
      <c r="H1150" s="10">
        <f t="shared" si="17"/>
        <v>0.1254545454545456</v>
      </c>
    </row>
    <row r="1151" spans="1:8" x14ac:dyDescent="0.25">
      <c r="A1151" s="4">
        <v>45818</v>
      </c>
      <c r="B1151" t="s">
        <v>29</v>
      </c>
      <c r="C1151" t="str">
        <f>_xlfn.IFNA(VLOOKUP($B1151,ref!$B$2:$C$34,2,FALSE),"NA")</f>
        <v>Spot</v>
      </c>
      <c r="D1151" s="5" t="s">
        <v>40</v>
      </c>
      <c r="E1151">
        <v>8</v>
      </c>
      <c r="F1151" s="1">
        <v>0.55000000000000004</v>
      </c>
      <c r="G1151" s="1">
        <v>0.48099999999999998</v>
      </c>
      <c r="H1151" s="10">
        <f t="shared" si="17"/>
        <v>0.1254545454545456</v>
      </c>
    </row>
    <row r="1152" spans="1:8" x14ac:dyDescent="0.25">
      <c r="A1152" s="4">
        <v>45818</v>
      </c>
      <c r="B1152" t="s">
        <v>29</v>
      </c>
      <c r="C1152" t="str">
        <f>_xlfn.IFNA(VLOOKUP($B1152,ref!$B$2:$C$34,2,FALSE),"NA")</f>
        <v>Spot</v>
      </c>
      <c r="D1152" s="5" t="s">
        <v>40</v>
      </c>
      <c r="E1152">
        <v>8</v>
      </c>
      <c r="F1152" s="1">
        <v>0.55000000000000004</v>
      </c>
      <c r="G1152" s="1">
        <v>0.48099999999999998</v>
      </c>
      <c r="H1152" s="10">
        <f t="shared" si="17"/>
        <v>0.1254545454545456</v>
      </c>
    </row>
    <row r="1153" spans="1:8" x14ac:dyDescent="0.25">
      <c r="A1153" s="4">
        <v>45818</v>
      </c>
      <c r="B1153" t="s">
        <v>29</v>
      </c>
      <c r="C1153" t="str">
        <f>_xlfn.IFNA(VLOOKUP($B1153,ref!$B$2:$C$34,2,FALSE),"NA")</f>
        <v>Spot</v>
      </c>
      <c r="D1153" s="5" t="s">
        <v>40</v>
      </c>
      <c r="E1153">
        <v>8</v>
      </c>
      <c r="F1153" s="1">
        <v>0.55000000000000004</v>
      </c>
      <c r="G1153" s="1">
        <v>0.48099999999999998</v>
      </c>
      <c r="H1153" s="10">
        <f t="shared" si="17"/>
        <v>0.1254545454545456</v>
      </c>
    </row>
    <row r="1154" spans="1:8" x14ac:dyDescent="0.25">
      <c r="A1154" s="4">
        <v>45818</v>
      </c>
      <c r="B1154" t="s">
        <v>29</v>
      </c>
      <c r="C1154" t="str">
        <f>_xlfn.IFNA(VLOOKUP($B1154,ref!$B$2:$C$34,2,FALSE),"NA")</f>
        <v>Spot</v>
      </c>
      <c r="D1154" s="5" t="s">
        <v>40</v>
      </c>
      <c r="E1154">
        <v>8</v>
      </c>
      <c r="F1154" s="1">
        <v>0.55000000000000004</v>
      </c>
      <c r="G1154" s="1">
        <v>0.48099999999999998</v>
      </c>
      <c r="H1154" s="10">
        <f t="shared" si="17"/>
        <v>0.1254545454545456</v>
      </c>
    </row>
    <row r="1155" spans="1:8" x14ac:dyDescent="0.25">
      <c r="A1155" s="4">
        <v>45818</v>
      </c>
      <c r="B1155" t="s">
        <v>29</v>
      </c>
      <c r="C1155" t="str">
        <f>_xlfn.IFNA(VLOOKUP($B1155,ref!$B$2:$C$34,2,FALSE),"NA")</f>
        <v>Spot</v>
      </c>
      <c r="D1155" s="5" t="s">
        <v>40</v>
      </c>
      <c r="E1155">
        <v>8</v>
      </c>
      <c r="F1155" s="1">
        <v>0.55000000000000004</v>
      </c>
      <c r="G1155" s="1">
        <v>0.48099999999999998</v>
      </c>
      <c r="H1155" s="10">
        <f t="shared" ref="H1155:H1218" si="18">1-(G1155/F1155)</f>
        <v>0.1254545454545456</v>
      </c>
    </row>
    <row r="1156" spans="1:8" x14ac:dyDescent="0.25">
      <c r="A1156" s="4">
        <v>45818</v>
      </c>
      <c r="B1156" t="s">
        <v>29</v>
      </c>
      <c r="C1156" t="str">
        <f>_xlfn.IFNA(VLOOKUP($B1156,ref!$B$2:$C$34,2,FALSE),"NA")</f>
        <v>Spot</v>
      </c>
      <c r="D1156" s="5" t="s">
        <v>40</v>
      </c>
      <c r="E1156">
        <v>8</v>
      </c>
      <c r="F1156" s="1">
        <v>0.55000000000000004</v>
      </c>
      <c r="G1156" s="1">
        <v>0.48099999999999998</v>
      </c>
      <c r="H1156" s="10">
        <f t="shared" si="18"/>
        <v>0.1254545454545456</v>
      </c>
    </row>
    <row r="1157" spans="1:8" x14ac:dyDescent="0.25">
      <c r="A1157" s="4">
        <v>45818</v>
      </c>
      <c r="B1157" t="s">
        <v>29</v>
      </c>
      <c r="C1157" t="str">
        <f>_xlfn.IFNA(VLOOKUP($B1157,ref!$B$2:$C$34,2,FALSE),"NA")</f>
        <v>Spot</v>
      </c>
      <c r="D1157" s="5" t="s">
        <v>40</v>
      </c>
      <c r="E1157">
        <v>8</v>
      </c>
      <c r="F1157" s="1">
        <v>0.55000000000000004</v>
      </c>
      <c r="G1157" s="1">
        <v>0.48099999999999998</v>
      </c>
      <c r="H1157" s="10">
        <f t="shared" si="18"/>
        <v>0.1254545454545456</v>
      </c>
    </row>
    <row r="1158" spans="1:8" x14ac:dyDescent="0.25">
      <c r="A1158" s="4">
        <v>45818</v>
      </c>
      <c r="B1158" t="s">
        <v>29</v>
      </c>
      <c r="C1158" t="str">
        <f>_xlfn.IFNA(VLOOKUP($B1158,ref!$B$2:$C$34,2,FALSE),"NA")</f>
        <v>Spot</v>
      </c>
      <c r="D1158" s="5" t="s">
        <v>40</v>
      </c>
      <c r="E1158">
        <v>8</v>
      </c>
      <c r="F1158" s="1">
        <v>0.55000000000000004</v>
      </c>
      <c r="G1158" s="1">
        <v>0.48099999999999998</v>
      </c>
      <c r="H1158" s="10">
        <f t="shared" si="18"/>
        <v>0.1254545454545456</v>
      </c>
    </row>
    <row r="1159" spans="1:8" x14ac:dyDescent="0.25">
      <c r="A1159" s="4">
        <v>45818</v>
      </c>
      <c r="B1159" t="s">
        <v>29</v>
      </c>
      <c r="C1159" t="str">
        <f>_xlfn.IFNA(VLOOKUP($B1159,ref!$B$2:$C$34,2,FALSE),"NA")</f>
        <v>Spot</v>
      </c>
      <c r="D1159" s="5">
        <v>4090</v>
      </c>
      <c r="E1159">
        <v>8</v>
      </c>
      <c r="F1159" s="1">
        <v>0.55000000000000004</v>
      </c>
      <c r="G1159" s="1">
        <v>0.48099999999999998</v>
      </c>
      <c r="H1159" s="10">
        <f t="shared" si="18"/>
        <v>0.1254545454545456</v>
      </c>
    </row>
    <row r="1160" spans="1:8" x14ac:dyDescent="0.25">
      <c r="A1160" s="4">
        <v>45818</v>
      </c>
      <c r="B1160" t="s">
        <v>29</v>
      </c>
      <c r="C1160" t="str">
        <f>_xlfn.IFNA(VLOOKUP($B1160,ref!$B$2:$C$34,2,FALSE),"NA")</f>
        <v>Spot</v>
      </c>
      <c r="D1160" s="5" t="s">
        <v>40</v>
      </c>
      <c r="E1160">
        <v>8</v>
      </c>
      <c r="F1160" s="1">
        <v>0.55000000000000004</v>
      </c>
      <c r="G1160" s="1">
        <v>0.48099999999999998</v>
      </c>
      <c r="H1160" s="10">
        <f t="shared" si="18"/>
        <v>0.1254545454545456</v>
      </c>
    </row>
    <row r="1161" spans="1:8" x14ac:dyDescent="0.25">
      <c r="A1161" s="4">
        <v>45818</v>
      </c>
      <c r="B1161" t="s">
        <v>29</v>
      </c>
      <c r="C1161" t="str">
        <f>_xlfn.IFNA(VLOOKUP($B1161,ref!$B$2:$C$34,2,FALSE),"NA")</f>
        <v>Spot</v>
      </c>
      <c r="D1161" s="5" t="s">
        <v>40</v>
      </c>
      <c r="E1161">
        <v>8</v>
      </c>
      <c r="F1161" s="1">
        <v>0.55000000000000004</v>
      </c>
      <c r="G1161" s="1">
        <v>0.48099999999999998</v>
      </c>
      <c r="H1161" s="10">
        <f t="shared" si="18"/>
        <v>0.1254545454545456</v>
      </c>
    </row>
    <row r="1162" spans="1:8" x14ac:dyDescent="0.25">
      <c r="A1162" s="4">
        <v>45818</v>
      </c>
      <c r="B1162" t="s">
        <v>29</v>
      </c>
      <c r="C1162" t="str">
        <f>_xlfn.IFNA(VLOOKUP($B1162,ref!$B$2:$C$34,2,FALSE),"NA")</f>
        <v>Spot</v>
      </c>
      <c r="D1162" s="5" t="s">
        <v>40</v>
      </c>
      <c r="E1162">
        <v>8</v>
      </c>
      <c r="F1162" s="1">
        <v>0.55000000000000004</v>
      </c>
      <c r="G1162" s="1">
        <v>0.48099999999999998</v>
      </c>
      <c r="H1162" s="10">
        <f t="shared" si="18"/>
        <v>0.1254545454545456</v>
      </c>
    </row>
    <row r="1163" spans="1:8" x14ac:dyDescent="0.25">
      <c r="A1163" s="4">
        <v>45817</v>
      </c>
      <c r="B1163" t="s">
        <v>35</v>
      </c>
      <c r="C1163" t="str">
        <f>_xlfn.IFNA(VLOOKUP($B1163,ref!$B$2:$C$34,2,FALSE),"NA")</f>
        <v>Misc</v>
      </c>
      <c r="D1163" s="5" t="s">
        <v>7</v>
      </c>
      <c r="E1163">
        <v>8</v>
      </c>
      <c r="F1163" s="1">
        <v>2.1</v>
      </c>
      <c r="G1163" s="1">
        <v>1.95</v>
      </c>
      <c r="H1163" s="10">
        <f t="shared" si="18"/>
        <v>7.1428571428571508E-2</v>
      </c>
    </row>
    <row r="1164" spans="1:8" x14ac:dyDescent="0.25">
      <c r="A1164" s="4">
        <v>45814</v>
      </c>
      <c r="B1164" t="s">
        <v>39</v>
      </c>
      <c r="C1164" t="str">
        <f>_xlfn.IFNA(VLOOKUP($B1164,ref!$B$2:$C$34,2,FALSE),"NA")</f>
        <v>Spot</v>
      </c>
      <c r="D1164" s="5" t="s">
        <v>41</v>
      </c>
      <c r="E1164">
        <v>8</v>
      </c>
      <c r="F1164" s="1">
        <v>0.85</v>
      </c>
      <c r="G1164" s="1">
        <v>0.74399999999999999</v>
      </c>
      <c r="H1164" s="10">
        <f t="shared" si="18"/>
        <v>0.12470588235294111</v>
      </c>
    </row>
    <row r="1165" spans="1:8" x14ac:dyDescent="0.25">
      <c r="A1165" s="4">
        <v>45814</v>
      </c>
      <c r="B1165" t="s">
        <v>14</v>
      </c>
      <c r="C1165" t="str">
        <f>_xlfn.IFNA(VLOOKUP($B1165,ref!$B$2:$C$34,2,FALSE),"NA")</f>
        <v>Spot</v>
      </c>
      <c r="D1165" s="5" t="s">
        <v>7</v>
      </c>
      <c r="E1165">
        <v>8</v>
      </c>
      <c r="F1165" s="1">
        <v>2.85</v>
      </c>
      <c r="G1165" s="1">
        <v>2.5</v>
      </c>
      <c r="H1165" s="10">
        <f t="shared" si="18"/>
        <v>0.1228070175438597</v>
      </c>
    </row>
    <row r="1166" spans="1:8" x14ac:dyDescent="0.25">
      <c r="A1166" s="4">
        <v>45812</v>
      </c>
      <c r="B1166" t="s">
        <v>14</v>
      </c>
      <c r="C1166" t="str">
        <f>_xlfn.IFNA(VLOOKUP($B1166,ref!$B$2:$C$34,2,FALSE),"NA")</f>
        <v>Spot</v>
      </c>
      <c r="D1166" s="5" t="s">
        <v>38</v>
      </c>
      <c r="E1166">
        <v>8</v>
      </c>
      <c r="F1166" s="1">
        <v>0.62</v>
      </c>
      <c r="G1166" s="1">
        <v>0.59</v>
      </c>
      <c r="H1166" s="10">
        <f t="shared" si="18"/>
        <v>4.8387096774193616E-2</v>
      </c>
    </row>
    <row r="1167" spans="1:8" x14ac:dyDescent="0.25">
      <c r="A1167" s="4">
        <v>45812</v>
      </c>
      <c r="B1167" t="s">
        <v>39</v>
      </c>
      <c r="C1167" t="str">
        <f>_xlfn.IFNA(VLOOKUP($B1167,ref!$B$2:$C$34,2,FALSE),"NA")</f>
        <v>Spot</v>
      </c>
      <c r="D1167" s="5" t="s">
        <v>40</v>
      </c>
      <c r="E1167">
        <v>8</v>
      </c>
      <c r="F1167" s="1">
        <v>0.55000000000000004</v>
      </c>
      <c r="G1167" s="1">
        <v>0.46800000000000003</v>
      </c>
      <c r="H1167" s="10">
        <f t="shared" si="18"/>
        <v>0.14909090909090916</v>
      </c>
    </row>
    <row r="1168" spans="1:8" x14ac:dyDescent="0.25">
      <c r="A1168" s="4">
        <v>45812</v>
      </c>
      <c r="B1168" t="s">
        <v>39</v>
      </c>
      <c r="C1168" t="str">
        <f>_xlfn.IFNA(VLOOKUP($B1168,ref!$B$2:$C$34,2,FALSE),"NA")</f>
        <v>Spot</v>
      </c>
      <c r="D1168" s="5" t="s">
        <v>40</v>
      </c>
      <c r="E1168">
        <v>8</v>
      </c>
      <c r="F1168" s="1">
        <v>0.55000000000000004</v>
      </c>
      <c r="G1168" s="1">
        <v>0.46800000000000003</v>
      </c>
      <c r="H1168" s="10">
        <f t="shared" si="18"/>
        <v>0.14909090909090916</v>
      </c>
    </row>
    <row r="1169" spans="1:8" x14ac:dyDescent="0.25">
      <c r="A1169" s="4">
        <v>45812</v>
      </c>
      <c r="B1169" t="s">
        <v>39</v>
      </c>
      <c r="C1169" t="str">
        <f>_xlfn.IFNA(VLOOKUP($B1169,ref!$B$2:$C$34,2,FALSE),"NA")</f>
        <v>Spot</v>
      </c>
      <c r="D1169" s="5" t="s">
        <v>40</v>
      </c>
      <c r="E1169">
        <v>8</v>
      </c>
      <c r="F1169" s="1">
        <v>0.55000000000000004</v>
      </c>
      <c r="G1169" s="1">
        <v>0.46800000000000003</v>
      </c>
      <c r="H1169" s="10">
        <f t="shared" si="18"/>
        <v>0.14909090909090916</v>
      </c>
    </row>
    <row r="1170" spans="1:8" x14ac:dyDescent="0.25">
      <c r="A1170" s="4">
        <v>45812</v>
      </c>
      <c r="B1170" t="s">
        <v>39</v>
      </c>
      <c r="C1170" t="str">
        <f>_xlfn.IFNA(VLOOKUP($B1170,ref!$B$2:$C$34,2,FALSE),"NA")</f>
        <v>Spot</v>
      </c>
      <c r="D1170" s="5" t="s">
        <v>34</v>
      </c>
      <c r="E1170">
        <v>8</v>
      </c>
      <c r="F1170" s="1">
        <v>0.3</v>
      </c>
      <c r="G1170" s="1">
        <v>0.26300000000000001</v>
      </c>
      <c r="H1170" s="10">
        <f t="shared" si="18"/>
        <v>0.12333333333333329</v>
      </c>
    </row>
    <row r="1171" spans="1:8" x14ac:dyDescent="0.25">
      <c r="A1171" s="4">
        <v>45812</v>
      </c>
      <c r="B1171" t="s">
        <v>39</v>
      </c>
      <c r="C1171" t="str">
        <f>_xlfn.IFNA(VLOOKUP($B1171,ref!$B$2:$C$34,2,FALSE),"NA")</f>
        <v>Spot</v>
      </c>
      <c r="D1171" s="5" t="s">
        <v>34</v>
      </c>
      <c r="E1171">
        <v>8</v>
      </c>
      <c r="F1171" s="1">
        <v>0.3</v>
      </c>
      <c r="G1171" s="1">
        <v>0.26300000000000001</v>
      </c>
      <c r="H1171" s="10">
        <f t="shared" si="18"/>
        <v>0.12333333333333329</v>
      </c>
    </row>
    <row r="1172" spans="1:8" x14ac:dyDescent="0.25">
      <c r="A1172" s="4">
        <v>45810</v>
      </c>
      <c r="B1172" t="s">
        <v>14</v>
      </c>
      <c r="C1172" t="str">
        <f>_xlfn.IFNA(VLOOKUP($B1172,ref!$B$2:$C$34,2,FALSE),"NA")</f>
        <v>Spot</v>
      </c>
      <c r="D1172" s="5" t="s">
        <v>7</v>
      </c>
      <c r="E1172">
        <v>8</v>
      </c>
      <c r="F1172" s="1">
        <v>3</v>
      </c>
      <c r="G1172" s="1">
        <v>3</v>
      </c>
      <c r="H1172" s="10">
        <f t="shared" si="18"/>
        <v>0</v>
      </c>
    </row>
    <row r="1173" spans="1:8" x14ac:dyDescent="0.25">
      <c r="A1173" s="4">
        <v>45810</v>
      </c>
      <c r="B1173" t="s">
        <v>14</v>
      </c>
      <c r="C1173" t="str">
        <f>_xlfn.IFNA(VLOOKUP($B1173,ref!$B$2:$C$34,2,FALSE),"NA")</f>
        <v>Spot</v>
      </c>
      <c r="D1173" s="5" t="s">
        <v>7</v>
      </c>
      <c r="E1173">
        <v>8</v>
      </c>
      <c r="F1173" s="1">
        <v>3.3</v>
      </c>
      <c r="G1173" s="1">
        <v>3</v>
      </c>
      <c r="H1173" s="10">
        <f t="shared" si="18"/>
        <v>9.0909090909090828E-2</v>
      </c>
    </row>
    <row r="1174" spans="1:8" x14ac:dyDescent="0.25">
      <c r="A1174" s="4">
        <v>45810</v>
      </c>
      <c r="B1174" t="s">
        <v>14</v>
      </c>
      <c r="C1174" t="str">
        <f>_xlfn.IFNA(VLOOKUP($B1174,ref!$B$2:$C$34,2,FALSE),"NA")</f>
        <v>Spot</v>
      </c>
      <c r="D1174" s="5" t="s">
        <v>7</v>
      </c>
      <c r="E1174">
        <v>8</v>
      </c>
      <c r="F1174" s="1">
        <v>3.3</v>
      </c>
      <c r="G1174" s="1">
        <v>3</v>
      </c>
      <c r="H1174" s="10">
        <f t="shared" si="18"/>
        <v>9.0909090909090828E-2</v>
      </c>
    </row>
    <row r="1175" spans="1:8" x14ac:dyDescent="0.25">
      <c r="A1175" s="4">
        <v>45810</v>
      </c>
      <c r="B1175" t="s">
        <v>14</v>
      </c>
      <c r="C1175" t="str">
        <f>_xlfn.IFNA(VLOOKUP($B1175,ref!$B$2:$C$34,2,FALSE),"NA")</f>
        <v>Spot</v>
      </c>
      <c r="D1175" s="5" t="s">
        <v>7</v>
      </c>
      <c r="E1175">
        <v>8</v>
      </c>
      <c r="F1175" s="1">
        <v>3.3</v>
      </c>
      <c r="G1175" s="1">
        <v>3</v>
      </c>
      <c r="H1175" s="10">
        <f t="shared" si="18"/>
        <v>9.0909090909090828E-2</v>
      </c>
    </row>
    <row r="1176" spans="1:8" x14ac:dyDescent="0.25">
      <c r="A1176" s="4">
        <v>45810</v>
      </c>
      <c r="B1176" t="s">
        <v>14</v>
      </c>
      <c r="C1176" t="str">
        <f>_xlfn.IFNA(VLOOKUP($B1176,ref!$B$2:$C$34,2,FALSE),"NA")</f>
        <v>Spot</v>
      </c>
      <c r="D1176" s="5" t="s">
        <v>37</v>
      </c>
      <c r="E1176">
        <v>8</v>
      </c>
      <c r="F1176" s="1">
        <v>3.3</v>
      </c>
      <c r="G1176" s="1">
        <v>3</v>
      </c>
      <c r="H1176" s="10">
        <f t="shared" si="18"/>
        <v>9.0909090909090828E-2</v>
      </c>
    </row>
    <row r="1177" spans="1:8" x14ac:dyDescent="0.25">
      <c r="A1177" s="4">
        <v>45809</v>
      </c>
      <c r="B1177" t="s">
        <v>9</v>
      </c>
      <c r="C1177" t="str">
        <f>_xlfn.IFNA(VLOOKUP($B1177,ref!$B$2:$C$34,2,FALSE),"NA")</f>
        <v>12 Month</v>
      </c>
      <c r="D1177" s="5" t="s">
        <v>36</v>
      </c>
      <c r="E1177">
        <v>8</v>
      </c>
      <c r="F1177" s="1">
        <v>1.05</v>
      </c>
      <c r="G1177" s="1">
        <v>0.95</v>
      </c>
      <c r="H1177" s="10">
        <f t="shared" si="18"/>
        <v>9.5238095238095344E-2</v>
      </c>
    </row>
    <row r="1178" spans="1:8" x14ac:dyDescent="0.25">
      <c r="A1178" s="4">
        <v>45809</v>
      </c>
      <c r="B1178" t="s">
        <v>9</v>
      </c>
      <c r="C1178" t="str">
        <f>_xlfn.IFNA(VLOOKUP($B1178,ref!$B$2:$C$34,2,FALSE),"NA")</f>
        <v>12 Month</v>
      </c>
      <c r="D1178" s="5" t="s">
        <v>36</v>
      </c>
      <c r="E1178">
        <v>8</v>
      </c>
      <c r="F1178" s="1">
        <v>1.05</v>
      </c>
      <c r="G1178" s="1">
        <v>0.95</v>
      </c>
      <c r="H1178" s="10">
        <f t="shared" si="18"/>
        <v>9.5238095238095344E-2</v>
      </c>
    </row>
    <row r="1179" spans="1:8" x14ac:dyDescent="0.25">
      <c r="A1179" s="4">
        <v>45809</v>
      </c>
      <c r="B1179" t="s">
        <v>9</v>
      </c>
      <c r="C1179" t="str">
        <f>_xlfn.IFNA(VLOOKUP($B1179,ref!$B$2:$C$34,2,FALSE),"NA")</f>
        <v>12 Month</v>
      </c>
      <c r="D1179" s="5" t="s">
        <v>36</v>
      </c>
      <c r="E1179">
        <v>8</v>
      </c>
      <c r="F1179" s="1">
        <v>1.05</v>
      </c>
      <c r="G1179" s="1">
        <v>0.95</v>
      </c>
      <c r="H1179" s="10">
        <f t="shared" si="18"/>
        <v>9.5238095238095344E-2</v>
      </c>
    </row>
    <row r="1180" spans="1:8" x14ac:dyDescent="0.25">
      <c r="A1180" s="4">
        <v>45809</v>
      </c>
      <c r="B1180" t="s">
        <v>9</v>
      </c>
      <c r="C1180" t="str">
        <f>_xlfn.IFNA(VLOOKUP($B1180,ref!$B$2:$C$34,2,FALSE),"NA")</f>
        <v>12 Month</v>
      </c>
      <c r="D1180" s="5" t="s">
        <v>36</v>
      </c>
      <c r="E1180">
        <v>8</v>
      </c>
      <c r="F1180" s="1">
        <v>1.05</v>
      </c>
      <c r="G1180" s="1">
        <v>0.95</v>
      </c>
      <c r="H1180" s="10">
        <f t="shared" si="18"/>
        <v>9.5238095238095344E-2</v>
      </c>
    </row>
    <row r="1181" spans="1:8" x14ac:dyDescent="0.25">
      <c r="A1181" s="4">
        <v>45809</v>
      </c>
      <c r="B1181" t="s">
        <v>9</v>
      </c>
      <c r="C1181" t="str">
        <f>_xlfn.IFNA(VLOOKUP($B1181,ref!$B$2:$C$34,2,FALSE),"NA")</f>
        <v>12 Month</v>
      </c>
      <c r="D1181" s="5" t="s">
        <v>36</v>
      </c>
      <c r="E1181">
        <v>8</v>
      </c>
      <c r="F1181" s="1">
        <v>1.05</v>
      </c>
      <c r="G1181" s="1">
        <v>0.95</v>
      </c>
      <c r="H1181" s="10">
        <f t="shared" si="18"/>
        <v>9.5238095238095344E-2</v>
      </c>
    </row>
    <row r="1182" spans="1:8" x14ac:dyDescent="0.25">
      <c r="A1182" s="4">
        <v>45809</v>
      </c>
      <c r="B1182" t="s">
        <v>9</v>
      </c>
      <c r="C1182" t="str">
        <f>_xlfn.IFNA(VLOOKUP($B1182,ref!$B$2:$C$34,2,FALSE),"NA")</f>
        <v>12 Month</v>
      </c>
      <c r="D1182" s="5" t="s">
        <v>36</v>
      </c>
      <c r="E1182">
        <v>8</v>
      </c>
      <c r="F1182" s="1">
        <v>1.05</v>
      </c>
      <c r="G1182" s="1">
        <v>0.95</v>
      </c>
      <c r="H1182" s="10">
        <f t="shared" si="18"/>
        <v>9.5238095238095344E-2</v>
      </c>
    </row>
    <row r="1183" spans="1:8" x14ac:dyDescent="0.25">
      <c r="A1183" s="4">
        <v>45809</v>
      </c>
      <c r="B1183" t="s">
        <v>9</v>
      </c>
      <c r="C1183" t="str">
        <f>_xlfn.IFNA(VLOOKUP($B1183,ref!$B$2:$C$34,2,FALSE),"NA")</f>
        <v>12 Month</v>
      </c>
      <c r="D1183" s="5" t="s">
        <v>36</v>
      </c>
      <c r="E1183">
        <v>8</v>
      </c>
      <c r="F1183" s="1">
        <v>1.05</v>
      </c>
      <c r="G1183" s="1">
        <v>0.95</v>
      </c>
      <c r="H1183" s="10">
        <f t="shared" si="18"/>
        <v>9.5238095238095344E-2</v>
      </c>
    </row>
    <row r="1184" spans="1:8" x14ac:dyDescent="0.25">
      <c r="A1184" s="4">
        <v>45809</v>
      </c>
      <c r="B1184" t="s">
        <v>9</v>
      </c>
      <c r="C1184" t="str">
        <f>_xlfn.IFNA(VLOOKUP($B1184,ref!$B$2:$C$34,2,FALSE),"NA")</f>
        <v>12 Month</v>
      </c>
      <c r="D1184" s="5" t="s">
        <v>36</v>
      </c>
      <c r="E1184">
        <v>8</v>
      </c>
      <c r="F1184" s="1">
        <v>1.05</v>
      </c>
      <c r="G1184" s="1">
        <v>0.95</v>
      </c>
      <c r="H1184" s="10">
        <f t="shared" si="18"/>
        <v>9.5238095238095344E-2</v>
      </c>
    </row>
    <row r="1185" spans="1:8" x14ac:dyDescent="0.25">
      <c r="A1185" s="4">
        <v>45809</v>
      </c>
      <c r="B1185" t="s">
        <v>9</v>
      </c>
      <c r="C1185" t="str">
        <f>_xlfn.IFNA(VLOOKUP($B1185,ref!$B$2:$C$34,2,FALSE),"NA")</f>
        <v>12 Month</v>
      </c>
      <c r="D1185" s="5" t="s">
        <v>36</v>
      </c>
      <c r="E1185">
        <v>8</v>
      </c>
      <c r="F1185" s="1">
        <v>1.05</v>
      </c>
      <c r="G1185" s="1">
        <v>0.95</v>
      </c>
      <c r="H1185" s="10">
        <f t="shared" si="18"/>
        <v>9.5238095238095344E-2</v>
      </c>
    </row>
    <row r="1186" spans="1:8" x14ac:dyDescent="0.25">
      <c r="A1186" s="4">
        <v>45807</v>
      </c>
      <c r="C1186" t="str">
        <f>_xlfn.IFNA(VLOOKUP($B1186,ref!$B$2:$C$34,2,FALSE),"NA")</f>
        <v>NA</v>
      </c>
      <c r="D1186" s="5" t="s">
        <v>10</v>
      </c>
      <c r="E1186">
        <v>8</v>
      </c>
      <c r="F1186" s="1">
        <v>2.5</v>
      </c>
      <c r="G1186" s="1">
        <v>2.36</v>
      </c>
      <c r="H1186" s="10">
        <f t="shared" si="18"/>
        <v>5.600000000000005E-2</v>
      </c>
    </row>
    <row r="1187" spans="1:8" x14ac:dyDescent="0.25">
      <c r="A1187" s="4">
        <v>45804</v>
      </c>
      <c r="B1187" t="s">
        <v>6</v>
      </c>
      <c r="C1187" t="str">
        <f>_xlfn.IFNA(VLOOKUP($B1187,ref!$B$2:$C$34,2,FALSE),"NA")</f>
        <v>3 Month</v>
      </c>
      <c r="D1187" s="5" t="s">
        <v>7</v>
      </c>
      <c r="E1187">
        <v>8</v>
      </c>
      <c r="F1187" s="1">
        <v>2</v>
      </c>
      <c r="G1187" s="1">
        <v>1.8</v>
      </c>
      <c r="H1187" s="10">
        <f t="shared" si="18"/>
        <v>9.9999999999999978E-2</v>
      </c>
    </row>
    <row r="1188" spans="1:8" x14ac:dyDescent="0.25">
      <c r="A1188" s="4">
        <v>45800</v>
      </c>
      <c r="B1188" t="s">
        <v>12</v>
      </c>
      <c r="C1188" t="str">
        <f>_xlfn.IFNA(VLOOKUP($B1188,ref!$B$2:$C$34,2,FALSE),"NA")</f>
        <v>Spot</v>
      </c>
      <c r="D1188" s="5" t="s">
        <v>18</v>
      </c>
      <c r="E1188">
        <v>8</v>
      </c>
      <c r="F1188" s="1">
        <v>0.7</v>
      </c>
      <c r="G1188" s="1">
        <v>0.61</v>
      </c>
      <c r="H1188" s="10">
        <f t="shared" si="18"/>
        <v>0.12857142857142856</v>
      </c>
    </row>
    <row r="1189" spans="1:8" x14ac:dyDescent="0.25">
      <c r="A1189" s="4">
        <v>45798</v>
      </c>
      <c r="B1189" t="s">
        <v>12</v>
      </c>
      <c r="C1189" t="str">
        <f>_xlfn.IFNA(VLOOKUP($B1189,ref!$B$2:$C$34,2,FALSE),"NA")</f>
        <v>Spot</v>
      </c>
      <c r="D1189" s="5" t="s">
        <v>21</v>
      </c>
      <c r="E1189">
        <v>8</v>
      </c>
      <c r="F1189" s="1">
        <v>0.57999999999999996</v>
      </c>
      <c r="G1189" s="1">
        <v>0.52</v>
      </c>
      <c r="H1189" s="10">
        <f t="shared" si="18"/>
        <v>0.10344827586206884</v>
      </c>
    </row>
    <row r="1190" spans="1:8" x14ac:dyDescent="0.25">
      <c r="A1190" s="4">
        <v>45793</v>
      </c>
      <c r="B1190" t="s">
        <v>9</v>
      </c>
      <c r="C1190" t="str">
        <f>_xlfn.IFNA(VLOOKUP($B1190,ref!$B$2:$C$34,2,FALSE),"NA")</f>
        <v>12 Month</v>
      </c>
      <c r="D1190" s="5" t="s">
        <v>7</v>
      </c>
      <c r="E1190">
        <v>8</v>
      </c>
      <c r="F1190" s="1">
        <v>2.41</v>
      </c>
      <c r="G1190" s="1">
        <v>2.2999999999999998</v>
      </c>
      <c r="H1190" s="10">
        <f t="shared" si="18"/>
        <v>4.5643153526971125E-2</v>
      </c>
    </row>
    <row r="1191" spans="1:8" x14ac:dyDescent="0.25">
      <c r="A1191" s="4">
        <v>45793</v>
      </c>
      <c r="B1191" t="s">
        <v>9</v>
      </c>
      <c r="C1191" t="str">
        <f>_xlfn.IFNA(VLOOKUP($B1191,ref!$B$2:$C$34,2,FALSE),"NA")</f>
        <v>12 Month</v>
      </c>
      <c r="D1191" s="5" t="s">
        <v>7</v>
      </c>
      <c r="E1191">
        <v>8</v>
      </c>
      <c r="F1191" s="1">
        <v>2.41</v>
      </c>
      <c r="G1191" s="1">
        <v>2.2999999999999998</v>
      </c>
      <c r="H1191" s="10">
        <f t="shared" si="18"/>
        <v>4.5643153526971125E-2</v>
      </c>
    </row>
    <row r="1192" spans="1:8" x14ac:dyDescent="0.25">
      <c r="A1192" s="4">
        <v>45793</v>
      </c>
      <c r="B1192" t="s">
        <v>9</v>
      </c>
      <c r="C1192" t="str">
        <f>_xlfn.IFNA(VLOOKUP($B1192,ref!$B$2:$C$34,2,FALSE),"NA")</f>
        <v>12 Month</v>
      </c>
      <c r="D1192" s="5" t="s">
        <v>7</v>
      </c>
      <c r="E1192">
        <v>8</v>
      </c>
      <c r="F1192" s="1">
        <v>2.41</v>
      </c>
      <c r="G1192" s="1">
        <v>2.2999999999999998</v>
      </c>
      <c r="H1192" s="10">
        <f t="shared" si="18"/>
        <v>4.5643153526971125E-2</v>
      </c>
    </row>
    <row r="1193" spans="1:8" x14ac:dyDescent="0.25">
      <c r="A1193" s="4">
        <v>45793</v>
      </c>
      <c r="B1193" t="s">
        <v>9</v>
      </c>
      <c r="C1193" t="str">
        <f>_xlfn.IFNA(VLOOKUP($B1193,ref!$B$2:$C$34,2,FALSE),"NA")</f>
        <v>12 Month</v>
      </c>
      <c r="D1193" s="5" t="s">
        <v>7</v>
      </c>
      <c r="E1193">
        <v>8</v>
      </c>
      <c r="F1193" s="1">
        <v>2.41</v>
      </c>
      <c r="G1193" s="1">
        <v>2.2999999999999998</v>
      </c>
      <c r="H1193" s="10">
        <f t="shared" si="18"/>
        <v>4.5643153526971125E-2</v>
      </c>
    </row>
    <row r="1194" spans="1:8" x14ac:dyDescent="0.25">
      <c r="A1194" s="4">
        <v>45793</v>
      </c>
      <c r="B1194" t="s">
        <v>9</v>
      </c>
      <c r="C1194" t="str">
        <f>_xlfn.IFNA(VLOOKUP($B1194,ref!$B$2:$C$34,2,FALSE),"NA")</f>
        <v>12 Month</v>
      </c>
      <c r="D1194" s="5" t="s">
        <v>7</v>
      </c>
      <c r="E1194">
        <v>8</v>
      </c>
      <c r="F1194" s="1">
        <v>2.41</v>
      </c>
      <c r="G1194" s="1">
        <v>2.2999999999999998</v>
      </c>
      <c r="H1194" s="10">
        <f t="shared" si="18"/>
        <v>4.5643153526971125E-2</v>
      </c>
    </row>
    <row r="1195" spans="1:8" x14ac:dyDescent="0.25">
      <c r="A1195" s="4">
        <v>45793</v>
      </c>
      <c r="B1195" t="s">
        <v>12</v>
      </c>
      <c r="C1195" t="str">
        <f>_xlfn.IFNA(VLOOKUP($B1195,ref!$B$2:$C$34,2,FALSE),"NA")</f>
        <v>Spot</v>
      </c>
      <c r="D1195" s="5" t="s">
        <v>21</v>
      </c>
      <c r="E1195">
        <v>8</v>
      </c>
      <c r="F1195" s="1">
        <v>0.57999999999999996</v>
      </c>
      <c r="G1195" s="1">
        <v>0.52</v>
      </c>
      <c r="H1195" s="10">
        <f t="shared" si="18"/>
        <v>0.10344827586206884</v>
      </c>
    </row>
    <row r="1196" spans="1:8" x14ac:dyDescent="0.25">
      <c r="A1196" s="4">
        <v>45793</v>
      </c>
      <c r="B1196" t="s">
        <v>9</v>
      </c>
      <c r="C1196" t="str">
        <f>_xlfn.IFNA(VLOOKUP($B1196,ref!$B$2:$C$34,2,FALSE),"NA")</f>
        <v>12 Month</v>
      </c>
      <c r="D1196" s="5" t="s">
        <v>7</v>
      </c>
      <c r="E1196">
        <v>8</v>
      </c>
      <c r="F1196" s="1">
        <v>2.41</v>
      </c>
      <c r="G1196" s="1">
        <v>2.2999999999999998</v>
      </c>
      <c r="H1196" s="10">
        <f t="shared" si="18"/>
        <v>4.5643153526971125E-2</v>
      </c>
    </row>
    <row r="1197" spans="1:8" x14ac:dyDescent="0.25">
      <c r="A1197" s="4">
        <v>45792</v>
      </c>
      <c r="B1197" t="s">
        <v>29</v>
      </c>
      <c r="C1197" t="str">
        <f>_xlfn.IFNA(VLOOKUP($B1197,ref!$B$2:$C$34,2,FALSE),"NA")</f>
        <v>Spot</v>
      </c>
      <c r="D1197" s="5" t="s">
        <v>34</v>
      </c>
      <c r="E1197">
        <v>8</v>
      </c>
      <c r="F1197" s="1">
        <v>0.34</v>
      </c>
      <c r="G1197" s="1">
        <v>0.29799999999999999</v>
      </c>
      <c r="H1197" s="10">
        <f t="shared" si="18"/>
        <v>0.123529411764706</v>
      </c>
    </row>
    <row r="1198" spans="1:8" x14ac:dyDescent="0.25">
      <c r="A1198" s="4">
        <v>45792</v>
      </c>
      <c r="B1198" t="s">
        <v>29</v>
      </c>
      <c r="C1198" t="str">
        <f>_xlfn.IFNA(VLOOKUP($B1198,ref!$B$2:$C$34,2,FALSE),"NA")</f>
        <v>Spot</v>
      </c>
      <c r="D1198" s="5">
        <v>3090</v>
      </c>
      <c r="E1198">
        <v>8</v>
      </c>
      <c r="F1198" s="1">
        <v>0.34</v>
      </c>
      <c r="G1198" s="1">
        <v>0.29799999999999999</v>
      </c>
      <c r="H1198" s="10">
        <f t="shared" si="18"/>
        <v>0.123529411764706</v>
      </c>
    </row>
    <row r="1199" spans="1:8" x14ac:dyDescent="0.25">
      <c r="A1199" s="4">
        <v>45792</v>
      </c>
      <c r="B1199" t="s">
        <v>29</v>
      </c>
      <c r="C1199" t="str">
        <f>_xlfn.IFNA(VLOOKUP($B1199,ref!$B$2:$C$34,2,FALSE),"NA")</f>
        <v>Spot</v>
      </c>
      <c r="D1199" s="5">
        <v>3090</v>
      </c>
      <c r="E1199">
        <v>8</v>
      </c>
      <c r="F1199" s="1">
        <v>0.34</v>
      </c>
      <c r="G1199" s="1">
        <v>0.29799999999999999</v>
      </c>
      <c r="H1199" s="10">
        <f t="shared" si="18"/>
        <v>0.123529411764706</v>
      </c>
    </row>
    <row r="1200" spans="1:8" x14ac:dyDescent="0.25">
      <c r="A1200" s="4">
        <v>45791</v>
      </c>
      <c r="B1200" t="s">
        <v>17</v>
      </c>
      <c r="C1200" t="str">
        <f>_xlfn.IFNA(VLOOKUP($B1200,ref!$B$2:$C$34,2,FALSE),"NA")</f>
        <v>6 Month</v>
      </c>
      <c r="D1200" s="5" t="s">
        <v>10</v>
      </c>
      <c r="E1200">
        <v>8</v>
      </c>
      <c r="F1200" s="1">
        <v>2.15</v>
      </c>
      <c r="G1200" s="1">
        <v>2.0499999999999998</v>
      </c>
      <c r="H1200" s="10">
        <f t="shared" si="18"/>
        <v>4.6511627906976827E-2</v>
      </c>
    </row>
    <row r="1201" spans="1:8" x14ac:dyDescent="0.25">
      <c r="A1201" s="4">
        <v>45791</v>
      </c>
      <c r="B1201" t="s">
        <v>17</v>
      </c>
      <c r="C1201" t="str">
        <f>_xlfn.IFNA(VLOOKUP($B1201,ref!$B$2:$C$34,2,FALSE),"NA")</f>
        <v>6 Month</v>
      </c>
      <c r="D1201" s="5" t="s">
        <v>10</v>
      </c>
      <c r="E1201">
        <v>8</v>
      </c>
      <c r="F1201" s="1">
        <v>2.15</v>
      </c>
      <c r="G1201" s="1">
        <v>2.0499999999999998</v>
      </c>
      <c r="H1201" s="10">
        <f t="shared" si="18"/>
        <v>4.6511627906976827E-2</v>
      </c>
    </row>
    <row r="1202" spans="1:8" x14ac:dyDescent="0.25">
      <c r="A1202" s="4">
        <v>45789</v>
      </c>
      <c r="B1202" t="s">
        <v>14</v>
      </c>
      <c r="C1202" t="str">
        <f>_xlfn.IFNA(VLOOKUP($B1202,ref!$B$2:$C$34,2,FALSE),"NA")</f>
        <v>Spot</v>
      </c>
      <c r="D1202" s="5">
        <v>5090</v>
      </c>
      <c r="E1202">
        <v>8</v>
      </c>
      <c r="F1202" s="1">
        <v>0.88</v>
      </c>
      <c r="G1202" s="1">
        <v>0.77</v>
      </c>
      <c r="H1202" s="10">
        <f t="shared" si="18"/>
        <v>0.125</v>
      </c>
    </row>
    <row r="1203" spans="1:8" x14ac:dyDescent="0.25">
      <c r="A1203" s="4">
        <v>45789</v>
      </c>
      <c r="B1203" t="s">
        <v>14</v>
      </c>
      <c r="C1203" t="str">
        <f>_xlfn.IFNA(VLOOKUP($B1203,ref!$B$2:$C$34,2,FALSE),"NA")</f>
        <v>Spot</v>
      </c>
      <c r="D1203" s="5">
        <v>5090</v>
      </c>
      <c r="E1203">
        <v>8</v>
      </c>
      <c r="F1203" s="1">
        <v>0.88</v>
      </c>
      <c r="G1203" s="1">
        <v>0.77</v>
      </c>
      <c r="H1203" s="10">
        <f t="shared" si="18"/>
        <v>0.125</v>
      </c>
    </row>
    <row r="1204" spans="1:8" x14ac:dyDescent="0.25">
      <c r="A1204" s="4">
        <v>45786</v>
      </c>
      <c r="B1204" t="s">
        <v>14</v>
      </c>
      <c r="C1204" t="str">
        <f>_xlfn.IFNA(VLOOKUP($B1204,ref!$B$2:$C$34,2,FALSE),"NA")</f>
        <v>Spot</v>
      </c>
      <c r="D1204" s="5" t="s">
        <v>7</v>
      </c>
      <c r="E1204">
        <v>8</v>
      </c>
      <c r="F1204" s="1">
        <v>3.15</v>
      </c>
      <c r="G1204" s="1">
        <v>2.7</v>
      </c>
      <c r="H1204" s="10">
        <f t="shared" si="18"/>
        <v>0.14285714285714279</v>
      </c>
    </row>
    <row r="1205" spans="1:8" x14ac:dyDescent="0.25">
      <c r="A1205" s="4">
        <v>45786</v>
      </c>
      <c r="B1205" t="s">
        <v>14</v>
      </c>
      <c r="C1205" t="str">
        <f>_xlfn.IFNA(VLOOKUP($B1205,ref!$B$2:$C$34,2,FALSE),"NA")</f>
        <v>Spot</v>
      </c>
      <c r="D1205" s="5" t="s">
        <v>7</v>
      </c>
      <c r="E1205">
        <v>8</v>
      </c>
      <c r="F1205" s="1">
        <v>3.15</v>
      </c>
      <c r="G1205" s="1">
        <v>2.7</v>
      </c>
      <c r="H1205" s="10">
        <f t="shared" si="18"/>
        <v>0.14285714285714279</v>
      </c>
    </row>
    <row r="1206" spans="1:8" x14ac:dyDescent="0.25">
      <c r="A1206" s="4">
        <v>45786</v>
      </c>
      <c r="B1206" t="s">
        <v>29</v>
      </c>
      <c r="C1206" t="str">
        <f>_xlfn.IFNA(VLOOKUP($B1206,ref!$B$2:$C$34,2,FALSE),"NA")</f>
        <v>Spot</v>
      </c>
      <c r="D1206" s="5">
        <v>4090</v>
      </c>
      <c r="E1206">
        <v>8</v>
      </c>
      <c r="F1206" s="1">
        <v>0.5</v>
      </c>
      <c r="G1206" s="1">
        <v>0.438</v>
      </c>
      <c r="H1206" s="10">
        <f t="shared" si="18"/>
        <v>0.124</v>
      </c>
    </row>
    <row r="1207" spans="1:8" x14ac:dyDescent="0.25">
      <c r="A1207" s="4">
        <v>45786</v>
      </c>
      <c r="B1207" t="s">
        <v>29</v>
      </c>
      <c r="C1207" t="str">
        <f>_xlfn.IFNA(VLOOKUP($B1207,ref!$B$2:$C$34,2,FALSE),"NA")</f>
        <v>Spot</v>
      </c>
      <c r="D1207" s="5">
        <v>4090</v>
      </c>
      <c r="E1207">
        <v>8</v>
      </c>
      <c r="F1207" s="1">
        <v>0.5</v>
      </c>
      <c r="G1207" s="1">
        <v>0.438</v>
      </c>
      <c r="H1207" s="10">
        <f t="shared" si="18"/>
        <v>0.124</v>
      </c>
    </row>
    <row r="1208" spans="1:8" x14ac:dyDescent="0.25">
      <c r="A1208" s="4">
        <v>45784</v>
      </c>
      <c r="B1208" t="s">
        <v>14</v>
      </c>
      <c r="C1208" t="str">
        <f>_xlfn.IFNA(VLOOKUP($B1208,ref!$B$2:$C$34,2,FALSE),"NA")</f>
        <v>Spot</v>
      </c>
      <c r="D1208" s="5" t="s">
        <v>7</v>
      </c>
      <c r="E1208">
        <v>8</v>
      </c>
      <c r="F1208" s="1">
        <v>3.15</v>
      </c>
      <c r="G1208" s="1">
        <v>2.7</v>
      </c>
      <c r="H1208" s="10">
        <f t="shared" si="18"/>
        <v>0.14285714285714279</v>
      </c>
    </row>
    <row r="1209" spans="1:8" x14ac:dyDescent="0.25">
      <c r="A1209" s="4">
        <v>45784</v>
      </c>
      <c r="B1209" t="s">
        <v>14</v>
      </c>
      <c r="C1209" t="str">
        <f>_xlfn.IFNA(VLOOKUP($B1209,ref!$B$2:$C$34,2,FALSE),"NA")</f>
        <v>Spot</v>
      </c>
      <c r="D1209" s="5" t="s">
        <v>7</v>
      </c>
      <c r="E1209">
        <v>8</v>
      </c>
      <c r="F1209" s="1">
        <v>3.15</v>
      </c>
      <c r="G1209" s="1">
        <v>2.7</v>
      </c>
      <c r="H1209" s="10">
        <f t="shared" si="18"/>
        <v>0.14285714285714279</v>
      </c>
    </row>
    <row r="1210" spans="1:8" x14ac:dyDescent="0.25">
      <c r="A1210" s="4">
        <v>45784</v>
      </c>
      <c r="B1210" t="s">
        <v>14</v>
      </c>
      <c r="C1210" t="str">
        <f>_xlfn.IFNA(VLOOKUP($B1210,ref!$B$2:$C$34,2,FALSE),"NA")</f>
        <v>Spot</v>
      </c>
      <c r="D1210" s="5" t="s">
        <v>7</v>
      </c>
      <c r="E1210">
        <v>8</v>
      </c>
      <c r="F1210" s="1">
        <v>3.15</v>
      </c>
      <c r="G1210" s="1">
        <v>2.7</v>
      </c>
      <c r="H1210" s="10">
        <f t="shared" si="18"/>
        <v>0.14285714285714279</v>
      </c>
    </row>
    <row r="1211" spans="1:8" x14ac:dyDescent="0.25">
      <c r="A1211" s="4">
        <v>45784</v>
      </c>
      <c r="B1211" t="s">
        <v>14</v>
      </c>
      <c r="C1211" t="str">
        <f>_xlfn.IFNA(VLOOKUP($B1211,ref!$B$2:$C$34,2,FALSE),"NA")</f>
        <v>Spot</v>
      </c>
      <c r="D1211" s="5" t="s">
        <v>7</v>
      </c>
      <c r="E1211">
        <v>8</v>
      </c>
      <c r="F1211" s="1">
        <v>3.15</v>
      </c>
      <c r="G1211" s="1">
        <v>2.7</v>
      </c>
      <c r="H1211" s="10">
        <f t="shared" si="18"/>
        <v>0.14285714285714279</v>
      </c>
    </row>
    <row r="1212" spans="1:8" x14ac:dyDescent="0.25">
      <c r="A1212" s="4">
        <v>45784</v>
      </c>
      <c r="B1212" t="s">
        <v>14</v>
      </c>
      <c r="C1212" t="str">
        <f>_xlfn.IFNA(VLOOKUP($B1212,ref!$B$2:$C$34,2,FALSE),"NA")</f>
        <v>Spot</v>
      </c>
      <c r="D1212" s="5" t="s">
        <v>7</v>
      </c>
      <c r="E1212">
        <v>8</v>
      </c>
      <c r="F1212" s="1">
        <v>3.15</v>
      </c>
      <c r="G1212" s="1">
        <v>2.7</v>
      </c>
      <c r="H1212" s="10">
        <f t="shared" si="18"/>
        <v>0.14285714285714279</v>
      </c>
    </row>
    <row r="1213" spans="1:8" x14ac:dyDescent="0.25">
      <c r="A1213" s="4">
        <v>45784</v>
      </c>
      <c r="B1213" t="s">
        <v>14</v>
      </c>
      <c r="C1213" t="str">
        <f>_xlfn.IFNA(VLOOKUP($B1213,ref!$B$2:$C$34,2,FALSE),"NA")</f>
        <v>Spot</v>
      </c>
      <c r="D1213" s="5" t="s">
        <v>7</v>
      </c>
      <c r="E1213">
        <v>8</v>
      </c>
      <c r="F1213" s="1">
        <v>3.15</v>
      </c>
      <c r="G1213" s="1">
        <v>2.7</v>
      </c>
      <c r="H1213" s="10">
        <f t="shared" si="18"/>
        <v>0.14285714285714279</v>
      </c>
    </row>
    <row r="1214" spans="1:8" x14ac:dyDescent="0.25">
      <c r="A1214" s="4">
        <v>45784</v>
      </c>
      <c r="B1214" t="s">
        <v>14</v>
      </c>
      <c r="C1214" t="str">
        <f>_xlfn.IFNA(VLOOKUP($B1214,ref!$B$2:$C$34,2,FALSE),"NA")</f>
        <v>Spot</v>
      </c>
      <c r="D1214" s="5" t="s">
        <v>7</v>
      </c>
      <c r="E1214">
        <v>8</v>
      </c>
      <c r="F1214" s="1">
        <v>3.15</v>
      </c>
      <c r="G1214" s="1">
        <v>2.7</v>
      </c>
      <c r="H1214" s="10">
        <f t="shared" si="18"/>
        <v>0.14285714285714279</v>
      </c>
    </row>
    <row r="1215" spans="1:8" x14ac:dyDescent="0.25">
      <c r="A1215" s="4">
        <v>45784</v>
      </c>
      <c r="B1215" t="s">
        <v>14</v>
      </c>
      <c r="C1215" t="str">
        <f>_xlfn.IFNA(VLOOKUP($B1215,ref!$B$2:$C$34,2,FALSE),"NA")</f>
        <v>Spot</v>
      </c>
      <c r="D1215" s="5" t="s">
        <v>7</v>
      </c>
      <c r="E1215">
        <v>8</v>
      </c>
      <c r="F1215" s="1">
        <v>3.15</v>
      </c>
      <c r="G1215" s="1">
        <v>2.7</v>
      </c>
      <c r="H1215" s="10">
        <f t="shared" si="18"/>
        <v>0.14285714285714279</v>
      </c>
    </row>
    <row r="1216" spans="1:8" x14ac:dyDescent="0.25">
      <c r="A1216" s="4">
        <v>45784</v>
      </c>
      <c r="B1216" t="s">
        <v>14</v>
      </c>
      <c r="C1216" t="str">
        <f>_xlfn.IFNA(VLOOKUP($B1216,ref!$B$2:$C$34,2,FALSE),"NA")</f>
        <v>Spot</v>
      </c>
      <c r="D1216" s="5" t="s">
        <v>7</v>
      </c>
      <c r="E1216">
        <v>8</v>
      </c>
      <c r="F1216" s="1">
        <v>3.15</v>
      </c>
      <c r="G1216" s="1">
        <v>2.7</v>
      </c>
      <c r="H1216" s="10">
        <f t="shared" si="18"/>
        <v>0.14285714285714279</v>
      </c>
    </row>
    <row r="1217" spans="1:8" x14ac:dyDescent="0.25">
      <c r="A1217" s="4">
        <v>45784</v>
      </c>
      <c r="B1217" t="s">
        <v>14</v>
      </c>
      <c r="C1217" t="str">
        <f>_xlfn.IFNA(VLOOKUP($B1217,ref!$B$2:$C$34,2,FALSE),"NA")</f>
        <v>Spot</v>
      </c>
      <c r="D1217" s="5" t="s">
        <v>7</v>
      </c>
      <c r="E1217">
        <v>8</v>
      </c>
      <c r="F1217" s="1">
        <v>3.15</v>
      </c>
      <c r="G1217" s="1">
        <v>2.7</v>
      </c>
      <c r="H1217" s="10">
        <f t="shared" si="18"/>
        <v>0.14285714285714279</v>
      </c>
    </row>
    <row r="1218" spans="1:8" x14ac:dyDescent="0.25">
      <c r="A1218" s="4">
        <v>45784</v>
      </c>
      <c r="B1218" t="s">
        <v>14</v>
      </c>
      <c r="C1218" t="str">
        <f>_xlfn.IFNA(VLOOKUP($B1218,ref!$B$2:$C$34,2,FALSE),"NA")</f>
        <v>Spot</v>
      </c>
      <c r="D1218" s="5" t="s">
        <v>7</v>
      </c>
      <c r="E1218">
        <v>8</v>
      </c>
      <c r="F1218" s="1">
        <v>3.15</v>
      </c>
      <c r="G1218" s="1">
        <v>2.7</v>
      </c>
      <c r="H1218" s="10">
        <f t="shared" si="18"/>
        <v>0.14285714285714279</v>
      </c>
    </row>
    <row r="1219" spans="1:8" x14ac:dyDescent="0.25">
      <c r="A1219" s="4">
        <v>45784</v>
      </c>
      <c r="B1219" t="s">
        <v>14</v>
      </c>
      <c r="C1219" t="str">
        <f>_xlfn.IFNA(VLOOKUP($B1219,ref!$B$2:$C$34,2,FALSE),"NA")</f>
        <v>Spot</v>
      </c>
      <c r="D1219" s="5" t="s">
        <v>7</v>
      </c>
      <c r="E1219">
        <v>8</v>
      </c>
      <c r="F1219" s="1">
        <v>3.15</v>
      </c>
      <c r="G1219" s="1">
        <v>2.7</v>
      </c>
      <c r="H1219" s="10">
        <f t="shared" ref="H1219:H1282" si="19">1-(G1219/F1219)</f>
        <v>0.14285714285714279</v>
      </c>
    </row>
    <row r="1220" spans="1:8" x14ac:dyDescent="0.25">
      <c r="A1220" s="4">
        <v>45784</v>
      </c>
      <c r="B1220" t="s">
        <v>14</v>
      </c>
      <c r="C1220" t="str">
        <f>_xlfn.IFNA(VLOOKUP($B1220,ref!$B$2:$C$34,2,FALSE),"NA")</f>
        <v>Spot</v>
      </c>
      <c r="D1220" s="5" t="s">
        <v>7</v>
      </c>
      <c r="E1220">
        <v>8</v>
      </c>
      <c r="F1220" s="1">
        <v>3.15</v>
      </c>
      <c r="G1220" s="1">
        <v>2.7</v>
      </c>
      <c r="H1220" s="10">
        <f t="shared" si="19"/>
        <v>0.14285714285714279</v>
      </c>
    </row>
    <row r="1221" spans="1:8" x14ac:dyDescent="0.25">
      <c r="A1221" s="4">
        <v>45784</v>
      </c>
      <c r="B1221" t="s">
        <v>14</v>
      </c>
      <c r="C1221" t="str">
        <f>_xlfn.IFNA(VLOOKUP($B1221,ref!$B$2:$C$34,2,FALSE),"NA")</f>
        <v>Spot</v>
      </c>
      <c r="D1221" s="5" t="s">
        <v>7</v>
      </c>
      <c r="E1221">
        <v>8</v>
      </c>
      <c r="F1221" s="1">
        <v>3.15</v>
      </c>
      <c r="G1221" s="1">
        <v>2.7</v>
      </c>
      <c r="H1221" s="10">
        <f t="shared" si="19"/>
        <v>0.14285714285714279</v>
      </c>
    </row>
    <row r="1222" spans="1:8" x14ac:dyDescent="0.25">
      <c r="A1222" s="4">
        <v>45784</v>
      </c>
      <c r="B1222" t="s">
        <v>14</v>
      </c>
      <c r="C1222" t="str">
        <f>_xlfn.IFNA(VLOOKUP($B1222,ref!$B$2:$C$34,2,FALSE),"NA")</f>
        <v>Spot</v>
      </c>
      <c r="D1222" s="5" t="s">
        <v>7</v>
      </c>
      <c r="E1222">
        <v>8</v>
      </c>
      <c r="F1222" s="1">
        <v>3.15</v>
      </c>
      <c r="G1222" s="1">
        <v>2.7</v>
      </c>
      <c r="H1222" s="10">
        <f t="shared" si="19"/>
        <v>0.14285714285714279</v>
      </c>
    </row>
    <row r="1223" spans="1:8" x14ac:dyDescent="0.25">
      <c r="A1223" s="4">
        <v>45784</v>
      </c>
      <c r="B1223" t="s">
        <v>14</v>
      </c>
      <c r="C1223" t="str">
        <f>_xlfn.IFNA(VLOOKUP($B1223,ref!$B$2:$C$34,2,FALSE),"NA")</f>
        <v>Spot</v>
      </c>
      <c r="D1223" s="5" t="s">
        <v>7</v>
      </c>
      <c r="E1223">
        <v>8</v>
      </c>
      <c r="F1223" s="1">
        <v>3.15</v>
      </c>
      <c r="G1223" s="1">
        <v>2.7</v>
      </c>
      <c r="H1223" s="10">
        <f t="shared" si="19"/>
        <v>0.14285714285714279</v>
      </c>
    </row>
    <row r="1224" spans="1:8" x14ac:dyDescent="0.25">
      <c r="A1224" s="4">
        <v>45784</v>
      </c>
      <c r="B1224" t="s">
        <v>14</v>
      </c>
      <c r="C1224" t="str">
        <f>_xlfn.IFNA(VLOOKUP($B1224,ref!$B$2:$C$34,2,FALSE),"NA")</f>
        <v>Spot</v>
      </c>
      <c r="D1224" s="5" t="s">
        <v>7</v>
      </c>
      <c r="E1224">
        <v>8</v>
      </c>
      <c r="F1224" s="1">
        <v>3.15</v>
      </c>
      <c r="G1224" s="1">
        <v>2.7</v>
      </c>
      <c r="H1224" s="10">
        <f t="shared" si="19"/>
        <v>0.14285714285714279</v>
      </c>
    </row>
    <row r="1225" spans="1:8" x14ac:dyDescent="0.25">
      <c r="A1225" s="4">
        <v>45784</v>
      </c>
      <c r="B1225" t="s">
        <v>14</v>
      </c>
      <c r="C1225" t="str">
        <f>_xlfn.IFNA(VLOOKUP($B1225,ref!$B$2:$C$34,2,FALSE),"NA")</f>
        <v>Spot</v>
      </c>
      <c r="D1225" s="5" t="s">
        <v>7</v>
      </c>
      <c r="E1225">
        <v>8</v>
      </c>
      <c r="F1225" s="1">
        <v>3.15</v>
      </c>
      <c r="G1225" s="1">
        <v>2.7</v>
      </c>
      <c r="H1225" s="10">
        <f t="shared" si="19"/>
        <v>0.14285714285714279</v>
      </c>
    </row>
    <row r="1226" spans="1:8" x14ac:dyDescent="0.25">
      <c r="A1226" s="4">
        <v>45784</v>
      </c>
      <c r="B1226" t="s">
        <v>14</v>
      </c>
      <c r="C1226" t="str">
        <f>_xlfn.IFNA(VLOOKUP($B1226,ref!$B$2:$C$34,2,FALSE),"NA")</f>
        <v>Spot</v>
      </c>
      <c r="D1226" s="5" t="s">
        <v>7</v>
      </c>
      <c r="E1226">
        <v>8</v>
      </c>
      <c r="F1226" s="1">
        <v>3.15</v>
      </c>
      <c r="G1226" s="1">
        <v>2.7</v>
      </c>
      <c r="H1226" s="10">
        <f t="shared" si="19"/>
        <v>0.14285714285714279</v>
      </c>
    </row>
    <row r="1227" spans="1:8" x14ac:dyDescent="0.25">
      <c r="A1227" s="4">
        <v>45784</v>
      </c>
      <c r="B1227" t="s">
        <v>14</v>
      </c>
      <c r="C1227" t="str">
        <f>_xlfn.IFNA(VLOOKUP($B1227,ref!$B$2:$C$34,2,FALSE),"NA")</f>
        <v>Spot</v>
      </c>
      <c r="D1227" s="5" t="s">
        <v>7</v>
      </c>
      <c r="E1227">
        <v>8</v>
      </c>
      <c r="F1227" s="1">
        <v>3.15</v>
      </c>
      <c r="G1227" s="1">
        <v>2.7</v>
      </c>
      <c r="H1227" s="10">
        <f t="shared" si="19"/>
        <v>0.14285714285714279</v>
      </c>
    </row>
    <row r="1228" spans="1:8" x14ac:dyDescent="0.25">
      <c r="A1228" s="4">
        <v>45784</v>
      </c>
      <c r="B1228" t="s">
        <v>14</v>
      </c>
      <c r="C1228" t="str">
        <f>_xlfn.IFNA(VLOOKUP($B1228,ref!$B$2:$C$34,2,FALSE),"NA")</f>
        <v>Spot</v>
      </c>
      <c r="D1228" s="5" t="s">
        <v>7</v>
      </c>
      <c r="E1228">
        <v>8</v>
      </c>
      <c r="F1228" s="1">
        <v>3.15</v>
      </c>
      <c r="G1228" s="1">
        <v>2.7</v>
      </c>
      <c r="H1228" s="10">
        <f t="shared" si="19"/>
        <v>0.14285714285714279</v>
      </c>
    </row>
    <row r="1229" spans="1:8" x14ac:dyDescent="0.25">
      <c r="A1229" s="4">
        <v>45784</v>
      </c>
      <c r="B1229" t="s">
        <v>14</v>
      </c>
      <c r="C1229" t="str">
        <f>_xlfn.IFNA(VLOOKUP($B1229,ref!$B$2:$C$34,2,FALSE),"NA")</f>
        <v>Spot</v>
      </c>
      <c r="D1229" s="5" t="s">
        <v>7</v>
      </c>
      <c r="E1229">
        <v>8</v>
      </c>
      <c r="F1229" s="1">
        <v>3.15</v>
      </c>
      <c r="G1229" s="1">
        <v>2.7</v>
      </c>
      <c r="H1229" s="10">
        <f t="shared" si="19"/>
        <v>0.14285714285714279</v>
      </c>
    </row>
    <row r="1230" spans="1:8" x14ac:dyDescent="0.25">
      <c r="A1230" s="4">
        <v>45784</v>
      </c>
      <c r="B1230" t="s">
        <v>14</v>
      </c>
      <c r="C1230" t="str">
        <f>_xlfn.IFNA(VLOOKUP($B1230,ref!$B$2:$C$34,2,FALSE),"NA")</f>
        <v>Spot</v>
      </c>
      <c r="D1230" s="5" t="s">
        <v>7</v>
      </c>
      <c r="E1230">
        <v>8</v>
      </c>
      <c r="F1230" s="1">
        <v>3.15</v>
      </c>
      <c r="G1230" s="1">
        <v>2.7</v>
      </c>
      <c r="H1230" s="10">
        <f t="shared" si="19"/>
        <v>0.14285714285714279</v>
      </c>
    </row>
    <row r="1231" spans="1:8" x14ac:dyDescent="0.25">
      <c r="A1231" s="4">
        <v>45784</v>
      </c>
      <c r="B1231" t="s">
        <v>14</v>
      </c>
      <c r="C1231" t="str">
        <f>_xlfn.IFNA(VLOOKUP($B1231,ref!$B$2:$C$34,2,FALSE),"NA")</f>
        <v>Spot</v>
      </c>
      <c r="D1231" s="5" t="s">
        <v>7</v>
      </c>
      <c r="E1231">
        <v>8</v>
      </c>
      <c r="F1231" s="1">
        <v>3.15</v>
      </c>
      <c r="G1231" s="1">
        <v>2.7</v>
      </c>
      <c r="H1231" s="10">
        <f t="shared" si="19"/>
        <v>0.14285714285714279</v>
      </c>
    </row>
    <row r="1232" spans="1:8" x14ac:dyDescent="0.25">
      <c r="A1232" s="4">
        <v>45784</v>
      </c>
      <c r="B1232" t="s">
        <v>14</v>
      </c>
      <c r="C1232" t="str">
        <f>_xlfn.IFNA(VLOOKUP($B1232,ref!$B$2:$C$34,2,FALSE),"NA")</f>
        <v>Spot</v>
      </c>
      <c r="D1232" s="5" t="s">
        <v>7</v>
      </c>
      <c r="E1232">
        <v>8</v>
      </c>
      <c r="F1232" s="1">
        <v>3.15</v>
      </c>
      <c r="G1232" s="1">
        <v>2.7</v>
      </c>
      <c r="H1232" s="10">
        <f t="shared" si="19"/>
        <v>0.14285714285714279</v>
      </c>
    </row>
    <row r="1233" spans="1:8" x14ac:dyDescent="0.25">
      <c r="A1233" s="4">
        <v>45784</v>
      </c>
      <c r="B1233" t="s">
        <v>14</v>
      </c>
      <c r="C1233" t="str">
        <f>_xlfn.IFNA(VLOOKUP($B1233,ref!$B$2:$C$34,2,FALSE),"NA")</f>
        <v>Spot</v>
      </c>
      <c r="D1233" s="5" t="s">
        <v>7</v>
      </c>
      <c r="E1233">
        <v>8</v>
      </c>
      <c r="F1233" s="1">
        <v>3.15</v>
      </c>
      <c r="G1233" s="1">
        <v>2.7</v>
      </c>
      <c r="H1233" s="10">
        <f t="shared" si="19"/>
        <v>0.14285714285714279</v>
      </c>
    </row>
    <row r="1234" spans="1:8" x14ac:dyDescent="0.25">
      <c r="A1234" s="4">
        <v>45784</v>
      </c>
      <c r="B1234" t="s">
        <v>14</v>
      </c>
      <c r="C1234" t="str">
        <f>_xlfn.IFNA(VLOOKUP($B1234,ref!$B$2:$C$34,2,FALSE),"NA")</f>
        <v>Spot</v>
      </c>
      <c r="D1234" s="5" t="s">
        <v>7</v>
      </c>
      <c r="E1234">
        <v>8</v>
      </c>
      <c r="F1234" s="1">
        <v>3.15</v>
      </c>
      <c r="G1234" s="1">
        <v>2.7</v>
      </c>
      <c r="H1234" s="10">
        <f t="shared" si="19"/>
        <v>0.14285714285714279</v>
      </c>
    </row>
    <row r="1235" spans="1:8" x14ac:dyDescent="0.25">
      <c r="A1235" s="4">
        <v>45784</v>
      </c>
      <c r="C1235" t="str">
        <f>_xlfn.IFNA(VLOOKUP($B1235,ref!$B$2:$C$34,2,FALSE),"NA")</f>
        <v>NA</v>
      </c>
      <c r="D1235" s="5">
        <v>4090</v>
      </c>
      <c r="E1235">
        <v>8</v>
      </c>
      <c r="F1235" s="1">
        <v>0.65</v>
      </c>
      <c r="G1235" s="1">
        <v>0.56899999999999995</v>
      </c>
      <c r="H1235" s="10">
        <f t="shared" si="19"/>
        <v>0.12461538461538468</v>
      </c>
    </row>
    <row r="1236" spans="1:8" x14ac:dyDescent="0.25">
      <c r="A1236" s="4">
        <v>45784</v>
      </c>
      <c r="B1236" t="s">
        <v>14</v>
      </c>
      <c r="C1236" t="str">
        <f>_xlfn.IFNA(VLOOKUP($B1236,ref!$B$2:$C$34,2,FALSE),"NA")</f>
        <v>Spot</v>
      </c>
      <c r="D1236" s="5" t="s">
        <v>7</v>
      </c>
      <c r="E1236">
        <v>8</v>
      </c>
      <c r="F1236" s="1">
        <v>3.15</v>
      </c>
      <c r="G1236" s="1">
        <v>2.7</v>
      </c>
      <c r="H1236" s="10">
        <f t="shared" si="19"/>
        <v>0.14285714285714279</v>
      </c>
    </row>
    <row r="1237" spans="1:8" x14ac:dyDescent="0.25">
      <c r="A1237" s="4">
        <v>45779</v>
      </c>
      <c r="B1237" t="s">
        <v>14</v>
      </c>
      <c r="C1237" t="str">
        <f>_xlfn.IFNA(VLOOKUP($B1237,ref!$B$2:$C$34,2,FALSE),"NA")</f>
        <v>Spot</v>
      </c>
      <c r="D1237" s="5">
        <v>4090</v>
      </c>
      <c r="E1237">
        <v>8</v>
      </c>
      <c r="F1237" s="1">
        <v>0.52</v>
      </c>
      <c r="G1237" s="1">
        <v>0.45500000000000002</v>
      </c>
      <c r="H1237" s="10">
        <f t="shared" si="19"/>
        <v>0.125</v>
      </c>
    </row>
    <row r="1238" spans="1:8" x14ac:dyDescent="0.25">
      <c r="A1238" s="4">
        <v>45779</v>
      </c>
      <c r="B1238" t="s">
        <v>14</v>
      </c>
      <c r="C1238" t="str">
        <f>_xlfn.IFNA(VLOOKUP($B1238,ref!$B$2:$C$34,2,FALSE),"NA")</f>
        <v>Spot</v>
      </c>
      <c r="D1238" s="5">
        <v>4090</v>
      </c>
      <c r="E1238">
        <v>8</v>
      </c>
      <c r="F1238" s="1">
        <v>0.52</v>
      </c>
      <c r="G1238" s="1">
        <v>0.45500000000000002</v>
      </c>
      <c r="H1238" s="10">
        <f t="shared" si="19"/>
        <v>0.125</v>
      </c>
    </row>
    <row r="1239" spans="1:8" x14ac:dyDescent="0.25">
      <c r="A1239" s="4">
        <v>45779</v>
      </c>
      <c r="B1239" t="s">
        <v>14</v>
      </c>
      <c r="C1239" t="str">
        <f>_xlfn.IFNA(VLOOKUP($B1239,ref!$B$2:$C$34,2,FALSE),"NA")</f>
        <v>Spot</v>
      </c>
      <c r="D1239" s="5">
        <v>4090</v>
      </c>
      <c r="E1239">
        <v>8</v>
      </c>
      <c r="F1239" s="1">
        <v>0.52</v>
      </c>
      <c r="G1239" s="1">
        <v>0.45500000000000002</v>
      </c>
      <c r="H1239" s="10">
        <f t="shared" si="19"/>
        <v>0.125</v>
      </c>
    </row>
    <row r="1240" spans="1:8" x14ac:dyDescent="0.25">
      <c r="A1240" s="4">
        <v>45779</v>
      </c>
      <c r="B1240" t="s">
        <v>14</v>
      </c>
      <c r="C1240" t="str">
        <f>_xlfn.IFNA(VLOOKUP($B1240,ref!$B$2:$C$34,2,FALSE),"NA")</f>
        <v>Spot</v>
      </c>
      <c r="D1240" s="5">
        <v>4090</v>
      </c>
      <c r="E1240">
        <v>8</v>
      </c>
      <c r="F1240" s="1">
        <v>0.52</v>
      </c>
      <c r="G1240" s="1">
        <v>0.45500000000000002</v>
      </c>
      <c r="H1240" s="10">
        <f t="shared" si="19"/>
        <v>0.125</v>
      </c>
    </row>
    <row r="1241" spans="1:8" x14ac:dyDescent="0.25">
      <c r="A1241" s="4">
        <v>45779</v>
      </c>
      <c r="B1241" t="s">
        <v>14</v>
      </c>
      <c r="C1241" t="str">
        <f>_xlfn.IFNA(VLOOKUP($B1241,ref!$B$2:$C$34,2,FALSE),"NA")</f>
        <v>Spot</v>
      </c>
      <c r="D1241" s="5">
        <v>4090</v>
      </c>
      <c r="E1241">
        <v>8</v>
      </c>
      <c r="F1241" s="1">
        <v>0.52</v>
      </c>
      <c r="G1241" s="1">
        <v>0.45500000000000002</v>
      </c>
      <c r="H1241" s="10">
        <f t="shared" si="19"/>
        <v>0.125</v>
      </c>
    </row>
    <row r="1242" spans="1:8" x14ac:dyDescent="0.25">
      <c r="A1242" s="4">
        <v>45779</v>
      </c>
      <c r="B1242" t="s">
        <v>14</v>
      </c>
      <c r="C1242" t="str">
        <f>_xlfn.IFNA(VLOOKUP($B1242,ref!$B$2:$C$34,2,FALSE),"NA")</f>
        <v>Spot</v>
      </c>
      <c r="D1242" s="5">
        <v>4090</v>
      </c>
      <c r="E1242">
        <v>8</v>
      </c>
      <c r="F1242" s="1">
        <v>0.52</v>
      </c>
      <c r="G1242" s="1">
        <v>0.45500000000000002</v>
      </c>
      <c r="H1242" s="10">
        <f t="shared" si="19"/>
        <v>0.125</v>
      </c>
    </row>
    <row r="1243" spans="1:8" x14ac:dyDescent="0.25">
      <c r="A1243" s="4">
        <v>45779</v>
      </c>
      <c r="B1243" t="s">
        <v>14</v>
      </c>
      <c r="C1243" t="str">
        <f>_xlfn.IFNA(VLOOKUP($B1243,ref!$B$2:$C$34,2,FALSE),"NA")</f>
        <v>Spot</v>
      </c>
      <c r="D1243" s="5" t="s">
        <v>7</v>
      </c>
      <c r="E1243">
        <v>8</v>
      </c>
      <c r="F1243" s="1">
        <v>3.1</v>
      </c>
      <c r="G1243" s="1">
        <v>2.8</v>
      </c>
      <c r="H1243" s="10">
        <f t="shared" si="19"/>
        <v>9.6774193548387233E-2</v>
      </c>
    </row>
    <row r="1244" spans="1:8" x14ac:dyDescent="0.25">
      <c r="A1244" s="4">
        <v>45778</v>
      </c>
      <c r="B1244" t="s">
        <v>31</v>
      </c>
      <c r="C1244" t="str">
        <f>_xlfn.IFNA(VLOOKUP($B1244,ref!$B$2:$C$34,2,FALSE),"NA")</f>
        <v>1 Month</v>
      </c>
      <c r="D1244" s="5" t="s">
        <v>13</v>
      </c>
      <c r="E1244">
        <v>8</v>
      </c>
      <c r="F1244" s="1">
        <v>1.05</v>
      </c>
      <c r="G1244" s="1">
        <v>1</v>
      </c>
      <c r="H1244" s="10">
        <f t="shared" si="19"/>
        <v>4.7619047619047672E-2</v>
      </c>
    </row>
    <row r="1245" spans="1:8" x14ac:dyDescent="0.25">
      <c r="A1245" s="4">
        <v>45778</v>
      </c>
      <c r="B1245" t="s">
        <v>31</v>
      </c>
      <c r="C1245" t="str">
        <f>_xlfn.IFNA(VLOOKUP($B1245,ref!$B$2:$C$34,2,FALSE),"NA")</f>
        <v>1 Month</v>
      </c>
      <c r="D1245" s="5" t="s">
        <v>13</v>
      </c>
      <c r="E1245">
        <v>8</v>
      </c>
      <c r="F1245" s="1">
        <v>1.05</v>
      </c>
      <c r="G1245" s="1">
        <v>1</v>
      </c>
      <c r="H1245" s="10">
        <f t="shared" si="19"/>
        <v>4.7619047619047672E-2</v>
      </c>
    </row>
    <row r="1246" spans="1:8" x14ac:dyDescent="0.25">
      <c r="A1246" s="4">
        <v>45778</v>
      </c>
      <c r="B1246" t="s">
        <v>31</v>
      </c>
      <c r="C1246" t="str">
        <f>_xlfn.IFNA(VLOOKUP($B1246,ref!$B$2:$C$34,2,FALSE),"NA")</f>
        <v>1 Month</v>
      </c>
      <c r="D1246" s="5" t="s">
        <v>13</v>
      </c>
      <c r="E1246">
        <v>8</v>
      </c>
      <c r="F1246" s="1">
        <v>1.05</v>
      </c>
      <c r="G1246" s="1">
        <v>1</v>
      </c>
      <c r="H1246" s="10">
        <f t="shared" si="19"/>
        <v>4.7619047619047672E-2</v>
      </c>
    </row>
    <row r="1247" spans="1:8" x14ac:dyDescent="0.25">
      <c r="A1247" s="4">
        <v>45778</v>
      </c>
      <c r="B1247" t="s">
        <v>31</v>
      </c>
      <c r="C1247" t="str">
        <f>_xlfn.IFNA(VLOOKUP($B1247,ref!$B$2:$C$34,2,FALSE),"NA")</f>
        <v>1 Month</v>
      </c>
      <c r="D1247" s="5" t="s">
        <v>13</v>
      </c>
      <c r="E1247">
        <v>8</v>
      </c>
      <c r="F1247" s="1">
        <v>1.05</v>
      </c>
      <c r="G1247" s="1">
        <v>1</v>
      </c>
      <c r="H1247" s="10">
        <f t="shared" si="19"/>
        <v>4.7619047619047672E-2</v>
      </c>
    </row>
    <row r="1248" spans="1:8" x14ac:dyDescent="0.25">
      <c r="A1248" s="4">
        <v>45778</v>
      </c>
      <c r="B1248" t="s">
        <v>31</v>
      </c>
      <c r="C1248" t="str">
        <f>_xlfn.IFNA(VLOOKUP($B1248,ref!$B$2:$C$34,2,FALSE),"NA")</f>
        <v>1 Month</v>
      </c>
      <c r="D1248" s="5" t="s">
        <v>13</v>
      </c>
      <c r="E1248">
        <v>8</v>
      </c>
      <c r="F1248" s="1">
        <v>1.05</v>
      </c>
      <c r="G1248" s="1">
        <v>1</v>
      </c>
      <c r="H1248" s="10">
        <f t="shared" si="19"/>
        <v>4.7619047619047672E-2</v>
      </c>
    </row>
    <row r="1249" spans="1:8" x14ac:dyDescent="0.25">
      <c r="A1249" s="4">
        <v>45778</v>
      </c>
      <c r="B1249" t="s">
        <v>31</v>
      </c>
      <c r="C1249" t="str">
        <f>_xlfn.IFNA(VLOOKUP($B1249,ref!$B$2:$C$34,2,FALSE),"NA")</f>
        <v>1 Month</v>
      </c>
      <c r="D1249" s="5" t="s">
        <v>13</v>
      </c>
      <c r="E1249">
        <v>8</v>
      </c>
      <c r="F1249" s="1">
        <v>1.05</v>
      </c>
      <c r="G1249" s="1">
        <v>1</v>
      </c>
      <c r="H1249" s="10">
        <f t="shared" si="19"/>
        <v>4.7619047619047672E-2</v>
      </c>
    </row>
    <row r="1250" spans="1:8" x14ac:dyDescent="0.25">
      <c r="A1250" s="4">
        <v>45778</v>
      </c>
      <c r="B1250" t="s">
        <v>31</v>
      </c>
      <c r="C1250" t="str">
        <f>_xlfn.IFNA(VLOOKUP($B1250,ref!$B$2:$C$34,2,FALSE),"NA")</f>
        <v>1 Month</v>
      </c>
      <c r="D1250" s="5" t="s">
        <v>13</v>
      </c>
      <c r="E1250">
        <v>8</v>
      </c>
      <c r="F1250" s="1">
        <v>1.05</v>
      </c>
      <c r="G1250" s="1">
        <v>1</v>
      </c>
      <c r="H1250" s="10">
        <f t="shared" si="19"/>
        <v>4.7619047619047672E-2</v>
      </c>
    </row>
    <row r="1251" spans="1:8" x14ac:dyDescent="0.25">
      <c r="A1251" s="4">
        <v>45778</v>
      </c>
      <c r="B1251" t="s">
        <v>31</v>
      </c>
      <c r="C1251" t="str">
        <f>_xlfn.IFNA(VLOOKUP($B1251,ref!$B$2:$C$34,2,FALSE),"NA")</f>
        <v>1 Month</v>
      </c>
      <c r="D1251" s="5" t="s">
        <v>13</v>
      </c>
      <c r="E1251">
        <v>8</v>
      </c>
      <c r="F1251" s="1">
        <v>1.05</v>
      </c>
      <c r="G1251" s="1">
        <v>1</v>
      </c>
      <c r="H1251" s="10">
        <f t="shared" si="19"/>
        <v>4.7619047619047672E-2</v>
      </c>
    </row>
    <row r="1252" spans="1:8" x14ac:dyDescent="0.25">
      <c r="A1252" s="4">
        <v>45778</v>
      </c>
      <c r="B1252" t="s">
        <v>14</v>
      </c>
      <c r="C1252" t="str">
        <f>_xlfn.IFNA(VLOOKUP($B1252,ref!$B$2:$C$34,2,FALSE),"NA")</f>
        <v>Spot</v>
      </c>
      <c r="D1252" s="5">
        <v>3090</v>
      </c>
      <c r="E1252">
        <v>8</v>
      </c>
      <c r="F1252" s="1">
        <v>0.34</v>
      </c>
      <c r="G1252" s="1">
        <v>0.29799999999999999</v>
      </c>
      <c r="H1252" s="10">
        <f t="shared" si="19"/>
        <v>0.123529411764706</v>
      </c>
    </row>
    <row r="1253" spans="1:8" x14ac:dyDescent="0.25">
      <c r="A1253" s="4">
        <v>45777</v>
      </c>
      <c r="C1253" t="str">
        <f>_xlfn.IFNA(VLOOKUP($B1253,ref!$B$2:$C$34,2,FALSE),"NA")</f>
        <v>NA</v>
      </c>
      <c r="D1253" s="5" t="s">
        <v>21</v>
      </c>
      <c r="E1253">
        <v>8</v>
      </c>
      <c r="F1253" s="1">
        <v>0.78</v>
      </c>
      <c r="G1253" s="1">
        <v>0.68</v>
      </c>
      <c r="H1253" s="10">
        <f t="shared" si="19"/>
        <v>0.12820512820512819</v>
      </c>
    </row>
    <row r="1254" spans="1:8" x14ac:dyDescent="0.25">
      <c r="A1254" s="4">
        <v>45777</v>
      </c>
      <c r="C1254" t="str">
        <f>_xlfn.IFNA(VLOOKUP($B1254,ref!$B$2:$C$34,2,FALSE),"NA")</f>
        <v>NA</v>
      </c>
      <c r="D1254" s="5" t="s">
        <v>21</v>
      </c>
      <c r="E1254">
        <v>8</v>
      </c>
      <c r="F1254" s="1">
        <v>0.78</v>
      </c>
      <c r="G1254" s="1">
        <v>0.68</v>
      </c>
      <c r="H1254" s="10">
        <f t="shared" si="19"/>
        <v>0.12820512820512819</v>
      </c>
    </row>
    <row r="1255" spans="1:8" x14ac:dyDescent="0.25">
      <c r="A1255" s="4">
        <v>45777</v>
      </c>
      <c r="C1255" t="str">
        <f>_xlfn.IFNA(VLOOKUP($B1255,ref!$B$2:$C$34,2,FALSE),"NA")</f>
        <v>NA</v>
      </c>
      <c r="D1255" s="5" t="s">
        <v>21</v>
      </c>
      <c r="E1255">
        <v>8</v>
      </c>
      <c r="F1255" s="1">
        <v>0.78</v>
      </c>
      <c r="G1255" s="1">
        <v>0.68</v>
      </c>
      <c r="H1255" s="10">
        <f t="shared" si="19"/>
        <v>0.12820512820512819</v>
      </c>
    </row>
    <row r="1256" spans="1:8" x14ac:dyDescent="0.25">
      <c r="A1256" s="4">
        <v>45777</v>
      </c>
      <c r="C1256" t="str">
        <f>_xlfn.IFNA(VLOOKUP($B1256,ref!$B$2:$C$34,2,FALSE),"NA")</f>
        <v>NA</v>
      </c>
      <c r="D1256" s="5" t="s">
        <v>21</v>
      </c>
      <c r="E1256">
        <v>8</v>
      </c>
      <c r="F1256" s="1">
        <v>0.78</v>
      </c>
      <c r="G1256" s="1">
        <v>0.68</v>
      </c>
      <c r="H1256" s="10">
        <f t="shared" si="19"/>
        <v>0.12820512820512819</v>
      </c>
    </row>
    <row r="1257" spans="1:8" x14ac:dyDescent="0.25">
      <c r="A1257" s="4">
        <v>45777</v>
      </c>
      <c r="C1257" t="str">
        <f>_xlfn.IFNA(VLOOKUP($B1257,ref!$B$2:$C$34,2,FALSE),"NA")</f>
        <v>NA</v>
      </c>
      <c r="D1257" s="5" t="s">
        <v>21</v>
      </c>
      <c r="E1257">
        <v>8</v>
      </c>
      <c r="F1257" s="1">
        <v>0.78</v>
      </c>
      <c r="G1257" s="1">
        <v>0.68</v>
      </c>
      <c r="H1257" s="10">
        <f t="shared" si="19"/>
        <v>0.12820512820512819</v>
      </c>
    </row>
    <row r="1258" spans="1:8" x14ac:dyDescent="0.25">
      <c r="A1258" s="4">
        <v>45777</v>
      </c>
      <c r="C1258" t="str">
        <f>_xlfn.IFNA(VLOOKUP($B1258,ref!$B$2:$C$34,2,FALSE),"NA")</f>
        <v>NA</v>
      </c>
      <c r="D1258" s="5" t="s">
        <v>21</v>
      </c>
      <c r="E1258">
        <v>8</v>
      </c>
      <c r="F1258" s="1">
        <v>0.78</v>
      </c>
      <c r="G1258" s="1">
        <v>0.68</v>
      </c>
      <c r="H1258" s="10">
        <f t="shared" si="19"/>
        <v>0.12820512820512819</v>
      </c>
    </row>
    <row r="1259" spans="1:8" x14ac:dyDescent="0.25">
      <c r="A1259" s="4">
        <v>45777</v>
      </c>
      <c r="C1259" t="str">
        <f>_xlfn.IFNA(VLOOKUP($B1259,ref!$B$2:$C$34,2,FALSE),"NA")</f>
        <v>NA</v>
      </c>
      <c r="D1259" s="5" t="s">
        <v>21</v>
      </c>
      <c r="E1259">
        <v>8</v>
      </c>
      <c r="F1259" s="1">
        <v>0.78</v>
      </c>
      <c r="G1259" s="1">
        <v>0.68</v>
      </c>
      <c r="H1259" s="10">
        <f t="shared" si="19"/>
        <v>0.12820512820512819</v>
      </c>
    </row>
    <row r="1260" spans="1:8" x14ac:dyDescent="0.25">
      <c r="A1260" s="4">
        <v>45777</v>
      </c>
      <c r="C1260" t="str">
        <f>_xlfn.IFNA(VLOOKUP($B1260,ref!$B$2:$C$34,2,FALSE),"NA")</f>
        <v>NA</v>
      </c>
      <c r="D1260" s="5" t="s">
        <v>21</v>
      </c>
      <c r="E1260">
        <v>8</v>
      </c>
      <c r="F1260" s="1">
        <v>0.78</v>
      </c>
      <c r="G1260" s="1">
        <v>0.68</v>
      </c>
      <c r="H1260" s="10">
        <f t="shared" si="19"/>
        <v>0.12820512820512819</v>
      </c>
    </row>
    <row r="1261" spans="1:8" x14ac:dyDescent="0.25">
      <c r="A1261" s="4">
        <v>45777</v>
      </c>
      <c r="B1261" t="s">
        <v>30</v>
      </c>
      <c r="C1261" t="str">
        <f>_xlfn.IFNA(VLOOKUP($B1261,ref!$B$2:$C$34,2,FALSE),"NA")</f>
        <v>Spot</v>
      </c>
      <c r="D1261" s="5" t="s">
        <v>7</v>
      </c>
      <c r="E1261">
        <v>8</v>
      </c>
      <c r="F1261" s="1">
        <v>3.3</v>
      </c>
      <c r="G1261" s="1">
        <v>3</v>
      </c>
      <c r="H1261" s="10">
        <f t="shared" si="19"/>
        <v>9.0909090909090828E-2</v>
      </c>
    </row>
    <row r="1262" spans="1:8" x14ac:dyDescent="0.25">
      <c r="A1262" s="4">
        <v>45777</v>
      </c>
      <c r="B1262" t="s">
        <v>30</v>
      </c>
      <c r="C1262" t="str">
        <f>_xlfn.IFNA(VLOOKUP($B1262,ref!$B$2:$C$34,2,FALSE),"NA")</f>
        <v>Spot</v>
      </c>
      <c r="D1262" s="5" t="s">
        <v>7</v>
      </c>
      <c r="E1262">
        <v>8</v>
      </c>
      <c r="F1262" s="1">
        <v>3.3</v>
      </c>
      <c r="G1262" s="1">
        <v>3</v>
      </c>
      <c r="H1262" s="10">
        <f t="shared" si="19"/>
        <v>9.0909090909090828E-2</v>
      </c>
    </row>
    <row r="1263" spans="1:8" x14ac:dyDescent="0.25">
      <c r="A1263" s="4">
        <v>45777</v>
      </c>
      <c r="B1263" t="s">
        <v>30</v>
      </c>
      <c r="C1263" t="str">
        <f>_xlfn.IFNA(VLOOKUP($B1263,ref!$B$2:$C$34,2,FALSE),"NA")</f>
        <v>Spot</v>
      </c>
      <c r="D1263" s="5" t="s">
        <v>7</v>
      </c>
      <c r="E1263">
        <v>8</v>
      </c>
      <c r="F1263" s="1">
        <v>3.3</v>
      </c>
      <c r="G1263" s="1">
        <v>3</v>
      </c>
      <c r="H1263" s="10">
        <f t="shared" si="19"/>
        <v>9.0909090909090828E-2</v>
      </c>
    </row>
    <row r="1264" spans="1:8" x14ac:dyDescent="0.25">
      <c r="A1264" s="4">
        <v>45777</v>
      </c>
      <c r="B1264" t="s">
        <v>30</v>
      </c>
      <c r="C1264" t="str">
        <f>_xlfn.IFNA(VLOOKUP($B1264,ref!$B$2:$C$34,2,FALSE),"NA")</f>
        <v>Spot</v>
      </c>
      <c r="D1264" s="5" t="s">
        <v>7</v>
      </c>
      <c r="E1264">
        <v>8</v>
      </c>
      <c r="F1264" s="1">
        <v>3.3</v>
      </c>
      <c r="G1264" s="1">
        <v>3</v>
      </c>
      <c r="H1264" s="10">
        <f t="shared" si="19"/>
        <v>9.0909090909090828E-2</v>
      </c>
    </row>
    <row r="1265" spans="1:8" x14ac:dyDescent="0.25">
      <c r="A1265" s="4">
        <v>45777</v>
      </c>
      <c r="C1265" t="str">
        <f>_xlfn.IFNA(VLOOKUP($B1265,ref!$B$2:$C$34,2,FALSE),"NA")</f>
        <v>NA</v>
      </c>
      <c r="D1265" s="5" t="s">
        <v>21</v>
      </c>
      <c r="E1265">
        <v>8</v>
      </c>
      <c r="F1265" s="1">
        <v>0.78</v>
      </c>
      <c r="G1265" s="1">
        <v>0.68</v>
      </c>
      <c r="H1265" s="10">
        <f t="shared" si="19"/>
        <v>0.12820512820512819</v>
      </c>
    </row>
    <row r="1266" spans="1:8" x14ac:dyDescent="0.25">
      <c r="A1266" s="4">
        <v>45777</v>
      </c>
      <c r="B1266" t="s">
        <v>30</v>
      </c>
      <c r="C1266" t="str">
        <f>_xlfn.IFNA(VLOOKUP($B1266,ref!$B$2:$C$34,2,FALSE),"NA")</f>
        <v>Spot</v>
      </c>
      <c r="D1266" s="5" t="s">
        <v>7</v>
      </c>
      <c r="E1266">
        <v>8</v>
      </c>
      <c r="F1266" s="1">
        <v>3.3</v>
      </c>
      <c r="G1266" s="1">
        <v>3</v>
      </c>
      <c r="H1266" s="10">
        <f t="shared" si="19"/>
        <v>9.0909090909090828E-2</v>
      </c>
    </row>
    <row r="1267" spans="1:8" x14ac:dyDescent="0.25">
      <c r="A1267" s="4">
        <v>45777</v>
      </c>
      <c r="B1267" t="s">
        <v>30</v>
      </c>
      <c r="C1267" t="str">
        <f>_xlfn.IFNA(VLOOKUP($B1267,ref!$B$2:$C$34,2,FALSE),"NA")</f>
        <v>Spot</v>
      </c>
      <c r="D1267" s="5" t="s">
        <v>7</v>
      </c>
      <c r="E1267">
        <v>8</v>
      </c>
      <c r="F1267" s="1">
        <v>3.3</v>
      </c>
      <c r="G1267" s="1">
        <v>3</v>
      </c>
      <c r="H1267" s="10">
        <f t="shared" si="19"/>
        <v>9.0909090909090828E-2</v>
      </c>
    </row>
    <row r="1268" spans="1:8" x14ac:dyDescent="0.25">
      <c r="A1268" s="4">
        <v>45777</v>
      </c>
      <c r="B1268" t="s">
        <v>30</v>
      </c>
      <c r="C1268" t="str">
        <f>_xlfn.IFNA(VLOOKUP($B1268,ref!$B$2:$C$34,2,FALSE),"NA")</f>
        <v>Spot</v>
      </c>
      <c r="D1268" s="5" t="s">
        <v>7</v>
      </c>
      <c r="E1268">
        <v>8</v>
      </c>
      <c r="F1268" s="1">
        <v>3.3</v>
      </c>
      <c r="G1268" s="1">
        <v>3</v>
      </c>
      <c r="H1268" s="10">
        <f t="shared" si="19"/>
        <v>9.0909090909090828E-2</v>
      </c>
    </row>
    <row r="1269" spans="1:8" x14ac:dyDescent="0.25">
      <c r="A1269" s="4">
        <v>45777</v>
      </c>
      <c r="B1269" t="s">
        <v>29</v>
      </c>
      <c r="C1269" t="str">
        <f>_xlfn.IFNA(VLOOKUP($B1269,ref!$B$2:$C$34,2,FALSE),"NA")</f>
        <v>Spot</v>
      </c>
      <c r="D1269" s="5">
        <v>5090</v>
      </c>
      <c r="E1269">
        <v>8</v>
      </c>
      <c r="F1269" s="1">
        <v>0.88</v>
      </c>
      <c r="G1269" s="1">
        <v>0.77</v>
      </c>
      <c r="H1269" s="10">
        <f t="shared" si="19"/>
        <v>0.125</v>
      </c>
    </row>
    <row r="1270" spans="1:8" x14ac:dyDescent="0.25">
      <c r="A1270" s="4">
        <v>45777</v>
      </c>
      <c r="B1270" t="s">
        <v>30</v>
      </c>
      <c r="C1270" t="str">
        <f>_xlfn.IFNA(VLOOKUP($B1270,ref!$B$2:$C$34,2,FALSE),"NA")</f>
        <v>Spot</v>
      </c>
      <c r="D1270" s="5" t="s">
        <v>7</v>
      </c>
      <c r="E1270">
        <v>8</v>
      </c>
      <c r="F1270" s="1">
        <v>3.3</v>
      </c>
      <c r="G1270" s="1">
        <v>3</v>
      </c>
      <c r="H1270" s="10">
        <f t="shared" si="19"/>
        <v>9.0909090909090828E-2</v>
      </c>
    </row>
    <row r="1271" spans="1:8" x14ac:dyDescent="0.25">
      <c r="A1271" s="4">
        <v>45777</v>
      </c>
      <c r="B1271" t="s">
        <v>29</v>
      </c>
      <c r="C1271" t="str">
        <f>_xlfn.IFNA(VLOOKUP($B1271,ref!$B$2:$C$34,2,FALSE),"NA")</f>
        <v>Spot</v>
      </c>
      <c r="D1271" s="5">
        <v>5090</v>
      </c>
      <c r="E1271">
        <v>8</v>
      </c>
      <c r="F1271" s="1">
        <v>0.88</v>
      </c>
      <c r="G1271" s="1">
        <v>0.77</v>
      </c>
      <c r="H1271" s="10">
        <f t="shared" si="19"/>
        <v>0.125</v>
      </c>
    </row>
    <row r="1272" spans="1:8" x14ac:dyDescent="0.25">
      <c r="A1272" s="4">
        <v>45777</v>
      </c>
      <c r="C1272" t="str">
        <f>_xlfn.IFNA(VLOOKUP($B1272,ref!$B$2:$C$34,2,FALSE),"NA")</f>
        <v>NA</v>
      </c>
      <c r="D1272" s="5" t="s">
        <v>21</v>
      </c>
      <c r="E1272">
        <v>8</v>
      </c>
      <c r="F1272" s="1">
        <v>0.78</v>
      </c>
      <c r="G1272" s="1">
        <v>0.68</v>
      </c>
      <c r="H1272" s="10">
        <f t="shared" si="19"/>
        <v>0.12820512820512819</v>
      </c>
    </row>
    <row r="1273" spans="1:8" x14ac:dyDescent="0.25">
      <c r="A1273" s="4">
        <v>45777</v>
      </c>
      <c r="B1273" t="s">
        <v>30</v>
      </c>
      <c r="C1273" t="str">
        <f>_xlfn.IFNA(VLOOKUP($B1273,ref!$B$2:$C$34,2,FALSE),"NA")</f>
        <v>Spot</v>
      </c>
      <c r="D1273" s="5" t="s">
        <v>7</v>
      </c>
      <c r="E1273">
        <v>8</v>
      </c>
      <c r="F1273" s="1">
        <v>3.3</v>
      </c>
      <c r="G1273" s="1">
        <v>3</v>
      </c>
      <c r="H1273" s="10">
        <f t="shared" si="19"/>
        <v>9.0909090909090828E-2</v>
      </c>
    </row>
    <row r="1274" spans="1:8" x14ac:dyDescent="0.25">
      <c r="A1274" s="4">
        <v>45776</v>
      </c>
      <c r="B1274" t="s">
        <v>35</v>
      </c>
      <c r="C1274" t="str">
        <f>_xlfn.IFNA(VLOOKUP($B1274,ref!$B$2:$C$34,2,FALSE),"NA")</f>
        <v>Misc</v>
      </c>
      <c r="D1274" s="5" t="s">
        <v>7</v>
      </c>
      <c r="E1274">
        <v>8</v>
      </c>
      <c r="F1274" s="1">
        <v>2.25</v>
      </c>
      <c r="G1274" s="1">
        <v>2</v>
      </c>
      <c r="H1274" s="10">
        <f t="shared" si="19"/>
        <v>0.11111111111111116</v>
      </c>
    </row>
    <row r="1275" spans="1:8" x14ac:dyDescent="0.25">
      <c r="A1275" s="4">
        <v>45776</v>
      </c>
      <c r="B1275" t="s">
        <v>35</v>
      </c>
      <c r="C1275" t="str">
        <f>_xlfn.IFNA(VLOOKUP($B1275,ref!$B$2:$C$34,2,FALSE),"NA")</f>
        <v>Misc</v>
      </c>
      <c r="D1275" s="5" t="s">
        <v>7</v>
      </c>
      <c r="E1275">
        <v>8</v>
      </c>
      <c r="F1275" s="1">
        <v>2.25</v>
      </c>
      <c r="G1275" s="1">
        <v>2</v>
      </c>
      <c r="H1275" s="10">
        <f t="shared" si="19"/>
        <v>0.11111111111111116</v>
      </c>
    </row>
    <row r="1276" spans="1:8" x14ac:dyDescent="0.25">
      <c r="A1276" s="4">
        <v>45776</v>
      </c>
      <c r="B1276" t="s">
        <v>35</v>
      </c>
      <c r="C1276" t="str">
        <f>_xlfn.IFNA(VLOOKUP($B1276,ref!$B$2:$C$34,2,FALSE),"NA")</f>
        <v>Misc</v>
      </c>
      <c r="D1276" s="5" t="s">
        <v>7</v>
      </c>
      <c r="E1276">
        <v>8</v>
      </c>
      <c r="F1276" s="1">
        <v>2.25</v>
      </c>
      <c r="G1276" s="1">
        <v>2</v>
      </c>
      <c r="H1276" s="10">
        <f t="shared" si="19"/>
        <v>0.11111111111111116</v>
      </c>
    </row>
    <row r="1277" spans="1:8" x14ac:dyDescent="0.25">
      <c r="A1277" s="4">
        <v>45776</v>
      </c>
      <c r="B1277" t="s">
        <v>35</v>
      </c>
      <c r="C1277" t="str">
        <f>_xlfn.IFNA(VLOOKUP($B1277,ref!$B$2:$C$34,2,FALSE),"NA")</f>
        <v>Misc</v>
      </c>
      <c r="D1277" s="5" t="s">
        <v>7</v>
      </c>
      <c r="E1277">
        <v>8</v>
      </c>
      <c r="F1277" s="1">
        <v>2.25</v>
      </c>
      <c r="G1277" s="1">
        <v>2</v>
      </c>
      <c r="H1277" s="10">
        <f t="shared" si="19"/>
        <v>0.11111111111111116</v>
      </c>
    </row>
    <row r="1278" spans="1:8" x14ac:dyDescent="0.25">
      <c r="A1278" s="4">
        <v>45776</v>
      </c>
      <c r="B1278" t="s">
        <v>35</v>
      </c>
      <c r="C1278" t="str">
        <f>_xlfn.IFNA(VLOOKUP($B1278,ref!$B$2:$C$34,2,FALSE),"NA")</f>
        <v>Misc</v>
      </c>
      <c r="D1278" s="5" t="s">
        <v>7</v>
      </c>
      <c r="E1278">
        <v>8</v>
      </c>
      <c r="F1278" s="1">
        <v>2.25</v>
      </c>
      <c r="G1278" s="1">
        <v>2</v>
      </c>
      <c r="H1278" s="10">
        <f t="shared" si="19"/>
        <v>0.11111111111111116</v>
      </c>
    </row>
    <row r="1279" spans="1:8" x14ac:dyDescent="0.25">
      <c r="A1279" s="4">
        <v>45776</v>
      </c>
      <c r="B1279" t="s">
        <v>35</v>
      </c>
      <c r="C1279" t="str">
        <f>_xlfn.IFNA(VLOOKUP($B1279,ref!$B$2:$C$34,2,FALSE),"NA")</f>
        <v>Misc</v>
      </c>
      <c r="D1279" s="5" t="s">
        <v>7</v>
      </c>
      <c r="E1279">
        <v>8</v>
      </c>
      <c r="F1279" s="1">
        <v>2.25</v>
      </c>
      <c r="G1279" s="1">
        <v>2</v>
      </c>
      <c r="H1279" s="10">
        <f t="shared" si="19"/>
        <v>0.11111111111111116</v>
      </c>
    </row>
    <row r="1280" spans="1:8" x14ac:dyDescent="0.25">
      <c r="A1280" s="4">
        <v>45776</v>
      </c>
      <c r="B1280" t="s">
        <v>35</v>
      </c>
      <c r="C1280" t="str">
        <f>_xlfn.IFNA(VLOOKUP($B1280,ref!$B$2:$C$34,2,FALSE),"NA")</f>
        <v>Misc</v>
      </c>
      <c r="D1280" s="5" t="s">
        <v>7</v>
      </c>
      <c r="E1280">
        <v>8</v>
      </c>
      <c r="F1280" s="1">
        <v>2.25</v>
      </c>
      <c r="G1280" s="1">
        <v>2</v>
      </c>
      <c r="H1280" s="10">
        <f t="shared" si="19"/>
        <v>0.11111111111111116</v>
      </c>
    </row>
    <row r="1281" spans="1:8" x14ac:dyDescent="0.25">
      <c r="A1281" s="4">
        <v>45776</v>
      </c>
      <c r="B1281" t="s">
        <v>35</v>
      </c>
      <c r="C1281" t="str">
        <f>_xlfn.IFNA(VLOOKUP($B1281,ref!$B$2:$C$34,2,FALSE),"NA")</f>
        <v>Misc</v>
      </c>
      <c r="D1281" s="5" t="s">
        <v>7</v>
      </c>
      <c r="E1281">
        <v>8</v>
      </c>
      <c r="F1281" s="1">
        <v>2.6</v>
      </c>
      <c r="G1281" s="1">
        <v>2.2000000000000002</v>
      </c>
      <c r="H1281" s="10">
        <f t="shared" si="19"/>
        <v>0.15384615384615385</v>
      </c>
    </row>
    <row r="1282" spans="1:8" x14ac:dyDescent="0.25">
      <c r="A1282" s="4">
        <v>45776</v>
      </c>
      <c r="B1282" t="s">
        <v>14</v>
      </c>
      <c r="C1282" t="str">
        <f>_xlfn.IFNA(VLOOKUP($B1282,ref!$B$2:$C$34,2,FALSE),"NA")</f>
        <v>Spot</v>
      </c>
      <c r="D1282" s="5" t="s">
        <v>7</v>
      </c>
      <c r="E1282">
        <v>8</v>
      </c>
      <c r="F1282" s="1">
        <v>3.15</v>
      </c>
      <c r="G1282" s="1">
        <v>2.7</v>
      </c>
      <c r="H1282" s="10">
        <f t="shared" si="19"/>
        <v>0.14285714285714279</v>
      </c>
    </row>
    <row r="1283" spans="1:8" x14ac:dyDescent="0.25">
      <c r="A1283" s="4">
        <v>45776</v>
      </c>
      <c r="B1283" t="s">
        <v>14</v>
      </c>
      <c r="C1283" t="str">
        <f>_xlfn.IFNA(VLOOKUP($B1283,ref!$B$2:$C$34,2,FALSE),"NA")</f>
        <v>Spot</v>
      </c>
      <c r="D1283" s="5" t="s">
        <v>7</v>
      </c>
      <c r="E1283">
        <v>8</v>
      </c>
      <c r="F1283" s="1">
        <v>3.15</v>
      </c>
      <c r="G1283" s="1">
        <v>2.7</v>
      </c>
      <c r="H1283" s="10">
        <f t="shared" ref="H1283:H1346" si="20">1-(G1283/F1283)</f>
        <v>0.14285714285714279</v>
      </c>
    </row>
    <row r="1284" spans="1:8" x14ac:dyDescent="0.25">
      <c r="A1284" s="4">
        <v>45776</v>
      </c>
      <c r="B1284" t="s">
        <v>14</v>
      </c>
      <c r="C1284" t="str">
        <f>_xlfn.IFNA(VLOOKUP($B1284,ref!$B$2:$C$34,2,FALSE),"NA")</f>
        <v>Spot</v>
      </c>
      <c r="D1284" s="5" t="s">
        <v>7</v>
      </c>
      <c r="E1284">
        <v>8</v>
      </c>
      <c r="F1284" s="1">
        <v>3.15</v>
      </c>
      <c r="G1284" s="1">
        <v>2.7</v>
      </c>
      <c r="H1284" s="10">
        <f t="shared" si="20"/>
        <v>0.14285714285714279</v>
      </c>
    </row>
    <row r="1285" spans="1:8" x14ac:dyDescent="0.25">
      <c r="A1285" s="4">
        <v>45776</v>
      </c>
      <c r="B1285" t="s">
        <v>14</v>
      </c>
      <c r="C1285" t="str">
        <f>_xlfn.IFNA(VLOOKUP($B1285,ref!$B$2:$C$34,2,FALSE),"NA")</f>
        <v>Spot</v>
      </c>
      <c r="D1285" s="5" t="s">
        <v>7</v>
      </c>
      <c r="E1285">
        <v>8</v>
      </c>
      <c r="F1285" s="1">
        <v>3.15</v>
      </c>
      <c r="G1285" s="1">
        <v>2.7</v>
      </c>
      <c r="H1285" s="10">
        <f t="shared" si="20"/>
        <v>0.14285714285714279</v>
      </c>
    </row>
    <row r="1286" spans="1:8" x14ac:dyDescent="0.25">
      <c r="A1286" s="4">
        <v>45776</v>
      </c>
      <c r="B1286" t="s">
        <v>14</v>
      </c>
      <c r="C1286" t="str">
        <f>_xlfn.IFNA(VLOOKUP($B1286,ref!$B$2:$C$34,2,FALSE),"NA")</f>
        <v>Spot</v>
      </c>
      <c r="D1286" s="5" t="s">
        <v>7</v>
      </c>
      <c r="E1286">
        <v>8</v>
      </c>
      <c r="F1286" s="1">
        <v>3.15</v>
      </c>
      <c r="G1286" s="1">
        <v>2.7</v>
      </c>
      <c r="H1286" s="10">
        <f t="shared" si="20"/>
        <v>0.14285714285714279</v>
      </c>
    </row>
    <row r="1287" spans="1:8" x14ac:dyDescent="0.25">
      <c r="A1287" s="4">
        <v>45776</v>
      </c>
      <c r="B1287" t="s">
        <v>14</v>
      </c>
      <c r="C1287" t="str">
        <f>_xlfn.IFNA(VLOOKUP($B1287,ref!$B$2:$C$34,2,FALSE),"NA")</f>
        <v>Spot</v>
      </c>
      <c r="D1287" s="5" t="s">
        <v>7</v>
      </c>
      <c r="E1287">
        <v>8</v>
      </c>
      <c r="F1287" s="1">
        <v>3.15</v>
      </c>
      <c r="G1287" s="1">
        <v>2.7</v>
      </c>
      <c r="H1287" s="10">
        <f t="shared" si="20"/>
        <v>0.14285714285714279</v>
      </c>
    </row>
    <row r="1288" spans="1:8" x14ac:dyDescent="0.25">
      <c r="A1288" s="4">
        <v>45775</v>
      </c>
      <c r="B1288" t="s">
        <v>14</v>
      </c>
      <c r="C1288" t="str">
        <f>_xlfn.IFNA(VLOOKUP($B1288,ref!$B$2:$C$34,2,FALSE),"NA")</f>
        <v>Spot</v>
      </c>
      <c r="D1288" s="5" t="s">
        <v>34</v>
      </c>
      <c r="E1288">
        <v>8</v>
      </c>
      <c r="F1288" s="1">
        <v>0.34</v>
      </c>
      <c r="G1288" s="1">
        <v>0.29799999999999999</v>
      </c>
      <c r="H1288" s="10">
        <f t="shared" si="20"/>
        <v>0.123529411764706</v>
      </c>
    </row>
    <row r="1289" spans="1:8" x14ac:dyDescent="0.25">
      <c r="A1289" s="4">
        <v>45775</v>
      </c>
      <c r="B1289" t="s">
        <v>14</v>
      </c>
      <c r="C1289" t="str">
        <f>_xlfn.IFNA(VLOOKUP($B1289,ref!$B$2:$C$34,2,FALSE),"NA")</f>
        <v>Spot</v>
      </c>
      <c r="D1289" s="5">
        <v>3090</v>
      </c>
      <c r="E1289">
        <v>8</v>
      </c>
      <c r="F1289" s="1">
        <v>0.34</v>
      </c>
      <c r="G1289" s="1">
        <v>0.29799999999999999</v>
      </c>
      <c r="H1289" s="10">
        <f t="shared" si="20"/>
        <v>0.123529411764706</v>
      </c>
    </row>
    <row r="1290" spans="1:8" x14ac:dyDescent="0.25">
      <c r="A1290" s="4">
        <v>45775</v>
      </c>
      <c r="B1290" t="s">
        <v>14</v>
      </c>
      <c r="C1290" t="str">
        <f>_xlfn.IFNA(VLOOKUP($B1290,ref!$B$2:$C$34,2,FALSE),"NA")</f>
        <v>Spot</v>
      </c>
      <c r="D1290" s="5">
        <v>3090</v>
      </c>
      <c r="E1290">
        <v>8</v>
      </c>
      <c r="F1290" s="1">
        <v>0.34</v>
      </c>
      <c r="G1290" s="1">
        <v>0.29799999999999999</v>
      </c>
      <c r="H1290" s="10">
        <f t="shared" si="20"/>
        <v>0.123529411764706</v>
      </c>
    </row>
    <row r="1291" spans="1:8" x14ac:dyDescent="0.25">
      <c r="A1291" s="4">
        <v>45775</v>
      </c>
      <c r="B1291" t="s">
        <v>29</v>
      </c>
      <c r="C1291" t="str">
        <f>_xlfn.IFNA(VLOOKUP($B1291,ref!$B$2:$C$34,2,FALSE),"NA")</f>
        <v>Spot</v>
      </c>
      <c r="D1291" s="5">
        <v>3090</v>
      </c>
      <c r="E1291">
        <v>8</v>
      </c>
      <c r="F1291" s="1">
        <v>0.34</v>
      </c>
      <c r="G1291" s="1">
        <v>0.29799999999999999</v>
      </c>
      <c r="H1291" s="10">
        <f t="shared" si="20"/>
        <v>0.123529411764706</v>
      </c>
    </row>
    <row r="1292" spans="1:8" x14ac:dyDescent="0.25">
      <c r="A1292" s="4">
        <v>45775</v>
      </c>
      <c r="B1292" t="s">
        <v>29</v>
      </c>
      <c r="C1292" t="str">
        <f>_xlfn.IFNA(VLOOKUP($B1292,ref!$B$2:$C$34,2,FALSE),"NA")</f>
        <v>Spot</v>
      </c>
      <c r="D1292" s="5" t="s">
        <v>7</v>
      </c>
      <c r="E1292">
        <v>8</v>
      </c>
      <c r="F1292" s="1">
        <v>3.2</v>
      </c>
      <c r="G1292" s="1">
        <v>2.8</v>
      </c>
      <c r="H1292" s="10">
        <f t="shared" si="20"/>
        <v>0.12500000000000011</v>
      </c>
    </row>
    <row r="1293" spans="1:8" x14ac:dyDescent="0.25">
      <c r="A1293" s="4">
        <v>45775</v>
      </c>
      <c r="B1293" t="s">
        <v>29</v>
      </c>
      <c r="C1293" t="str">
        <f>_xlfn.IFNA(VLOOKUP($B1293,ref!$B$2:$C$34,2,FALSE),"NA")</f>
        <v>Spot</v>
      </c>
      <c r="D1293" s="5">
        <v>3090</v>
      </c>
      <c r="E1293">
        <v>8</v>
      </c>
      <c r="F1293" s="1">
        <v>0.34</v>
      </c>
      <c r="G1293" s="1">
        <v>0.29799999999999999</v>
      </c>
      <c r="H1293" s="10">
        <f t="shared" si="20"/>
        <v>0.123529411764706</v>
      </c>
    </row>
    <row r="1294" spans="1:8" x14ac:dyDescent="0.25">
      <c r="A1294" s="4">
        <v>45774</v>
      </c>
      <c r="B1294" t="s">
        <v>12</v>
      </c>
      <c r="C1294" t="str">
        <f>_xlfn.IFNA(VLOOKUP($B1294,ref!$B$2:$C$34,2,FALSE),"NA")</f>
        <v>Spot</v>
      </c>
      <c r="D1294" s="5">
        <v>4090</v>
      </c>
      <c r="E1294">
        <v>8</v>
      </c>
      <c r="F1294" s="1">
        <v>0.65</v>
      </c>
      <c r="G1294" s="1">
        <v>0.56899999999999995</v>
      </c>
      <c r="H1294" s="10">
        <f t="shared" si="20"/>
        <v>0.12461538461538468</v>
      </c>
    </row>
    <row r="1295" spans="1:8" x14ac:dyDescent="0.25">
      <c r="A1295" s="4">
        <v>45774</v>
      </c>
      <c r="B1295" t="s">
        <v>12</v>
      </c>
      <c r="C1295" t="str">
        <f>_xlfn.IFNA(VLOOKUP($B1295,ref!$B$2:$C$34,2,FALSE),"NA")</f>
        <v>Spot</v>
      </c>
      <c r="D1295" s="5">
        <v>4090</v>
      </c>
      <c r="E1295">
        <v>8</v>
      </c>
      <c r="F1295" s="1">
        <v>0.65</v>
      </c>
      <c r="G1295" s="1">
        <v>0.56899999999999995</v>
      </c>
      <c r="H1295" s="10">
        <f t="shared" si="20"/>
        <v>0.12461538461538468</v>
      </c>
    </row>
    <row r="1296" spans="1:8" x14ac:dyDescent="0.25">
      <c r="A1296" s="4">
        <v>45774</v>
      </c>
      <c r="B1296" t="s">
        <v>12</v>
      </c>
      <c r="C1296" t="str">
        <f>_xlfn.IFNA(VLOOKUP($B1296,ref!$B$2:$C$34,2,FALSE),"NA")</f>
        <v>Spot</v>
      </c>
      <c r="D1296" s="5">
        <v>4090</v>
      </c>
      <c r="E1296">
        <v>8</v>
      </c>
      <c r="F1296" s="1">
        <v>0.65</v>
      </c>
      <c r="G1296" s="1">
        <v>0.56899999999999995</v>
      </c>
      <c r="H1296" s="10">
        <f t="shared" si="20"/>
        <v>0.12461538461538468</v>
      </c>
    </row>
    <row r="1297" spans="1:8" x14ac:dyDescent="0.25">
      <c r="A1297" s="4">
        <v>45774</v>
      </c>
      <c r="B1297" t="s">
        <v>12</v>
      </c>
      <c r="C1297" t="str">
        <f>_xlfn.IFNA(VLOOKUP($B1297,ref!$B$2:$C$34,2,FALSE),"NA")</f>
        <v>Spot</v>
      </c>
      <c r="D1297" s="5">
        <v>4090</v>
      </c>
      <c r="E1297">
        <v>8</v>
      </c>
      <c r="F1297" s="1">
        <v>0.65</v>
      </c>
      <c r="G1297" s="1">
        <v>0.56899999999999995</v>
      </c>
      <c r="H1297" s="10">
        <f t="shared" si="20"/>
        <v>0.12461538461538468</v>
      </c>
    </row>
    <row r="1298" spans="1:8" x14ac:dyDescent="0.25">
      <c r="A1298" s="4">
        <v>45774</v>
      </c>
      <c r="B1298" t="s">
        <v>12</v>
      </c>
      <c r="C1298" t="str">
        <f>_xlfn.IFNA(VLOOKUP($B1298,ref!$B$2:$C$34,2,FALSE),"NA")</f>
        <v>Spot</v>
      </c>
      <c r="D1298" s="5">
        <v>4090</v>
      </c>
      <c r="E1298">
        <v>8</v>
      </c>
      <c r="F1298" s="1">
        <v>0.65</v>
      </c>
      <c r="G1298" s="1">
        <v>0.56899999999999995</v>
      </c>
      <c r="H1298" s="10">
        <f t="shared" si="20"/>
        <v>0.12461538461538468</v>
      </c>
    </row>
    <row r="1299" spans="1:8" x14ac:dyDescent="0.25">
      <c r="A1299" s="4">
        <v>45774</v>
      </c>
      <c r="B1299" t="s">
        <v>12</v>
      </c>
      <c r="C1299" t="str">
        <f>_xlfn.IFNA(VLOOKUP($B1299,ref!$B$2:$C$34,2,FALSE),"NA")</f>
        <v>Spot</v>
      </c>
      <c r="D1299" s="5">
        <v>4090</v>
      </c>
      <c r="E1299">
        <v>8</v>
      </c>
      <c r="F1299" s="1">
        <v>0.65</v>
      </c>
      <c r="G1299" s="1">
        <v>0.56899999999999995</v>
      </c>
      <c r="H1299" s="10">
        <f t="shared" si="20"/>
        <v>0.12461538461538468</v>
      </c>
    </row>
    <row r="1300" spans="1:8" x14ac:dyDescent="0.25">
      <c r="A1300" s="4">
        <v>45774</v>
      </c>
      <c r="B1300" t="s">
        <v>12</v>
      </c>
      <c r="C1300" t="str">
        <f>_xlfn.IFNA(VLOOKUP($B1300,ref!$B$2:$C$34,2,FALSE),"NA")</f>
        <v>Spot</v>
      </c>
      <c r="D1300" s="5">
        <v>4090</v>
      </c>
      <c r="E1300">
        <v>8</v>
      </c>
      <c r="F1300" s="1">
        <v>0.65</v>
      </c>
      <c r="G1300" s="1">
        <v>0.56899999999999995</v>
      </c>
      <c r="H1300" s="10">
        <f t="shared" si="20"/>
        <v>0.12461538461538468</v>
      </c>
    </row>
    <row r="1301" spans="1:8" x14ac:dyDescent="0.25">
      <c r="A1301" s="4">
        <v>45772</v>
      </c>
      <c r="B1301" t="s">
        <v>14</v>
      </c>
      <c r="C1301" t="str">
        <f>_xlfn.IFNA(VLOOKUP($B1301,ref!$B$2:$C$34,2,FALSE),"NA")</f>
        <v>Spot</v>
      </c>
      <c r="D1301" s="5" t="s">
        <v>21</v>
      </c>
      <c r="E1301">
        <v>8</v>
      </c>
      <c r="F1301" s="1">
        <v>0.65</v>
      </c>
      <c r="G1301" s="1">
        <v>0.59</v>
      </c>
      <c r="H1301" s="10">
        <f t="shared" si="20"/>
        <v>9.2307692307692424E-2</v>
      </c>
    </row>
    <row r="1302" spans="1:8" x14ac:dyDescent="0.25">
      <c r="A1302" s="4">
        <v>45772</v>
      </c>
      <c r="B1302" t="s">
        <v>29</v>
      </c>
      <c r="C1302" t="str">
        <f>_xlfn.IFNA(VLOOKUP($B1302,ref!$B$2:$C$34,2,FALSE),"NA")</f>
        <v>Spot</v>
      </c>
      <c r="D1302" s="5" t="s">
        <v>10</v>
      </c>
      <c r="E1302">
        <v>8</v>
      </c>
      <c r="F1302" s="1">
        <v>2.5</v>
      </c>
      <c r="G1302" s="1">
        <v>2.1880000000000002</v>
      </c>
      <c r="H1302" s="10">
        <f t="shared" si="20"/>
        <v>0.12479999999999991</v>
      </c>
    </row>
    <row r="1303" spans="1:8" x14ac:dyDescent="0.25">
      <c r="A1303" s="4">
        <v>45770</v>
      </c>
      <c r="B1303" t="s">
        <v>17</v>
      </c>
      <c r="C1303" t="str">
        <f>_xlfn.IFNA(VLOOKUP($B1303,ref!$B$2:$C$34,2,FALSE),"NA")</f>
        <v>6 Month</v>
      </c>
      <c r="D1303" s="5" t="s">
        <v>7</v>
      </c>
      <c r="E1303">
        <v>8</v>
      </c>
      <c r="F1303" s="1">
        <v>2.4500000000000002</v>
      </c>
      <c r="G1303" s="1">
        <v>2.4</v>
      </c>
      <c r="H1303" s="10">
        <f t="shared" si="20"/>
        <v>2.0408163265306256E-2</v>
      </c>
    </row>
    <row r="1304" spans="1:8" x14ac:dyDescent="0.25">
      <c r="A1304" s="4">
        <v>45769</v>
      </c>
      <c r="B1304" t="s">
        <v>14</v>
      </c>
      <c r="C1304" t="str">
        <f>_xlfn.IFNA(VLOOKUP($B1304,ref!$B$2:$C$34,2,FALSE),"NA")</f>
        <v>Spot</v>
      </c>
      <c r="D1304" s="5" t="s">
        <v>7</v>
      </c>
      <c r="E1304">
        <v>8</v>
      </c>
      <c r="F1304" s="1">
        <v>3.1</v>
      </c>
      <c r="G1304" s="1">
        <v>2.66</v>
      </c>
      <c r="H1304" s="10">
        <f t="shared" si="20"/>
        <v>0.14193548387096777</v>
      </c>
    </row>
    <row r="1305" spans="1:8" x14ac:dyDescent="0.25">
      <c r="A1305" s="4">
        <v>45769</v>
      </c>
      <c r="B1305" t="s">
        <v>14</v>
      </c>
      <c r="C1305" t="str">
        <f>_xlfn.IFNA(VLOOKUP($B1305,ref!$B$2:$C$34,2,FALSE),"NA")</f>
        <v>Spot</v>
      </c>
      <c r="D1305" s="5" t="s">
        <v>7</v>
      </c>
      <c r="E1305">
        <v>8</v>
      </c>
      <c r="F1305" s="1">
        <v>3.1</v>
      </c>
      <c r="G1305" s="1">
        <v>2.66</v>
      </c>
      <c r="H1305" s="10">
        <f t="shared" si="20"/>
        <v>0.14193548387096777</v>
      </c>
    </row>
    <row r="1306" spans="1:8" x14ac:dyDescent="0.25">
      <c r="A1306" s="4">
        <v>45769</v>
      </c>
      <c r="B1306" t="s">
        <v>14</v>
      </c>
      <c r="C1306" t="str">
        <f>_xlfn.IFNA(VLOOKUP($B1306,ref!$B$2:$C$34,2,FALSE),"NA")</f>
        <v>Spot</v>
      </c>
      <c r="D1306" s="5" t="s">
        <v>7</v>
      </c>
      <c r="E1306">
        <v>8</v>
      </c>
      <c r="F1306" s="1">
        <v>3.1</v>
      </c>
      <c r="G1306" s="1">
        <v>2.66</v>
      </c>
      <c r="H1306" s="10">
        <f t="shared" si="20"/>
        <v>0.14193548387096777</v>
      </c>
    </row>
    <row r="1307" spans="1:8" x14ac:dyDescent="0.25">
      <c r="A1307" s="4">
        <v>45769</v>
      </c>
      <c r="B1307" t="s">
        <v>14</v>
      </c>
      <c r="C1307" t="str">
        <f>_xlfn.IFNA(VLOOKUP($B1307,ref!$B$2:$C$34,2,FALSE),"NA")</f>
        <v>Spot</v>
      </c>
      <c r="D1307" s="5" t="s">
        <v>7</v>
      </c>
      <c r="E1307">
        <v>8</v>
      </c>
      <c r="F1307" s="1">
        <v>3.1</v>
      </c>
      <c r="G1307" s="1">
        <v>2.66</v>
      </c>
      <c r="H1307" s="10">
        <f t="shared" si="20"/>
        <v>0.14193548387096777</v>
      </c>
    </row>
    <row r="1308" spans="1:8" x14ac:dyDescent="0.25">
      <c r="A1308" s="4">
        <v>45768</v>
      </c>
      <c r="B1308" t="s">
        <v>29</v>
      </c>
      <c r="C1308" t="str">
        <f>_xlfn.IFNA(VLOOKUP($B1308,ref!$B$2:$C$34,2,FALSE),"NA")</f>
        <v>Spot</v>
      </c>
      <c r="D1308" s="5" t="s">
        <v>34</v>
      </c>
      <c r="E1308">
        <v>8</v>
      </c>
      <c r="F1308" s="1">
        <v>0.34</v>
      </c>
      <c r="G1308" s="1">
        <v>0.29799999999999999</v>
      </c>
      <c r="H1308" s="10">
        <f t="shared" si="20"/>
        <v>0.123529411764706</v>
      </c>
    </row>
    <row r="1309" spans="1:8" x14ac:dyDescent="0.25">
      <c r="A1309" s="4">
        <v>45768</v>
      </c>
      <c r="B1309" t="s">
        <v>29</v>
      </c>
      <c r="C1309" t="str">
        <f>_xlfn.IFNA(VLOOKUP($B1309,ref!$B$2:$C$34,2,FALSE),"NA")</f>
        <v>Spot</v>
      </c>
      <c r="D1309" s="5" t="s">
        <v>34</v>
      </c>
      <c r="E1309">
        <v>8</v>
      </c>
      <c r="F1309" s="1">
        <v>0.34</v>
      </c>
      <c r="G1309" s="1">
        <v>0.29799999999999999</v>
      </c>
      <c r="H1309" s="10">
        <f t="shared" si="20"/>
        <v>0.123529411764706</v>
      </c>
    </row>
    <row r="1310" spans="1:8" x14ac:dyDescent="0.25">
      <c r="A1310" s="4">
        <v>45768</v>
      </c>
      <c r="B1310" t="s">
        <v>29</v>
      </c>
      <c r="C1310" t="str">
        <f>_xlfn.IFNA(VLOOKUP($B1310,ref!$B$2:$C$34,2,FALSE),"NA")</f>
        <v>Spot</v>
      </c>
      <c r="D1310" s="5" t="s">
        <v>34</v>
      </c>
      <c r="E1310">
        <v>8</v>
      </c>
      <c r="F1310" s="1">
        <v>0.34</v>
      </c>
      <c r="G1310" s="1">
        <v>0.29799999999999999</v>
      </c>
      <c r="H1310" s="10">
        <f t="shared" si="20"/>
        <v>0.123529411764706</v>
      </c>
    </row>
    <row r="1311" spans="1:8" x14ac:dyDescent="0.25">
      <c r="A1311" s="4">
        <v>45768</v>
      </c>
      <c r="B1311" t="s">
        <v>29</v>
      </c>
      <c r="C1311" t="str">
        <f>_xlfn.IFNA(VLOOKUP($B1311,ref!$B$2:$C$34,2,FALSE),"NA")</f>
        <v>Spot</v>
      </c>
      <c r="D1311" s="5" t="s">
        <v>34</v>
      </c>
      <c r="E1311">
        <v>8</v>
      </c>
      <c r="F1311" s="1">
        <v>0.34</v>
      </c>
      <c r="G1311" s="1">
        <v>0.29799999999999999</v>
      </c>
      <c r="H1311" s="10">
        <f t="shared" si="20"/>
        <v>0.123529411764706</v>
      </c>
    </row>
    <row r="1312" spans="1:8" x14ac:dyDescent="0.25">
      <c r="A1312" s="4">
        <v>45768</v>
      </c>
      <c r="B1312" t="s">
        <v>29</v>
      </c>
      <c r="C1312" t="str">
        <f>_xlfn.IFNA(VLOOKUP($B1312,ref!$B$2:$C$34,2,FALSE),"NA")</f>
        <v>Spot</v>
      </c>
      <c r="D1312" s="5" t="s">
        <v>34</v>
      </c>
      <c r="E1312">
        <v>8</v>
      </c>
      <c r="F1312" s="1">
        <v>0.34</v>
      </c>
      <c r="G1312" s="1">
        <v>0.29799999999999999</v>
      </c>
      <c r="H1312" s="10">
        <f t="shared" si="20"/>
        <v>0.123529411764706</v>
      </c>
    </row>
    <row r="1313" spans="1:8" x14ac:dyDescent="0.25">
      <c r="A1313" s="4">
        <v>45768</v>
      </c>
      <c r="B1313" t="s">
        <v>29</v>
      </c>
      <c r="C1313" t="str">
        <f>_xlfn.IFNA(VLOOKUP($B1313,ref!$B$2:$C$34,2,FALSE),"NA")</f>
        <v>Spot</v>
      </c>
      <c r="D1313" s="5" t="s">
        <v>34</v>
      </c>
      <c r="E1313">
        <v>8</v>
      </c>
      <c r="F1313" s="1">
        <v>0.34</v>
      </c>
      <c r="G1313" s="1">
        <v>0.29799999999999999</v>
      </c>
      <c r="H1313" s="10">
        <f t="shared" si="20"/>
        <v>0.123529411764706</v>
      </c>
    </row>
    <row r="1314" spans="1:8" x14ac:dyDescent="0.25">
      <c r="A1314" s="4">
        <v>45768</v>
      </c>
      <c r="B1314" t="s">
        <v>29</v>
      </c>
      <c r="C1314" t="str">
        <f>_xlfn.IFNA(VLOOKUP($B1314,ref!$B$2:$C$34,2,FALSE),"NA")</f>
        <v>Spot</v>
      </c>
      <c r="D1314" s="5" t="s">
        <v>34</v>
      </c>
      <c r="E1314">
        <v>8</v>
      </c>
      <c r="F1314" s="1">
        <v>0.34</v>
      </c>
      <c r="G1314" s="1">
        <v>0.29799999999999999</v>
      </c>
      <c r="H1314" s="10">
        <f t="shared" si="20"/>
        <v>0.123529411764706</v>
      </c>
    </row>
    <row r="1315" spans="1:8" x14ac:dyDescent="0.25">
      <c r="A1315" s="4">
        <v>45768</v>
      </c>
      <c r="B1315" t="s">
        <v>29</v>
      </c>
      <c r="C1315" t="str">
        <f>_xlfn.IFNA(VLOOKUP($B1315,ref!$B$2:$C$34,2,FALSE),"NA")</f>
        <v>Spot</v>
      </c>
      <c r="D1315" s="5" t="s">
        <v>34</v>
      </c>
      <c r="E1315">
        <v>8</v>
      </c>
      <c r="F1315" s="1">
        <v>0.34</v>
      </c>
      <c r="G1315" s="1">
        <v>0.29799999999999999</v>
      </c>
      <c r="H1315" s="10">
        <f t="shared" si="20"/>
        <v>0.123529411764706</v>
      </c>
    </row>
    <row r="1316" spans="1:8" x14ac:dyDescent="0.25">
      <c r="A1316" s="4">
        <v>45768</v>
      </c>
      <c r="B1316" t="s">
        <v>29</v>
      </c>
      <c r="C1316" t="str">
        <f>_xlfn.IFNA(VLOOKUP($B1316,ref!$B$2:$C$34,2,FALSE),"NA")</f>
        <v>Spot</v>
      </c>
      <c r="D1316" s="5" t="s">
        <v>34</v>
      </c>
      <c r="E1316">
        <v>8</v>
      </c>
      <c r="F1316" s="1">
        <v>0.34</v>
      </c>
      <c r="G1316" s="1">
        <v>0.29799999999999999</v>
      </c>
      <c r="H1316" s="10">
        <f t="shared" si="20"/>
        <v>0.123529411764706</v>
      </c>
    </row>
    <row r="1317" spans="1:8" x14ac:dyDescent="0.25">
      <c r="A1317" s="4">
        <v>45768</v>
      </c>
      <c r="B1317" t="s">
        <v>29</v>
      </c>
      <c r="C1317" t="str">
        <f>_xlfn.IFNA(VLOOKUP($B1317,ref!$B$2:$C$34,2,FALSE),"NA")</f>
        <v>Spot</v>
      </c>
      <c r="D1317" s="5" t="s">
        <v>34</v>
      </c>
      <c r="E1317">
        <v>8</v>
      </c>
      <c r="F1317" s="1">
        <v>0.34</v>
      </c>
      <c r="G1317" s="1">
        <v>0.29799999999999999</v>
      </c>
      <c r="H1317" s="10">
        <f t="shared" si="20"/>
        <v>0.123529411764706</v>
      </c>
    </row>
    <row r="1318" spans="1:8" x14ac:dyDescent="0.25">
      <c r="A1318" s="4">
        <v>45768</v>
      </c>
      <c r="B1318" t="s">
        <v>29</v>
      </c>
      <c r="C1318" t="str">
        <f>_xlfn.IFNA(VLOOKUP($B1318,ref!$B$2:$C$34,2,FALSE),"NA")</f>
        <v>Spot</v>
      </c>
      <c r="D1318" s="5">
        <v>3090</v>
      </c>
      <c r="E1318">
        <v>8</v>
      </c>
      <c r="F1318" s="1">
        <v>0.34</v>
      </c>
      <c r="G1318" s="1">
        <v>0.29799999999999999</v>
      </c>
      <c r="H1318" s="10">
        <f t="shared" si="20"/>
        <v>0.123529411764706</v>
      </c>
    </row>
    <row r="1319" spans="1:8" x14ac:dyDescent="0.25">
      <c r="A1319" s="4">
        <v>45768</v>
      </c>
      <c r="B1319" t="s">
        <v>29</v>
      </c>
      <c r="C1319" t="str">
        <f>_xlfn.IFNA(VLOOKUP($B1319,ref!$B$2:$C$34,2,FALSE),"NA")</f>
        <v>Spot</v>
      </c>
      <c r="D1319" s="5">
        <v>3090</v>
      </c>
      <c r="E1319">
        <v>8</v>
      </c>
      <c r="F1319" s="1">
        <v>0.34</v>
      </c>
      <c r="G1319" s="1">
        <v>0.29799999999999999</v>
      </c>
      <c r="H1319" s="10">
        <f t="shared" si="20"/>
        <v>0.123529411764706</v>
      </c>
    </row>
    <row r="1320" spans="1:8" x14ac:dyDescent="0.25">
      <c r="A1320" s="4">
        <v>45768</v>
      </c>
      <c r="B1320" t="s">
        <v>29</v>
      </c>
      <c r="C1320" t="str">
        <f>_xlfn.IFNA(VLOOKUP($B1320,ref!$B$2:$C$34,2,FALSE),"NA")</f>
        <v>Spot</v>
      </c>
      <c r="D1320" s="5">
        <v>3090</v>
      </c>
      <c r="E1320">
        <v>8</v>
      </c>
      <c r="F1320" s="1">
        <v>0.34</v>
      </c>
      <c r="G1320" s="1">
        <v>0.29799999999999999</v>
      </c>
      <c r="H1320" s="10">
        <f t="shared" si="20"/>
        <v>0.123529411764706</v>
      </c>
    </row>
    <row r="1321" spans="1:8" x14ac:dyDescent="0.25">
      <c r="A1321" s="4">
        <v>45768</v>
      </c>
      <c r="B1321" t="s">
        <v>29</v>
      </c>
      <c r="C1321" t="str">
        <f>_xlfn.IFNA(VLOOKUP($B1321,ref!$B$2:$C$34,2,FALSE),"NA")</f>
        <v>Spot</v>
      </c>
      <c r="D1321" s="5">
        <v>3090</v>
      </c>
      <c r="E1321">
        <v>8</v>
      </c>
      <c r="F1321" s="1">
        <v>0.34</v>
      </c>
      <c r="G1321" s="1">
        <v>0.29799999999999999</v>
      </c>
      <c r="H1321" s="10">
        <f t="shared" si="20"/>
        <v>0.123529411764706</v>
      </c>
    </row>
    <row r="1322" spans="1:8" x14ac:dyDescent="0.25">
      <c r="A1322" s="4">
        <v>45768</v>
      </c>
      <c r="B1322" t="s">
        <v>29</v>
      </c>
      <c r="C1322" t="str">
        <f>_xlfn.IFNA(VLOOKUP($B1322,ref!$B$2:$C$34,2,FALSE),"NA")</f>
        <v>Spot</v>
      </c>
      <c r="D1322" s="5">
        <v>3090</v>
      </c>
      <c r="E1322">
        <v>8</v>
      </c>
      <c r="F1322" s="1">
        <v>0.34</v>
      </c>
      <c r="G1322" s="1">
        <v>0.29799999999999999</v>
      </c>
      <c r="H1322" s="10">
        <f t="shared" si="20"/>
        <v>0.123529411764706</v>
      </c>
    </row>
    <row r="1323" spans="1:8" x14ac:dyDescent="0.25">
      <c r="A1323" s="4">
        <v>45768</v>
      </c>
      <c r="B1323" t="s">
        <v>29</v>
      </c>
      <c r="C1323" t="str">
        <f>_xlfn.IFNA(VLOOKUP($B1323,ref!$B$2:$C$34,2,FALSE),"NA")</f>
        <v>Spot</v>
      </c>
      <c r="D1323" s="5">
        <v>3090</v>
      </c>
      <c r="E1323">
        <v>8</v>
      </c>
      <c r="F1323" s="1">
        <v>0.34</v>
      </c>
      <c r="G1323" s="1">
        <v>0.29799999999999999</v>
      </c>
      <c r="H1323" s="10">
        <f t="shared" si="20"/>
        <v>0.123529411764706</v>
      </c>
    </row>
    <row r="1324" spans="1:8" x14ac:dyDescent="0.25">
      <c r="A1324" s="4">
        <v>45768</v>
      </c>
      <c r="B1324" t="s">
        <v>29</v>
      </c>
      <c r="C1324" t="str">
        <f>_xlfn.IFNA(VLOOKUP($B1324,ref!$B$2:$C$34,2,FALSE),"NA")</f>
        <v>Spot</v>
      </c>
      <c r="D1324" s="5">
        <v>3090</v>
      </c>
      <c r="E1324">
        <v>8</v>
      </c>
      <c r="F1324" s="1">
        <v>0.34</v>
      </c>
      <c r="G1324" s="1">
        <v>0.29799999999999999</v>
      </c>
      <c r="H1324" s="10">
        <f t="shared" si="20"/>
        <v>0.123529411764706</v>
      </c>
    </row>
    <row r="1325" spans="1:8" x14ac:dyDescent="0.25">
      <c r="A1325" s="4">
        <v>45768</v>
      </c>
      <c r="B1325" t="s">
        <v>29</v>
      </c>
      <c r="C1325" t="str">
        <f>_xlfn.IFNA(VLOOKUP($B1325,ref!$B$2:$C$34,2,FALSE),"NA")</f>
        <v>Spot</v>
      </c>
      <c r="D1325" s="5">
        <v>3090</v>
      </c>
      <c r="E1325">
        <v>8</v>
      </c>
      <c r="F1325" s="1">
        <v>0.34</v>
      </c>
      <c r="G1325" s="1">
        <v>0.29799999999999999</v>
      </c>
      <c r="H1325" s="10">
        <f t="shared" si="20"/>
        <v>0.123529411764706</v>
      </c>
    </row>
    <row r="1326" spans="1:8" x14ac:dyDescent="0.25">
      <c r="A1326" s="4">
        <v>45768</v>
      </c>
      <c r="B1326" t="s">
        <v>29</v>
      </c>
      <c r="C1326" t="str">
        <f>_xlfn.IFNA(VLOOKUP($B1326,ref!$B$2:$C$34,2,FALSE),"NA")</f>
        <v>Spot</v>
      </c>
      <c r="D1326" s="5">
        <v>3090</v>
      </c>
      <c r="E1326">
        <v>8</v>
      </c>
      <c r="F1326" s="1">
        <v>0.34</v>
      </c>
      <c r="G1326" s="1">
        <v>0.29799999999999999</v>
      </c>
      <c r="H1326" s="10">
        <f t="shared" si="20"/>
        <v>0.123529411764706</v>
      </c>
    </row>
    <row r="1327" spans="1:8" x14ac:dyDescent="0.25">
      <c r="A1327" s="4">
        <v>45768</v>
      </c>
      <c r="B1327" t="s">
        <v>29</v>
      </c>
      <c r="C1327" t="str">
        <f>_xlfn.IFNA(VLOOKUP($B1327,ref!$B$2:$C$34,2,FALSE),"NA")</f>
        <v>Spot</v>
      </c>
      <c r="D1327" s="5">
        <v>3090</v>
      </c>
      <c r="E1327">
        <v>8</v>
      </c>
      <c r="F1327" s="1">
        <v>0.34</v>
      </c>
      <c r="G1327" s="1">
        <v>0.29799999999999999</v>
      </c>
      <c r="H1327" s="10">
        <f t="shared" si="20"/>
        <v>0.123529411764706</v>
      </c>
    </row>
    <row r="1328" spans="1:8" x14ac:dyDescent="0.25">
      <c r="A1328" s="4">
        <v>45768</v>
      </c>
      <c r="C1328" t="str">
        <f>_xlfn.IFNA(VLOOKUP($B1328,ref!$B$2:$C$34,2,FALSE),"NA")</f>
        <v>NA</v>
      </c>
      <c r="D1328" s="5" t="s">
        <v>21</v>
      </c>
      <c r="E1328">
        <v>8</v>
      </c>
      <c r="F1328" s="1">
        <v>0.57999999999999996</v>
      </c>
      <c r="G1328" s="1">
        <v>0.52</v>
      </c>
      <c r="H1328" s="10">
        <f t="shared" si="20"/>
        <v>0.10344827586206884</v>
      </c>
    </row>
    <row r="1329" spans="1:8" x14ac:dyDescent="0.25">
      <c r="A1329" s="4">
        <v>45765</v>
      </c>
      <c r="B1329" t="s">
        <v>17</v>
      </c>
      <c r="C1329" t="str">
        <f>_xlfn.IFNA(VLOOKUP($B1329,ref!$B$2:$C$34,2,FALSE),"NA")</f>
        <v>6 Month</v>
      </c>
      <c r="D1329" s="5" t="s">
        <v>13</v>
      </c>
      <c r="E1329">
        <v>8</v>
      </c>
      <c r="F1329" s="1">
        <v>1.32</v>
      </c>
      <c r="G1329" s="1">
        <v>1.1399999999999999</v>
      </c>
      <c r="H1329" s="10">
        <f t="shared" si="20"/>
        <v>0.13636363636363646</v>
      </c>
    </row>
    <row r="1330" spans="1:8" x14ac:dyDescent="0.25">
      <c r="A1330" s="4">
        <v>45765</v>
      </c>
      <c r="B1330" t="s">
        <v>17</v>
      </c>
      <c r="C1330" t="str">
        <f>_xlfn.IFNA(VLOOKUP($B1330,ref!$B$2:$C$34,2,FALSE),"NA")</f>
        <v>6 Month</v>
      </c>
      <c r="D1330" s="5" t="s">
        <v>13</v>
      </c>
      <c r="E1330">
        <v>8</v>
      </c>
      <c r="F1330" s="1">
        <v>1.32</v>
      </c>
      <c r="G1330" s="1">
        <v>1.1399999999999999</v>
      </c>
      <c r="H1330" s="10">
        <f t="shared" si="20"/>
        <v>0.13636363636363646</v>
      </c>
    </row>
    <row r="1331" spans="1:8" x14ac:dyDescent="0.25">
      <c r="A1331" s="4">
        <v>45765</v>
      </c>
      <c r="B1331" t="s">
        <v>17</v>
      </c>
      <c r="C1331" t="str">
        <f>_xlfn.IFNA(VLOOKUP($B1331,ref!$B$2:$C$34,2,FALSE),"NA")</f>
        <v>6 Month</v>
      </c>
      <c r="D1331" s="5" t="s">
        <v>13</v>
      </c>
      <c r="E1331">
        <v>8</v>
      </c>
      <c r="F1331" s="1">
        <v>1.32</v>
      </c>
      <c r="G1331" s="1">
        <v>1.1399999999999999</v>
      </c>
      <c r="H1331" s="10">
        <f t="shared" si="20"/>
        <v>0.13636363636363646</v>
      </c>
    </row>
    <row r="1332" spans="1:8" x14ac:dyDescent="0.25">
      <c r="A1332" s="4">
        <v>45765</v>
      </c>
      <c r="B1332" t="s">
        <v>12</v>
      </c>
      <c r="C1332" t="str">
        <f>_xlfn.IFNA(VLOOKUP($B1332,ref!$B$2:$C$34,2,FALSE),"NA")</f>
        <v>Spot</v>
      </c>
      <c r="D1332" s="5" t="s">
        <v>7</v>
      </c>
      <c r="E1332">
        <v>8</v>
      </c>
      <c r="F1332" s="1">
        <v>2.65</v>
      </c>
      <c r="G1332" s="1">
        <v>2.5</v>
      </c>
      <c r="H1332" s="10">
        <f t="shared" si="20"/>
        <v>5.6603773584905648E-2</v>
      </c>
    </row>
    <row r="1333" spans="1:8" x14ac:dyDescent="0.25">
      <c r="A1333" s="4">
        <v>45765</v>
      </c>
      <c r="B1333" t="s">
        <v>17</v>
      </c>
      <c r="C1333" t="str">
        <f>_xlfn.IFNA(VLOOKUP($B1333,ref!$B$2:$C$34,2,FALSE),"NA")</f>
        <v>6 Month</v>
      </c>
      <c r="D1333" s="5" t="s">
        <v>13</v>
      </c>
      <c r="E1333">
        <v>8</v>
      </c>
      <c r="F1333" s="1">
        <v>1.32</v>
      </c>
      <c r="G1333" s="1">
        <v>1.1399999999999999</v>
      </c>
      <c r="H1333" s="10">
        <f t="shared" si="20"/>
        <v>0.13636363636363646</v>
      </c>
    </row>
    <row r="1334" spans="1:8" x14ac:dyDescent="0.25">
      <c r="A1334" s="4">
        <v>45765</v>
      </c>
      <c r="B1334" t="s">
        <v>27</v>
      </c>
      <c r="C1334" t="str">
        <f>_xlfn.IFNA(VLOOKUP($B1334,ref!$B$2:$C$34,2,FALSE),"NA")</f>
        <v>Misc</v>
      </c>
      <c r="D1334" s="5" t="s">
        <v>7</v>
      </c>
      <c r="E1334">
        <v>8</v>
      </c>
      <c r="F1334" s="1">
        <v>2.65</v>
      </c>
      <c r="G1334" s="1">
        <v>2.5</v>
      </c>
      <c r="H1334" s="10">
        <f t="shared" si="20"/>
        <v>5.6603773584905648E-2</v>
      </c>
    </row>
    <row r="1335" spans="1:8" x14ac:dyDescent="0.25">
      <c r="A1335" s="4">
        <v>45762</v>
      </c>
      <c r="B1335" t="s">
        <v>29</v>
      </c>
      <c r="C1335" t="str">
        <f>_xlfn.IFNA(VLOOKUP($B1335,ref!$B$2:$C$34,2,FALSE),"NA")</f>
        <v>Spot</v>
      </c>
      <c r="D1335" s="5">
        <v>4090</v>
      </c>
      <c r="E1335">
        <v>8</v>
      </c>
      <c r="F1335" s="1">
        <v>0.57999999999999996</v>
      </c>
      <c r="G1335" s="1">
        <v>0.50800000000000001</v>
      </c>
      <c r="H1335" s="10">
        <f t="shared" si="20"/>
        <v>0.12413793103448267</v>
      </c>
    </row>
    <row r="1336" spans="1:8" x14ac:dyDescent="0.25">
      <c r="A1336" s="4">
        <v>45762</v>
      </c>
      <c r="B1336" t="s">
        <v>29</v>
      </c>
      <c r="C1336" t="str">
        <f>_xlfn.IFNA(VLOOKUP($B1336,ref!$B$2:$C$34,2,FALSE),"NA")</f>
        <v>Spot</v>
      </c>
      <c r="D1336" s="5">
        <v>4090</v>
      </c>
      <c r="E1336">
        <v>8</v>
      </c>
      <c r="F1336" s="1">
        <v>0.57999999999999996</v>
      </c>
      <c r="G1336" s="1">
        <v>0.50800000000000001</v>
      </c>
      <c r="H1336" s="10">
        <f t="shared" si="20"/>
        <v>0.12413793103448267</v>
      </c>
    </row>
    <row r="1337" spans="1:8" x14ac:dyDescent="0.25">
      <c r="A1337" s="4">
        <v>45762</v>
      </c>
      <c r="B1337" t="s">
        <v>29</v>
      </c>
      <c r="C1337" t="str">
        <f>_xlfn.IFNA(VLOOKUP($B1337,ref!$B$2:$C$34,2,FALSE),"NA")</f>
        <v>Spot</v>
      </c>
      <c r="D1337" s="5">
        <v>4090</v>
      </c>
      <c r="E1337">
        <v>8</v>
      </c>
      <c r="F1337" s="1">
        <v>0.57999999999999996</v>
      </c>
      <c r="G1337" s="1">
        <v>0.50800000000000001</v>
      </c>
      <c r="H1337" s="10">
        <f t="shared" si="20"/>
        <v>0.12413793103448267</v>
      </c>
    </row>
    <row r="1338" spans="1:8" x14ac:dyDescent="0.25">
      <c r="A1338" s="4">
        <v>45762</v>
      </c>
      <c r="B1338" t="s">
        <v>29</v>
      </c>
      <c r="C1338" t="str">
        <f>_xlfn.IFNA(VLOOKUP($B1338,ref!$B$2:$C$34,2,FALSE),"NA")</f>
        <v>Spot</v>
      </c>
      <c r="D1338" s="5">
        <v>4090</v>
      </c>
      <c r="E1338">
        <v>8</v>
      </c>
      <c r="F1338" s="1">
        <v>0.57999999999999996</v>
      </c>
      <c r="G1338" s="1">
        <v>0.50800000000000001</v>
      </c>
      <c r="H1338" s="10">
        <f t="shared" si="20"/>
        <v>0.12413793103448267</v>
      </c>
    </row>
    <row r="1339" spans="1:8" x14ac:dyDescent="0.25">
      <c r="A1339" s="4">
        <v>45762</v>
      </c>
      <c r="B1339" t="s">
        <v>29</v>
      </c>
      <c r="C1339" t="str">
        <f>_xlfn.IFNA(VLOOKUP($B1339,ref!$B$2:$C$34,2,FALSE),"NA")</f>
        <v>Spot</v>
      </c>
      <c r="D1339" s="5">
        <v>4090</v>
      </c>
      <c r="E1339">
        <v>8</v>
      </c>
      <c r="F1339" s="1">
        <v>0.57999999999999996</v>
      </c>
      <c r="G1339" s="1">
        <v>0.50800000000000001</v>
      </c>
      <c r="H1339" s="10">
        <f t="shared" si="20"/>
        <v>0.12413793103448267</v>
      </c>
    </row>
    <row r="1340" spans="1:8" x14ac:dyDescent="0.25">
      <c r="A1340" s="4">
        <v>45762</v>
      </c>
      <c r="B1340" t="s">
        <v>29</v>
      </c>
      <c r="C1340" t="str">
        <f>_xlfn.IFNA(VLOOKUP($B1340,ref!$B$2:$C$34,2,FALSE),"NA")</f>
        <v>Spot</v>
      </c>
      <c r="D1340" s="5">
        <v>4090</v>
      </c>
      <c r="E1340">
        <v>8</v>
      </c>
      <c r="F1340" s="1">
        <v>0.57999999999999996</v>
      </c>
      <c r="G1340" s="1">
        <v>0.50800000000000001</v>
      </c>
      <c r="H1340" s="10">
        <f t="shared" si="20"/>
        <v>0.12413793103448267</v>
      </c>
    </row>
    <row r="1341" spans="1:8" ht="30" x14ac:dyDescent="0.25">
      <c r="A1341" s="4">
        <v>45760</v>
      </c>
      <c r="B1341" s="2" t="s">
        <v>28</v>
      </c>
      <c r="C1341" t="str">
        <f>_xlfn.IFNA(VLOOKUP($B1341,ref!$B$2:$C$34,2,FALSE),"NA")</f>
        <v>6 Month</v>
      </c>
      <c r="D1341" s="5" t="s">
        <v>10</v>
      </c>
      <c r="E1341">
        <v>8</v>
      </c>
      <c r="F1341" s="1">
        <v>2.15</v>
      </c>
      <c r="G1341" s="1">
        <v>2.0499999999999998</v>
      </c>
      <c r="H1341" s="10">
        <f t="shared" si="20"/>
        <v>4.6511627906976827E-2</v>
      </c>
    </row>
    <row r="1342" spans="1:8" x14ac:dyDescent="0.25">
      <c r="A1342" s="4">
        <v>45759</v>
      </c>
      <c r="B1342" t="s">
        <v>14</v>
      </c>
      <c r="C1342" t="str">
        <f>_xlfn.IFNA(VLOOKUP($B1342,ref!$B$2:$C$34,2,FALSE),"NA")</f>
        <v>Spot</v>
      </c>
      <c r="D1342" s="5" t="s">
        <v>7</v>
      </c>
      <c r="E1342">
        <v>8</v>
      </c>
      <c r="F1342" s="1">
        <v>2.25</v>
      </c>
      <c r="G1342" s="1">
        <v>2</v>
      </c>
      <c r="H1342" s="10">
        <f t="shared" si="20"/>
        <v>0.11111111111111116</v>
      </c>
    </row>
    <row r="1343" spans="1:8" x14ac:dyDescent="0.25">
      <c r="A1343" s="4">
        <v>45759</v>
      </c>
      <c r="B1343" t="s">
        <v>14</v>
      </c>
      <c r="C1343" t="str">
        <f>_xlfn.IFNA(VLOOKUP($B1343,ref!$B$2:$C$34,2,FALSE),"NA")</f>
        <v>Spot</v>
      </c>
      <c r="D1343" s="5" t="s">
        <v>7</v>
      </c>
      <c r="E1343">
        <v>8</v>
      </c>
      <c r="F1343" s="1">
        <v>2.25</v>
      </c>
      <c r="G1343" s="1">
        <v>2</v>
      </c>
      <c r="H1343" s="10">
        <f t="shared" si="20"/>
        <v>0.11111111111111116</v>
      </c>
    </row>
    <row r="1344" spans="1:8" x14ac:dyDescent="0.25">
      <c r="A1344" s="4">
        <v>45759</v>
      </c>
      <c r="B1344" t="s">
        <v>14</v>
      </c>
      <c r="C1344" t="str">
        <f>_xlfn.IFNA(VLOOKUP($B1344,ref!$B$2:$C$34,2,FALSE),"NA")</f>
        <v>Spot</v>
      </c>
      <c r="D1344" s="5" t="s">
        <v>7</v>
      </c>
      <c r="E1344">
        <v>8</v>
      </c>
      <c r="F1344" s="1">
        <v>2.25</v>
      </c>
      <c r="G1344" s="1">
        <v>2</v>
      </c>
      <c r="H1344" s="10">
        <f t="shared" si="20"/>
        <v>0.11111111111111116</v>
      </c>
    </row>
    <row r="1345" spans="1:8" x14ac:dyDescent="0.25">
      <c r="A1345" s="4">
        <v>45759</v>
      </c>
      <c r="B1345" t="s">
        <v>14</v>
      </c>
      <c r="C1345" t="str">
        <f>_xlfn.IFNA(VLOOKUP($B1345,ref!$B$2:$C$34,2,FALSE),"NA")</f>
        <v>Spot</v>
      </c>
      <c r="D1345" s="5" t="s">
        <v>7</v>
      </c>
      <c r="E1345">
        <v>8</v>
      </c>
      <c r="F1345" s="1">
        <v>2.25</v>
      </c>
      <c r="G1345" s="1">
        <v>2</v>
      </c>
      <c r="H1345" s="10">
        <f t="shared" si="20"/>
        <v>0.11111111111111116</v>
      </c>
    </row>
    <row r="1346" spans="1:8" x14ac:dyDescent="0.25">
      <c r="A1346" s="4">
        <v>45759</v>
      </c>
      <c r="B1346" t="s">
        <v>14</v>
      </c>
      <c r="C1346" t="str">
        <f>_xlfn.IFNA(VLOOKUP($B1346,ref!$B$2:$C$34,2,FALSE),"NA")</f>
        <v>Spot</v>
      </c>
      <c r="D1346" s="5" t="s">
        <v>7</v>
      </c>
      <c r="E1346">
        <v>8</v>
      </c>
      <c r="F1346" s="1">
        <v>2.25</v>
      </c>
      <c r="G1346" s="1">
        <v>2</v>
      </c>
      <c r="H1346" s="10">
        <f t="shared" si="20"/>
        <v>0.11111111111111116</v>
      </c>
    </row>
    <row r="1347" spans="1:8" x14ac:dyDescent="0.25">
      <c r="A1347" s="4">
        <v>45759</v>
      </c>
      <c r="B1347" t="s">
        <v>14</v>
      </c>
      <c r="C1347" t="str">
        <f>_xlfn.IFNA(VLOOKUP($B1347,ref!$B$2:$C$34,2,FALSE),"NA")</f>
        <v>Spot</v>
      </c>
      <c r="D1347" s="5" t="s">
        <v>7</v>
      </c>
      <c r="E1347">
        <v>8</v>
      </c>
      <c r="F1347" s="1">
        <v>2.25</v>
      </c>
      <c r="G1347" s="1">
        <v>2</v>
      </c>
      <c r="H1347" s="10">
        <f t="shared" ref="H1347:H1410" si="21">1-(G1347/F1347)</f>
        <v>0.11111111111111116</v>
      </c>
    </row>
    <row r="1348" spans="1:8" x14ac:dyDescent="0.25">
      <c r="A1348" s="4">
        <v>45759</v>
      </c>
      <c r="B1348" t="s">
        <v>14</v>
      </c>
      <c r="C1348" t="str">
        <f>_xlfn.IFNA(VLOOKUP($B1348,ref!$B$2:$C$34,2,FALSE),"NA")</f>
        <v>Spot</v>
      </c>
      <c r="D1348" s="5" t="s">
        <v>7</v>
      </c>
      <c r="E1348">
        <v>8</v>
      </c>
      <c r="F1348" s="1">
        <v>3.25</v>
      </c>
      <c r="G1348" s="1">
        <v>2.75</v>
      </c>
      <c r="H1348" s="10">
        <f t="shared" si="21"/>
        <v>0.15384615384615385</v>
      </c>
    </row>
    <row r="1349" spans="1:8" x14ac:dyDescent="0.25">
      <c r="A1349" s="4">
        <v>45759</v>
      </c>
      <c r="B1349" t="s">
        <v>14</v>
      </c>
      <c r="C1349" t="str">
        <f>_xlfn.IFNA(VLOOKUP($B1349,ref!$B$2:$C$34,2,FALSE),"NA")</f>
        <v>Spot</v>
      </c>
      <c r="D1349" s="5" t="s">
        <v>7</v>
      </c>
      <c r="E1349">
        <v>8</v>
      </c>
      <c r="F1349" s="1">
        <v>3.25</v>
      </c>
      <c r="G1349" s="1">
        <v>2.75</v>
      </c>
      <c r="H1349" s="10">
        <f t="shared" si="21"/>
        <v>0.15384615384615385</v>
      </c>
    </row>
    <row r="1350" spans="1:8" x14ac:dyDescent="0.25">
      <c r="A1350" s="4">
        <v>45759</v>
      </c>
      <c r="B1350" t="s">
        <v>14</v>
      </c>
      <c r="C1350" t="str">
        <f>_xlfn.IFNA(VLOOKUP($B1350,ref!$B$2:$C$34,2,FALSE),"NA")</f>
        <v>Spot</v>
      </c>
      <c r="D1350" s="5" t="s">
        <v>7</v>
      </c>
      <c r="E1350">
        <v>8</v>
      </c>
      <c r="F1350" s="1">
        <v>3.25</v>
      </c>
      <c r="G1350" s="1">
        <v>2.75</v>
      </c>
      <c r="H1350" s="10">
        <f t="shared" si="21"/>
        <v>0.15384615384615385</v>
      </c>
    </row>
    <row r="1351" spans="1:8" x14ac:dyDescent="0.25">
      <c r="A1351" s="4">
        <v>45759</v>
      </c>
      <c r="B1351" t="s">
        <v>14</v>
      </c>
      <c r="C1351" t="str">
        <f>_xlfn.IFNA(VLOOKUP($B1351,ref!$B$2:$C$34,2,FALSE),"NA")</f>
        <v>Spot</v>
      </c>
      <c r="D1351" s="5" t="s">
        <v>7</v>
      </c>
      <c r="E1351">
        <v>8</v>
      </c>
      <c r="F1351" s="1">
        <v>3.25</v>
      </c>
      <c r="G1351" s="1">
        <v>2.75</v>
      </c>
      <c r="H1351" s="10">
        <f t="shared" si="21"/>
        <v>0.15384615384615385</v>
      </c>
    </row>
    <row r="1352" spans="1:8" x14ac:dyDescent="0.25">
      <c r="A1352" s="4">
        <v>45759</v>
      </c>
      <c r="B1352" t="s">
        <v>14</v>
      </c>
      <c r="C1352" t="str">
        <f>_xlfn.IFNA(VLOOKUP($B1352,ref!$B$2:$C$34,2,FALSE),"NA")</f>
        <v>Spot</v>
      </c>
      <c r="D1352" s="5" t="s">
        <v>7</v>
      </c>
      <c r="E1352">
        <v>8</v>
      </c>
      <c r="F1352" s="1">
        <v>3.25</v>
      </c>
      <c r="G1352" s="1">
        <v>2.75</v>
      </c>
      <c r="H1352" s="10">
        <f t="shared" si="21"/>
        <v>0.15384615384615385</v>
      </c>
    </row>
    <row r="1353" spans="1:8" x14ac:dyDescent="0.25">
      <c r="A1353" s="4">
        <v>45759</v>
      </c>
      <c r="B1353" t="s">
        <v>14</v>
      </c>
      <c r="C1353" t="str">
        <f>_xlfn.IFNA(VLOOKUP($B1353,ref!$B$2:$C$34,2,FALSE),"NA")</f>
        <v>Spot</v>
      </c>
      <c r="D1353" s="5" t="s">
        <v>7</v>
      </c>
      <c r="E1353">
        <v>8</v>
      </c>
      <c r="F1353" s="1">
        <v>3.25</v>
      </c>
      <c r="G1353" s="1">
        <v>2.75</v>
      </c>
      <c r="H1353" s="10">
        <f t="shared" si="21"/>
        <v>0.15384615384615385</v>
      </c>
    </row>
    <row r="1354" spans="1:8" x14ac:dyDescent="0.25">
      <c r="A1354" s="4">
        <v>45759</v>
      </c>
      <c r="B1354" t="s">
        <v>14</v>
      </c>
      <c r="C1354" t="str">
        <f>_xlfn.IFNA(VLOOKUP($B1354,ref!$B$2:$C$34,2,FALSE),"NA")</f>
        <v>Spot</v>
      </c>
      <c r="D1354" s="5" t="s">
        <v>7</v>
      </c>
      <c r="E1354">
        <v>8</v>
      </c>
      <c r="F1354" s="1">
        <v>3.25</v>
      </c>
      <c r="G1354" s="1">
        <v>2.75</v>
      </c>
      <c r="H1354" s="10">
        <f t="shared" si="21"/>
        <v>0.15384615384615385</v>
      </c>
    </row>
    <row r="1355" spans="1:8" x14ac:dyDescent="0.25">
      <c r="A1355" s="4">
        <v>45759</v>
      </c>
      <c r="B1355" t="s">
        <v>14</v>
      </c>
      <c r="C1355" t="str">
        <f>_xlfn.IFNA(VLOOKUP($B1355,ref!$B$2:$C$34,2,FALSE),"NA")</f>
        <v>Spot</v>
      </c>
      <c r="D1355" s="5" t="s">
        <v>7</v>
      </c>
      <c r="E1355">
        <v>8</v>
      </c>
      <c r="F1355" s="1">
        <v>3.25</v>
      </c>
      <c r="G1355" s="1">
        <v>2.75</v>
      </c>
      <c r="H1355" s="10">
        <f t="shared" si="21"/>
        <v>0.15384615384615385</v>
      </c>
    </row>
    <row r="1356" spans="1:8" x14ac:dyDescent="0.25">
      <c r="A1356" s="4">
        <v>45759</v>
      </c>
      <c r="B1356" t="s">
        <v>14</v>
      </c>
      <c r="C1356" t="str">
        <f>_xlfn.IFNA(VLOOKUP($B1356,ref!$B$2:$C$34,2,FALSE),"NA")</f>
        <v>Spot</v>
      </c>
      <c r="D1356" s="5" t="s">
        <v>7</v>
      </c>
      <c r="E1356">
        <v>8</v>
      </c>
      <c r="F1356" s="1">
        <v>3.25</v>
      </c>
      <c r="G1356" s="1">
        <v>2.75</v>
      </c>
      <c r="H1356" s="10">
        <f t="shared" si="21"/>
        <v>0.15384615384615385</v>
      </c>
    </row>
    <row r="1357" spans="1:8" x14ac:dyDescent="0.25">
      <c r="A1357" s="4">
        <v>45758</v>
      </c>
      <c r="B1357" t="s">
        <v>14</v>
      </c>
      <c r="C1357" t="str">
        <f>_xlfn.IFNA(VLOOKUP($B1357,ref!$B$2:$C$34,2,FALSE),"NA")</f>
        <v>Spot</v>
      </c>
      <c r="D1357" s="5" t="s">
        <v>7</v>
      </c>
      <c r="E1357">
        <v>8</v>
      </c>
      <c r="F1357" s="1">
        <v>3.25</v>
      </c>
      <c r="G1357" s="1">
        <v>2.75</v>
      </c>
      <c r="H1357" s="10">
        <f t="shared" si="21"/>
        <v>0.15384615384615385</v>
      </c>
    </row>
    <row r="1358" spans="1:8" x14ac:dyDescent="0.25">
      <c r="A1358" s="4">
        <v>45758</v>
      </c>
      <c r="B1358" t="s">
        <v>14</v>
      </c>
      <c r="C1358" t="str">
        <f>_xlfn.IFNA(VLOOKUP($B1358,ref!$B$2:$C$34,2,FALSE),"NA")</f>
        <v>Spot</v>
      </c>
      <c r="D1358" s="5" t="s">
        <v>7</v>
      </c>
      <c r="E1358">
        <v>8</v>
      </c>
      <c r="F1358" s="1">
        <v>3.25</v>
      </c>
      <c r="G1358" s="1">
        <v>2.75</v>
      </c>
      <c r="H1358" s="10">
        <f t="shared" si="21"/>
        <v>0.15384615384615385</v>
      </c>
    </row>
    <row r="1359" spans="1:8" x14ac:dyDescent="0.25">
      <c r="A1359" s="4">
        <v>45758</v>
      </c>
      <c r="B1359" t="s">
        <v>14</v>
      </c>
      <c r="C1359" t="str">
        <f>_xlfn.IFNA(VLOOKUP($B1359,ref!$B$2:$C$34,2,FALSE),"NA")</f>
        <v>Spot</v>
      </c>
      <c r="D1359" s="5" t="s">
        <v>7</v>
      </c>
      <c r="E1359">
        <v>8</v>
      </c>
      <c r="F1359" s="1">
        <v>3.25</v>
      </c>
      <c r="G1359" s="1">
        <v>2.75</v>
      </c>
      <c r="H1359" s="10">
        <f t="shared" si="21"/>
        <v>0.15384615384615385</v>
      </c>
    </row>
    <row r="1360" spans="1:8" x14ac:dyDescent="0.25">
      <c r="A1360" s="4">
        <v>45758</v>
      </c>
      <c r="B1360" t="s">
        <v>14</v>
      </c>
      <c r="C1360" t="str">
        <f>_xlfn.IFNA(VLOOKUP($B1360,ref!$B$2:$C$34,2,FALSE),"NA")</f>
        <v>Spot</v>
      </c>
      <c r="D1360" s="5" t="s">
        <v>7</v>
      </c>
      <c r="E1360">
        <v>8</v>
      </c>
      <c r="F1360" s="1">
        <v>3.25</v>
      </c>
      <c r="G1360" s="1">
        <v>2.75</v>
      </c>
      <c r="H1360" s="10">
        <f t="shared" si="21"/>
        <v>0.15384615384615385</v>
      </c>
    </row>
    <row r="1361" spans="1:8" x14ac:dyDescent="0.25">
      <c r="A1361" s="4">
        <v>45758</v>
      </c>
      <c r="B1361" t="s">
        <v>14</v>
      </c>
      <c r="C1361" t="str">
        <f>_xlfn.IFNA(VLOOKUP($B1361,ref!$B$2:$C$34,2,FALSE),"NA")</f>
        <v>Spot</v>
      </c>
      <c r="D1361" s="5" t="s">
        <v>7</v>
      </c>
      <c r="E1361">
        <v>8</v>
      </c>
      <c r="F1361" s="1">
        <v>3.25</v>
      </c>
      <c r="G1361" s="1">
        <v>2.75</v>
      </c>
      <c r="H1361" s="10">
        <f t="shared" si="21"/>
        <v>0.15384615384615385</v>
      </c>
    </row>
    <row r="1362" spans="1:8" x14ac:dyDescent="0.25">
      <c r="A1362" s="4">
        <v>45758</v>
      </c>
      <c r="B1362" t="s">
        <v>14</v>
      </c>
      <c r="C1362" t="str">
        <f>_xlfn.IFNA(VLOOKUP($B1362,ref!$B$2:$C$34,2,FALSE),"NA")</f>
        <v>Spot</v>
      </c>
      <c r="D1362" s="5" t="s">
        <v>7</v>
      </c>
      <c r="E1362">
        <v>8</v>
      </c>
      <c r="F1362" s="1">
        <v>3.25</v>
      </c>
      <c r="G1362" s="1">
        <v>2.75</v>
      </c>
      <c r="H1362" s="10">
        <f t="shared" si="21"/>
        <v>0.15384615384615385</v>
      </c>
    </row>
    <row r="1363" spans="1:8" x14ac:dyDescent="0.25">
      <c r="A1363" s="4">
        <v>45758</v>
      </c>
      <c r="B1363" t="s">
        <v>14</v>
      </c>
      <c r="C1363" t="str">
        <f>_xlfn.IFNA(VLOOKUP($B1363,ref!$B$2:$C$34,2,FALSE),"NA")</f>
        <v>Spot</v>
      </c>
      <c r="D1363" s="5" t="s">
        <v>7</v>
      </c>
      <c r="E1363">
        <v>8</v>
      </c>
      <c r="F1363" s="1">
        <v>3.25</v>
      </c>
      <c r="G1363" s="1">
        <v>2.75</v>
      </c>
      <c r="H1363" s="10">
        <f t="shared" si="21"/>
        <v>0.15384615384615385</v>
      </c>
    </row>
    <row r="1364" spans="1:8" x14ac:dyDescent="0.25">
      <c r="A1364" s="4">
        <v>45758</v>
      </c>
      <c r="B1364" t="s">
        <v>14</v>
      </c>
      <c r="C1364" t="str">
        <f>_xlfn.IFNA(VLOOKUP($B1364,ref!$B$2:$C$34,2,FALSE),"NA")</f>
        <v>Spot</v>
      </c>
      <c r="D1364" s="5" t="s">
        <v>7</v>
      </c>
      <c r="E1364">
        <v>8</v>
      </c>
      <c r="F1364" s="1">
        <v>3.25</v>
      </c>
      <c r="G1364" s="1">
        <v>2.75</v>
      </c>
      <c r="H1364" s="10">
        <f t="shared" si="21"/>
        <v>0.15384615384615385</v>
      </c>
    </row>
    <row r="1365" spans="1:8" x14ac:dyDescent="0.25">
      <c r="A1365" s="4">
        <v>45757</v>
      </c>
      <c r="C1365" t="str">
        <f>_xlfn.IFNA(VLOOKUP($B1365,ref!$B$2:$C$34,2,FALSE),"NA")</f>
        <v>NA</v>
      </c>
      <c r="D1365" s="5" t="s">
        <v>15</v>
      </c>
      <c r="E1365">
        <v>8</v>
      </c>
      <c r="F1365" s="1">
        <v>0.32</v>
      </c>
      <c r="G1365" s="1">
        <v>0.28999999999999998</v>
      </c>
      <c r="H1365" s="10">
        <f t="shared" si="21"/>
        <v>9.3750000000000111E-2</v>
      </c>
    </row>
    <row r="1366" spans="1:8" x14ac:dyDescent="0.25">
      <c r="A1366" s="4">
        <v>45757</v>
      </c>
      <c r="C1366" t="str">
        <f>_xlfn.IFNA(VLOOKUP($B1366,ref!$B$2:$C$34,2,FALSE),"NA")</f>
        <v>NA</v>
      </c>
      <c r="D1366" s="5" t="s">
        <v>15</v>
      </c>
      <c r="E1366">
        <v>8</v>
      </c>
      <c r="F1366" s="1">
        <v>0.32</v>
      </c>
      <c r="G1366" s="1">
        <v>0.28999999999999998</v>
      </c>
      <c r="H1366" s="10">
        <f t="shared" si="21"/>
        <v>9.3750000000000111E-2</v>
      </c>
    </row>
    <row r="1367" spans="1:8" x14ac:dyDescent="0.25">
      <c r="A1367" s="4">
        <v>45757</v>
      </c>
      <c r="C1367" t="str">
        <f>_xlfn.IFNA(VLOOKUP($B1367,ref!$B$2:$C$34,2,FALSE),"NA")</f>
        <v>NA</v>
      </c>
      <c r="D1367" s="5" t="s">
        <v>15</v>
      </c>
      <c r="E1367">
        <v>8</v>
      </c>
      <c r="F1367" s="1">
        <v>0.32</v>
      </c>
      <c r="G1367" s="1">
        <v>0.28999999999999998</v>
      </c>
      <c r="H1367" s="10">
        <f t="shared" si="21"/>
        <v>9.3750000000000111E-2</v>
      </c>
    </row>
    <row r="1368" spans="1:8" x14ac:dyDescent="0.25">
      <c r="A1368" s="4">
        <v>45757</v>
      </c>
      <c r="C1368" t="str">
        <f>_xlfn.IFNA(VLOOKUP($B1368,ref!$B$2:$C$34,2,FALSE),"NA")</f>
        <v>NA</v>
      </c>
      <c r="D1368" s="5" t="s">
        <v>15</v>
      </c>
      <c r="E1368">
        <v>8</v>
      </c>
      <c r="F1368" s="1">
        <v>0.32</v>
      </c>
      <c r="G1368" s="1">
        <v>0.28999999999999998</v>
      </c>
      <c r="H1368" s="10">
        <f t="shared" si="21"/>
        <v>9.3750000000000111E-2</v>
      </c>
    </row>
    <row r="1369" spans="1:8" x14ac:dyDescent="0.25">
      <c r="A1369" s="4">
        <v>45757</v>
      </c>
      <c r="C1369" t="str">
        <f>_xlfn.IFNA(VLOOKUP($B1369,ref!$B$2:$C$34,2,FALSE),"NA")</f>
        <v>NA</v>
      </c>
      <c r="D1369" s="5" t="s">
        <v>15</v>
      </c>
      <c r="E1369">
        <v>8</v>
      </c>
      <c r="F1369" s="1">
        <v>0.32</v>
      </c>
      <c r="G1369" s="1">
        <v>0.28999999999999998</v>
      </c>
      <c r="H1369" s="10">
        <f t="shared" si="21"/>
        <v>9.3750000000000111E-2</v>
      </c>
    </row>
    <row r="1370" spans="1:8" x14ac:dyDescent="0.25">
      <c r="A1370" s="4">
        <v>45755</v>
      </c>
      <c r="B1370" t="s">
        <v>14</v>
      </c>
      <c r="C1370" t="str">
        <f>_xlfn.IFNA(VLOOKUP($B1370,ref!$B$2:$C$34,2,FALSE),"NA")</f>
        <v>Spot</v>
      </c>
      <c r="D1370" s="5">
        <v>4090</v>
      </c>
      <c r="E1370">
        <v>8</v>
      </c>
      <c r="F1370" s="1">
        <v>0.65</v>
      </c>
      <c r="G1370" s="1">
        <v>0.56899999999999995</v>
      </c>
      <c r="H1370" s="10">
        <f t="shared" si="21"/>
        <v>0.12461538461538468</v>
      </c>
    </row>
    <row r="1371" spans="1:8" x14ac:dyDescent="0.25">
      <c r="A1371" s="4">
        <v>45755</v>
      </c>
      <c r="B1371" t="s">
        <v>14</v>
      </c>
      <c r="C1371" t="str">
        <f>_xlfn.IFNA(VLOOKUP($B1371,ref!$B$2:$C$34,2,FALSE),"NA")</f>
        <v>Spot</v>
      </c>
      <c r="D1371" s="5">
        <v>4090</v>
      </c>
      <c r="E1371">
        <v>8</v>
      </c>
      <c r="F1371" s="1">
        <v>0.65</v>
      </c>
      <c r="G1371" s="1">
        <v>0.56899999999999995</v>
      </c>
      <c r="H1371" s="10">
        <f t="shared" si="21"/>
        <v>0.12461538461538468</v>
      </c>
    </row>
    <row r="1372" spans="1:8" x14ac:dyDescent="0.25">
      <c r="A1372" s="4">
        <v>45755</v>
      </c>
      <c r="B1372" t="s">
        <v>14</v>
      </c>
      <c r="C1372" t="str">
        <f>_xlfn.IFNA(VLOOKUP($B1372,ref!$B$2:$C$34,2,FALSE),"NA")</f>
        <v>Spot</v>
      </c>
      <c r="D1372" s="5">
        <v>4090</v>
      </c>
      <c r="E1372">
        <v>8</v>
      </c>
      <c r="F1372" s="1">
        <v>0.65</v>
      </c>
      <c r="G1372" s="1">
        <v>0.56899999999999995</v>
      </c>
      <c r="H1372" s="10">
        <f t="shared" si="21"/>
        <v>0.12461538461538468</v>
      </c>
    </row>
    <row r="1373" spans="1:8" x14ac:dyDescent="0.25">
      <c r="A1373" s="4">
        <v>45755</v>
      </c>
      <c r="B1373" t="s">
        <v>14</v>
      </c>
      <c r="C1373" t="str">
        <f>_xlfn.IFNA(VLOOKUP($B1373,ref!$B$2:$C$34,2,FALSE),"NA")</f>
        <v>Spot</v>
      </c>
      <c r="D1373" s="5">
        <v>4090</v>
      </c>
      <c r="E1373">
        <v>8</v>
      </c>
      <c r="F1373" s="1">
        <v>0.65</v>
      </c>
      <c r="G1373" s="1">
        <v>0.56899999999999995</v>
      </c>
      <c r="H1373" s="10">
        <f t="shared" si="21"/>
        <v>0.12461538461538468</v>
      </c>
    </row>
    <row r="1374" spans="1:8" x14ac:dyDescent="0.25">
      <c r="A1374" s="4">
        <v>45753</v>
      </c>
      <c r="C1374" t="str">
        <f>_xlfn.IFNA(VLOOKUP($B1374,ref!$B$2:$C$34,2,FALSE),"NA")</f>
        <v>NA</v>
      </c>
      <c r="D1374" s="5" t="s">
        <v>7</v>
      </c>
      <c r="E1374">
        <v>8</v>
      </c>
      <c r="F1374" s="1">
        <v>3.15</v>
      </c>
      <c r="G1374" s="1">
        <v>2.72</v>
      </c>
      <c r="H1374" s="10">
        <f t="shared" si="21"/>
        <v>0.13650793650793647</v>
      </c>
    </row>
    <row r="1375" spans="1:8" x14ac:dyDescent="0.25">
      <c r="A1375" s="4">
        <v>45753</v>
      </c>
      <c r="B1375" t="s">
        <v>14</v>
      </c>
      <c r="C1375" t="str">
        <f>_xlfn.IFNA(VLOOKUP($B1375,ref!$B$2:$C$34,2,FALSE),"NA")</f>
        <v>Spot</v>
      </c>
      <c r="D1375" s="5" t="s">
        <v>7</v>
      </c>
      <c r="E1375">
        <v>8</v>
      </c>
      <c r="F1375" s="1">
        <v>3.15</v>
      </c>
      <c r="G1375" s="1">
        <v>2.72</v>
      </c>
      <c r="H1375" s="10">
        <f t="shared" si="21"/>
        <v>0.13650793650793647</v>
      </c>
    </row>
    <row r="1376" spans="1:8" x14ac:dyDescent="0.25">
      <c r="A1376" s="4">
        <v>45753</v>
      </c>
      <c r="B1376" t="s">
        <v>14</v>
      </c>
      <c r="C1376" t="str">
        <f>_xlfn.IFNA(VLOOKUP($B1376,ref!$B$2:$C$34,2,FALSE),"NA")</f>
        <v>Spot</v>
      </c>
      <c r="D1376" s="5" t="s">
        <v>7</v>
      </c>
      <c r="E1376">
        <v>8</v>
      </c>
      <c r="F1376" s="1">
        <v>3.15</v>
      </c>
      <c r="G1376" s="1">
        <v>2.72</v>
      </c>
      <c r="H1376" s="10">
        <f t="shared" si="21"/>
        <v>0.13650793650793647</v>
      </c>
    </row>
    <row r="1377" spans="1:8" x14ac:dyDescent="0.25">
      <c r="A1377" s="4">
        <v>45753</v>
      </c>
      <c r="B1377" t="s">
        <v>14</v>
      </c>
      <c r="C1377" t="str">
        <f>_xlfn.IFNA(VLOOKUP($B1377,ref!$B$2:$C$34,2,FALSE),"NA")</f>
        <v>Spot</v>
      </c>
      <c r="D1377" s="5" t="s">
        <v>7</v>
      </c>
      <c r="E1377">
        <v>8</v>
      </c>
      <c r="F1377" s="1">
        <v>3.15</v>
      </c>
      <c r="G1377" s="1">
        <v>2.72</v>
      </c>
      <c r="H1377" s="10">
        <f t="shared" si="21"/>
        <v>0.13650793650793647</v>
      </c>
    </row>
    <row r="1378" spans="1:8" x14ac:dyDescent="0.25">
      <c r="A1378" s="4">
        <v>45753</v>
      </c>
      <c r="B1378" t="s">
        <v>14</v>
      </c>
      <c r="C1378" t="str">
        <f>_xlfn.IFNA(VLOOKUP($B1378,ref!$B$2:$C$34,2,FALSE),"NA")</f>
        <v>Spot</v>
      </c>
      <c r="D1378" s="5" t="s">
        <v>7</v>
      </c>
      <c r="E1378">
        <v>8</v>
      </c>
      <c r="F1378" s="1">
        <v>3.15</v>
      </c>
      <c r="G1378" s="1">
        <v>2.72</v>
      </c>
      <c r="H1378" s="10">
        <f t="shared" si="21"/>
        <v>0.13650793650793647</v>
      </c>
    </row>
    <row r="1379" spans="1:8" x14ac:dyDescent="0.25">
      <c r="A1379" s="4">
        <v>45753</v>
      </c>
      <c r="B1379" t="s">
        <v>14</v>
      </c>
      <c r="C1379" t="str">
        <f>_xlfn.IFNA(VLOOKUP($B1379,ref!$B$2:$C$34,2,FALSE),"NA")</f>
        <v>Spot</v>
      </c>
      <c r="D1379" s="5" t="s">
        <v>7</v>
      </c>
      <c r="E1379">
        <v>8</v>
      </c>
      <c r="F1379" s="1">
        <v>3.15</v>
      </c>
      <c r="G1379" s="1">
        <v>2.72</v>
      </c>
      <c r="H1379" s="10">
        <f t="shared" si="21"/>
        <v>0.13650793650793647</v>
      </c>
    </row>
    <row r="1380" spans="1:8" x14ac:dyDescent="0.25">
      <c r="A1380" s="4">
        <v>45753</v>
      </c>
      <c r="B1380" t="s">
        <v>14</v>
      </c>
      <c r="C1380" t="str">
        <f>_xlfn.IFNA(VLOOKUP($B1380,ref!$B$2:$C$34,2,FALSE),"NA")</f>
        <v>Spot</v>
      </c>
      <c r="D1380" s="5" t="s">
        <v>7</v>
      </c>
      <c r="E1380">
        <v>8</v>
      </c>
      <c r="F1380" s="1">
        <v>3.15</v>
      </c>
      <c r="G1380" s="1">
        <v>2.72</v>
      </c>
      <c r="H1380" s="10">
        <f t="shared" si="21"/>
        <v>0.13650793650793647</v>
      </c>
    </row>
    <row r="1381" spans="1:8" x14ac:dyDescent="0.25">
      <c r="A1381" s="4">
        <v>45752</v>
      </c>
      <c r="B1381" t="s">
        <v>14</v>
      </c>
      <c r="C1381" t="str">
        <f>_xlfn.IFNA(VLOOKUP($B1381,ref!$B$2:$C$34,2,FALSE),"NA")</f>
        <v>Spot</v>
      </c>
      <c r="D1381" s="5" t="s">
        <v>7</v>
      </c>
      <c r="E1381">
        <v>8</v>
      </c>
      <c r="F1381" s="1">
        <v>3.1</v>
      </c>
      <c r="G1381" s="1">
        <v>2.7</v>
      </c>
      <c r="H1381" s="10">
        <f t="shared" si="21"/>
        <v>0.12903225806451613</v>
      </c>
    </row>
    <row r="1382" spans="1:8" x14ac:dyDescent="0.25">
      <c r="A1382" s="4">
        <v>45752</v>
      </c>
      <c r="B1382" t="s">
        <v>14</v>
      </c>
      <c r="C1382" t="str">
        <f>_xlfn.IFNA(VLOOKUP($B1382,ref!$B$2:$C$34,2,FALSE),"NA")</f>
        <v>Spot</v>
      </c>
      <c r="D1382" s="5" t="s">
        <v>7</v>
      </c>
      <c r="E1382">
        <v>8</v>
      </c>
      <c r="F1382" s="1">
        <v>3.1</v>
      </c>
      <c r="G1382" s="1">
        <v>2.7</v>
      </c>
      <c r="H1382" s="10">
        <f t="shared" si="21"/>
        <v>0.12903225806451613</v>
      </c>
    </row>
    <row r="1383" spans="1:8" x14ac:dyDescent="0.25">
      <c r="A1383" s="4">
        <v>45752</v>
      </c>
      <c r="B1383" t="s">
        <v>14</v>
      </c>
      <c r="C1383" t="str">
        <f>_xlfn.IFNA(VLOOKUP($B1383,ref!$B$2:$C$34,2,FALSE),"NA")</f>
        <v>Spot</v>
      </c>
      <c r="D1383" s="5" t="s">
        <v>7</v>
      </c>
      <c r="E1383">
        <v>8</v>
      </c>
      <c r="F1383" s="1">
        <v>3.1</v>
      </c>
      <c r="G1383" s="1">
        <v>2.7</v>
      </c>
      <c r="H1383" s="10">
        <f t="shared" si="21"/>
        <v>0.12903225806451613</v>
      </c>
    </row>
    <row r="1384" spans="1:8" x14ac:dyDescent="0.25">
      <c r="A1384" s="4">
        <v>45752</v>
      </c>
      <c r="B1384" t="s">
        <v>14</v>
      </c>
      <c r="C1384" t="str">
        <f>_xlfn.IFNA(VLOOKUP($B1384,ref!$B$2:$C$34,2,FALSE),"NA")</f>
        <v>Spot</v>
      </c>
      <c r="D1384" s="5" t="s">
        <v>7</v>
      </c>
      <c r="E1384">
        <v>8</v>
      </c>
      <c r="F1384" s="1">
        <v>3.1</v>
      </c>
      <c r="G1384" s="1">
        <v>2.7</v>
      </c>
      <c r="H1384" s="10">
        <f t="shared" si="21"/>
        <v>0.12903225806451613</v>
      </c>
    </row>
    <row r="1385" spans="1:8" x14ac:dyDescent="0.25">
      <c r="A1385" s="4">
        <v>45752</v>
      </c>
      <c r="B1385" t="s">
        <v>14</v>
      </c>
      <c r="C1385" t="str">
        <f>_xlfn.IFNA(VLOOKUP($B1385,ref!$B$2:$C$34,2,FALSE),"NA")</f>
        <v>Spot</v>
      </c>
      <c r="D1385" s="5" t="s">
        <v>7</v>
      </c>
      <c r="E1385">
        <v>8</v>
      </c>
      <c r="F1385" s="1">
        <v>3.1</v>
      </c>
      <c r="G1385" s="1">
        <v>2.7</v>
      </c>
      <c r="H1385" s="10">
        <f t="shared" si="21"/>
        <v>0.12903225806451613</v>
      </c>
    </row>
    <row r="1386" spans="1:8" x14ac:dyDescent="0.25">
      <c r="A1386" s="4">
        <v>45752</v>
      </c>
      <c r="B1386" t="s">
        <v>14</v>
      </c>
      <c r="C1386" t="str">
        <f>_xlfn.IFNA(VLOOKUP($B1386,ref!$B$2:$C$34,2,FALSE),"NA")</f>
        <v>Spot</v>
      </c>
      <c r="D1386" s="5" t="s">
        <v>7</v>
      </c>
      <c r="E1386">
        <v>8</v>
      </c>
      <c r="F1386" s="1">
        <v>3.1</v>
      </c>
      <c r="G1386" s="1">
        <v>2.7</v>
      </c>
      <c r="H1386" s="10">
        <f t="shared" si="21"/>
        <v>0.12903225806451613</v>
      </c>
    </row>
    <row r="1387" spans="1:8" x14ac:dyDescent="0.25">
      <c r="A1387" s="4">
        <v>45752</v>
      </c>
      <c r="B1387" t="s">
        <v>14</v>
      </c>
      <c r="C1387" t="str">
        <f>_xlfn.IFNA(VLOOKUP($B1387,ref!$B$2:$C$34,2,FALSE),"NA")</f>
        <v>Spot</v>
      </c>
      <c r="D1387" s="5" t="s">
        <v>7</v>
      </c>
      <c r="E1387">
        <v>8</v>
      </c>
      <c r="F1387" s="1">
        <v>3.1</v>
      </c>
      <c r="G1387" s="1">
        <v>2.7</v>
      </c>
      <c r="H1387" s="10">
        <f t="shared" si="21"/>
        <v>0.12903225806451613</v>
      </c>
    </row>
    <row r="1388" spans="1:8" x14ac:dyDescent="0.25">
      <c r="A1388" s="4">
        <v>45750</v>
      </c>
      <c r="B1388" t="s">
        <v>14</v>
      </c>
      <c r="C1388" t="str">
        <f>_xlfn.IFNA(VLOOKUP($B1388,ref!$B$2:$C$34,2,FALSE),"NA")</f>
        <v>Spot</v>
      </c>
      <c r="D1388" s="5" t="s">
        <v>7</v>
      </c>
      <c r="E1388">
        <v>8</v>
      </c>
      <c r="F1388" s="1">
        <v>3.1</v>
      </c>
      <c r="G1388" s="1">
        <v>2.7</v>
      </c>
      <c r="H1388" s="10">
        <f t="shared" si="21"/>
        <v>0.12903225806451613</v>
      </c>
    </row>
    <row r="1389" spans="1:8" x14ac:dyDescent="0.25">
      <c r="A1389" s="4">
        <v>45750</v>
      </c>
      <c r="B1389" t="s">
        <v>14</v>
      </c>
      <c r="C1389" t="str">
        <f>_xlfn.IFNA(VLOOKUP($B1389,ref!$B$2:$C$34,2,FALSE),"NA")</f>
        <v>Spot</v>
      </c>
      <c r="D1389" s="5" t="s">
        <v>7</v>
      </c>
      <c r="E1389">
        <v>8</v>
      </c>
      <c r="F1389" s="1">
        <v>3.1</v>
      </c>
      <c r="G1389" s="1">
        <v>2.7</v>
      </c>
      <c r="H1389" s="10">
        <f t="shared" si="21"/>
        <v>0.12903225806451613</v>
      </c>
    </row>
    <row r="1390" spans="1:8" x14ac:dyDescent="0.25">
      <c r="A1390" s="4">
        <v>45750</v>
      </c>
      <c r="B1390" t="s">
        <v>14</v>
      </c>
      <c r="C1390" t="str">
        <f>_xlfn.IFNA(VLOOKUP($B1390,ref!$B$2:$C$34,2,FALSE),"NA")</f>
        <v>Spot</v>
      </c>
      <c r="D1390" s="5" t="s">
        <v>7</v>
      </c>
      <c r="E1390">
        <v>8</v>
      </c>
      <c r="F1390" s="1">
        <v>3.1</v>
      </c>
      <c r="G1390" s="1">
        <v>2.7</v>
      </c>
      <c r="H1390" s="10">
        <f t="shared" si="21"/>
        <v>0.12903225806451613</v>
      </c>
    </row>
    <row r="1391" spans="1:8" x14ac:dyDescent="0.25">
      <c r="A1391" s="4">
        <v>45750</v>
      </c>
      <c r="B1391" t="s">
        <v>14</v>
      </c>
      <c r="C1391" t="str">
        <f>_xlfn.IFNA(VLOOKUP($B1391,ref!$B$2:$C$34,2,FALSE),"NA")</f>
        <v>Spot</v>
      </c>
      <c r="D1391" s="5" t="s">
        <v>7</v>
      </c>
      <c r="E1391">
        <v>8</v>
      </c>
      <c r="F1391" s="1">
        <v>3.1</v>
      </c>
      <c r="G1391" s="1">
        <v>2.7</v>
      </c>
      <c r="H1391" s="10">
        <f t="shared" si="21"/>
        <v>0.12903225806451613</v>
      </c>
    </row>
    <row r="1392" spans="1:8" x14ac:dyDescent="0.25">
      <c r="A1392" s="4">
        <v>45750</v>
      </c>
      <c r="B1392" t="s">
        <v>14</v>
      </c>
      <c r="C1392" t="str">
        <f>_xlfn.IFNA(VLOOKUP($B1392,ref!$B$2:$C$34,2,FALSE),"NA")</f>
        <v>Spot</v>
      </c>
      <c r="D1392" s="5" t="s">
        <v>7</v>
      </c>
      <c r="E1392">
        <v>8</v>
      </c>
      <c r="F1392" s="1">
        <v>3.1</v>
      </c>
      <c r="G1392" s="1">
        <v>2.7</v>
      </c>
      <c r="H1392" s="10">
        <f t="shared" si="21"/>
        <v>0.12903225806451613</v>
      </c>
    </row>
    <row r="1393" spans="1:8" x14ac:dyDescent="0.25">
      <c r="A1393" s="4">
        <v>45750</v>
      </c>
      <c r="B1393" t="s">
        <v>14</v>
      </c>
      <c r="C1393" t="str">
        <f>_xlfn.IFNA(VLOOKUP($B1393,ref!$B$2:$C$34,2,FALSE),"NA")</f>
        <v>Spot</v>
      </c>
      <c r="D1393" s="5" t="s">
        <v>7</v>
      </c>
      <c r="E1393">
        <v>8</v>
      </c>
      <c r="F1393" s="1">
        <v>3.1</v>
      </c>
      <c r="G1393" s="1">
        <v>2.7</v>
      </c>
      <c r="H1393" s="10">
        <f t="shared" si="21"/>
        <v>0.12903225806451613</v>
      </c>
    </row>
    <row r="1394" spans="1:8" x14ac:dyDescent="0.25">
      <c r="A1394" s="4">
        <v>45750</v>
      </c>
      <c r="B1394" t="s">
        <v>17</v>
      </c>
      <c r="C1394" t="str">
        <f>_xlfn.IFNA(VLOOKUP($B1394,ref!$B$2:$C$34,2,FALSE),"NA")</f>
        <v>6 Month</v>
      </c>
      <c r="D1394" s="5" t="s">
        <v>15</v>
      </c>
      <c r="E1394">
        <v>8</v>
      </c>
      <c r="F1394" s="1">
        <v>0.32</v>
      </c>
      <c r="G1394" s="1">
        <v>0.28999999999999998</v>
      </c>
      <c r="H1394" s="10">
        <f t="shared" si="21"/>
        <v>9.3750000000000111E-2</v>
      </c>
    </row>
    <row r="1395" spans="1:8" x14ac:dyDescent="0.25">
      <c r="A1395" s="4">
        <v>45750</v>
      </c>
      <c r="B1395" t="s">
        <v>14</v>
      </c>
      <c r="C1395" t="str">
        <f>_xlfn.IFNA(VLOOKUP($B1395,ref!$B$2:$C$34,2,FALSE),"NA")</f>
        <v>Spot</v>
      </c>
      <c r="D1395" s="5" t="s">
        <v>7</v>
      </c>
      <c r="E1395">
        <v>8</v>
      </c>
      <c r="F1395" s="1">
        <v>3.2</v>
      </c>
      <c r="G1395" s="1">
        <v>2.7</v>
      </c>
      <c r="H1395" s="10">
        <f t="shared" si="21"/>
        <v>0.15625</v>
      </c>
    </row>
    <row r="1396" spans="1:8" x14ac:dyDescent="0.25">
      <c r="A1396" s="4">
        <v>45750</v>
      </c>
      <c r="B1396" t="s">
        <v>14</v>
      </c>
      <c r="C1396" t="str">
        <f>_xlfn.IFNA(VLOOKUP($B1396,ref!$B$2:$C$34,2,FALSE),"NA")</f>
        <v>Spot</v>
      </c>
      <c r="D1396" s="5" t="s">
        <v>7</v>
      </c>
      <c r="E1396">
        <v>8</v>
      </c>
      <c r="F1396" s="1">
        <v>3.1</v>
      </c>
      <c r="G1396" s="1">
        <v>2.7</v>
      </c>
      <c r="H1396" s="10">
        <f t="shared" si="21"/>
        <v>0.12903225806451613</v>
      </c>
    </row>
    <row r="1397" spans="1:8" x14ac:dyDescent="0.25">
      <c r="A1397" s="4">
        <v>45749</v>
      </c>
      <c r="B1397" t="s">
        <v>14</v>
      </c>
      <c r="C1397" t="str">
        <f>_xlfn.IFNA(VLOOKUP($B1397,ref!$B$2:$C$34,2,FALSE),"NA")</f>
        <v>Spot</v>
      </c>
      <c r="D1397" s="5" t="s">
        <v>7</v>
      </c>
      <c r="E1397">
        <v>8</v>
      </c>
      <c r="F1397" s="1">
        <v>3.15</v>
      </c>
      <c r="G1397" s="1">
        <v>2.72</v>
      </c>
      <c r="H1397" s="10">
        <f t="shared" si="21"/>
        <v>0.13650793650793647</v>
      </c>
    </row>
    <row r="1398" spans="1:8" x14ac:dyDescent="0.25">
      <c r="A1398" s="4">
        <v>45749</v>
      </c>
      <c r="B1398" t="s">
        <v>14</v>
      </c>
      <c r="C1398" t="str">
        <f>_xlfn.IFNA(VLOOKUP($B1398,ref!$B$2:$C$34,2,FALSE),"NA")</f>
        <v>Spot</v>
      </c>
      <c r="D1398" s="5" t="s">
        <v>7</v>
      </c>
      <c r="E1398">
        <v>8</v>
      </c>
      <c r="F1398" s="1">
        <v>3.15</v>
      </c>
      <c r="G1398" s="1">
        <v>2.72</v>
      </c>
      <c r="H1398" s="10">
        <f t="shared" si="21"/>
        <v>0.13650793650793647</v>
      </c>
    </row>
    <row r="1399" spans="1:8" x14ac:dyDescent="0.25">
      <c r="A1399" s="4">
        <v>45749</v>
      </c>
      <c r="B1399" t="s">
        <v>14</v>
      </c>
      <c r="C1399" t="str">
        <f>_xlfn.IFNA(VLOOKUP($B1399,ref!$B$2:$C$34,2,FALSE),"NA")</f>
        <v>Spot</v>
      </c>
      <c r="D1399" s="5" t="s">
        <v>7</v>
      </c>
      <c r="E1399">
        <v>8</v>
      </c>
      <c r="F1399" s="1">
        <v>3.15</v>
      </c>
      <c r="G1399" s="1">
        <v>2.7</v>
      </c>
      <c r="H1399" s="10">
        <f t="shared" si="21"/>
        <v>0.14285714285714279</v>
      </c>
    </row>
    <row r="1400" spans="1:8" x14ac:dyDescent="0.25">
      <c r="A1400" s="4">
        <v>45749</v>
      </c>
      <c r="B1400" t="s">
        <v>14</v>
      </c>
      <c r="C1400" t="str">
        <f>_xlfn.IFNA(VLOOKUP($B1400,ref!$B$2:$C$34,2,FALSE),"NA")</f>
        <v>Spot</v>
      </c>
      <c r="D1400" s="5" t="s">
        <v>7</v>
      </c>
      <c r="E1400">
        <v>8</v>
      </c>
      <c r="F1400" s="1">
        <v>3.15</v>
      </c>
      <c r="G1400" s="1">
        <v>2.72</v>
      </c>
      <c r="H1400" s="10">
        <f t="shared" si="21"/>
        <v>0.13650793650793647</v>
      </c>
    </row>
    <row r="1401" spans="1:8" x14ac:dyDescent="0.25">
      <c r="A1401" s="4">
        <v>45749</v>
      </c>
      <c r="B1401" t="s">
        <v>14</v>
      </c>
      <c r="C1401" t="str">
        <f>_xlfn.IFNA(VLOOKUP($B1401,ref!$B$2:$C$34,2,FALSE),"NA")</f>
        <v>Spot</v>
      </c>
      <c r="D1401" s="5" t="s">
        <v>7</v>
      </c>
      <c r="E1401">
        <v>8</v>
      </c>
      <c r="F1401" s="1">
        <v>3.2</v>
      </c>
      <c r="G1401" s="1">
        <v>2.7</v>
      </c>
      <c r="H1401" s="10">
        <f t="shared" si="21"/>
        <v>0.15625</v>
      </c>
    </row>
    <row r="1402" spans="1:8" x14ac:dyDescent="0.25">
      <c r="A1402" s="4">
        <v>45749</v>
      </c>
      <c r="B1402" t="s">
        <v>14</v>
      </c>
      <c r="C1402" t="str">
        <f>_xlfn.IFNA(VLOOKUP($B1402,ref!$B$2:$C$34,2,FALSE),"NA")</f>
        <v>Spot</v>
      </c>
      <c r="D1402" s="5" t="s">
        <v>7</v>
      </c>
      <c r="E1402">
        <v>8</v>
      </c>
      <c r="F1402" s="1">
        <v>3.15</v>
      </c>
      <c r="G1402" s="1">
        <v>2.72</v>
      </c>
      <c r="H1402" s="10">
        <f t="shared" si="21"/>
        <v>0.13650793650793647</v>
      </c>
    </row>
    <row r="1403" spans="1:8" x14ac:dyDescent="0.25">
      <c r="A1403" s="4">
        <v>45749</v>
      </c>
      <c r="B1403" t="s">
        <v>14</v>
      </c>
      <c r="C1403" t="str">
        <f>_xlfn.IFNA(VLOOKUP($B1403,ref!$B$2:$C$34,2,FALSE),"NA")</f>
        <v>Spot</v>
      </c>
      <c r="D1403" s="5" t="s">
        <v>7</v>
      </c>
      <c r="E1403">
        <v>8</v>
      </c>
      <c r="F1403" s="1">
        <v>3.2</v>
      </c>
      <c r="G1403" s="1">
        <v>2.7</v>
      </c>
      <c r="H1403" s="10">
        <f t="shared" si="21"/>
        <v>0.15625</v>
      </c>
    </row>
    <row r="1404" spans="1:8" x14ac:dyDescent="0.25">
      <c r="A1404" s="4">
        <v>45749</v>
      </c>
      <c r="B1404" t="s">
        <v>14</v>
      </c>
      <c r="C1404" t="str">
        <f>_xlfn.IFNA(VLOOKUP($B1404,ref!$B$2:$C$34,2,FALSE),"NA")</f>
        <v>Spot</v>
      </c>
      <c r="D1404" s="5" t="s">
        <v>7</v>
      </c>
      <c r="E1404">
        <v>8</v>
      </c>
      <c r="F1404" s="1">
        <v>3.15</v>
      </c>
      <c r="G1404" s="1">
        <v>2.72</v>
      </c>
      <c r="H1404" s="10">
        <f t="shared" si="21"/>
        <v>0.13650793650793647</v>
      </c>
    </row>
    <row r="1405" spans="1:8" x14ac:dyDescent="0.25">
      <c r="A1405" s="4">
        <v>45749</v>
      </c>
      <c r="B1405" t="s">
        <v>14</v>
      </c>
      <c r="C1405" t="str">
        <f>_xlfn.IFNA(VLOOKUP($B1405,ref!$B$2:$C$34,2,FALSE),"NA")</f>
        <v>Spot</v>
      </c>
      <c r="D1405" s="5" t="s">
        <v>7</v>
      </c>
      <c r="E1405">
        <v>8</v>
      </c>
      <c r="F1405" s="1">
        <v>3.2</v>
      </c>
      <c r="G1405" s="1">
        <v>2.7</v>
      </c>
      <c r="H1405" s="10">
        <f t="shared" si="21"/>
        <v>0.15625</v>
      </c>
    </row>
    <row r="1406" spans="1:8" x14ac:dyDescent="0.25">
      <c r="A1406" s="4">
        <v>45749</v>
      </c>
      <c r="B1406" t="s">
        <v>14</v>
      </c>
      <c r="C1406" t="str">
        <f>_xlfn.IFNA(VLOOKUP($B1406,ref!$B$2:$C$34,2,FALSE),"NA")</f>
        <v>Spot</v>
      </c>
      <c r="D1406" s="5" t="s">
        <v>7</v>
      </c>
      <c r="E1406">
        <v>8</v>
      </c>
      <c r="F1406" s="1">
        <v>3.15</v>
      </c>
      <c r="G1406" s="1">
        <v>2.72</v>
      </c>
      <c r="H1406" s="10">
        <f t="shared" si="21"/>
        <v>0.13650793650793647</v>
      </c>
    </row>
    <row r="1407" spans="1:8" x14ac:dyDescent="0.25">
      <c r="A1407" s="4">
        <v>45749</v>
      </c>
      <c r="B1407" t="s">
        <v>14</v>
      </c>
      <c r="C1407" t="str">
        <f>_xlfn.IFNA(VLOOKUP($B1407,ref!$B$2:$C$34,2,FALSE),"NA")</f>
        <v>Spot</v>
      </c>
      <c r="D1407" s="5" t="s">
        <v>7</v>
      </c>
      <c r="E1407">
        <v>8</v>
      </c>
      <c r="F1407" s="1">
        <v>3.2</v>
      </c>
      <c r="G1407" s="1">
        <v>2.7</v>
      </c>
      <c r="H1407" s="10">
        <f t="shared" si="21"/>
        <v>0.15625</v>
      </c>
    </row>
    <row r="1408" spans="1:8" x14ac:dyDescent="0.25">
      <c r="A1408" s="4">
        <v>45749</v>
      </c>
      <c r="B1408" t="s">
        <v>14</v>
      </c>
      <c r="C1408" t="str">
        <f>_xlfn.IFNA(VLOOKUP($B1408,ref!$B$2:$C$34,2,FALSE),"NA")</f>
        <v>Spot</v>
      </c>
      <c r="D1408" s="5" t="s">
        <v>7</v>
      </c>
      <c r="E1408">
        <v>8</v>
      </c>
      <c r="F1408" s="1">
        <v>3.15</v>
      </c>
      <c r="G1408" s="1">
        <v>2.72</v>
      </c>
      <c r="H1408" s="10">
        <f t="shared" si="21"/>
        <v>0.13650793650793647</v>
      </c>
    </row>
    <row r="1409" spans="1:8" x14ac:dyDescent="0.25">
      <c r="A1409" s="4">
        <v>45748</v>
      </c>
      <c r="C1409" t="str">
        <f>_xlfn.IFNA(VLOOKUP($B1409,ref!$B$2:$C$34,2,FALSE),"NA")</f>
        <v>NA</v>
      </c>
      <c r="D1409" s="5">
        <v>4090</v>
      </c>
      <c r="E1409">
        <v>8</v>
      </c>
      <c r="F1409" s="1">
        <v>0.5</v>
      </c>
      <c r="G1409" s="1">
        <v>0.44</v>
      </c>
      <c r="H1409" s="10">
        <f t="shared" si="21"/>
        <v>0.12</v>
      </c>
    </row>
    <row r="1410" spans="1:8" x14ac:dyDescent="0.25">
      <c r="A1410" s="4">
        <v>45748</v>
      </c>
      <c r="C1410" t="str">
        <f>_xlfn.IFNA(VLOOKUP($B1410,ref!$B$2:$C$34,2,FALSE),"NA")</f>
        <v>NA</v>
      </c>
      <c r="D1410" s="5">
        <v>4090</v>
      </c>
      <c r="E1410">
        <v>8</v>
      </c>
      <c r="F1410" s="1">
        <v>0.5</v>
      </c>
      <c r="G1410" s="1">
        <v>0.44</v>
      </c>
      <c r="H1410" s="10">
        <f t="shared" si="21"/>
        <v>0.12</v>
      </c>
    </row>
    <row r="1411" spans="1:8" x14ac:dyDescent="0.25">
      <c r="A1411" s="4">
        <v>45748</v>
      </c>
      <c r="C1411" t="str">
        <f>_xlfn.IFNA(VLOOKUP($B1411,ref!$B$2:$C$34,2,FALSE),"NA")</f>
        <v>NA</v>
      </c>
      <c r="D1411" s="5">
        <v>4090</v>
      </c>
      <c r="E1411">
        <v>8</v>
      </c>
      <c r="F1411" s="1">
        <v>0.5</v>
      </c>
      <c r="G1411" s="1">
        <v>0.44</v>
      </c>
      <c r="H1411" s="10">
        <f t="shared" ref="H1411:H1474" si="22">1-(G1411/F1411)</f>
        <v>0.12</v>
      </c>
    </row>
    <row r="1412" spans="1:8" x14ac:dyDescent="0.25">
      <c r="A1412" s="4">
        <v>45748</v>
      </c>
      <c r="C1412" t="str">
        <f>_xlfn.IFNA(VLOOKUP($B1412,ref!$B$2:$C$34,2,FALSE),"NA")</f>
        <v>NA</v>
      </c>
      <c r="D1412" s="5">
        <v>4090</v>
      </c>
      <c r="E1412">
        <v>8</v>
      </c>
      <c r="F1412" s="1">
        <v>0.5</v>
      </c>
      <c r="G1412" s="1">
        <v>0.44</v>
      </c>
      <c r="H1412" s="10">
        <f t="shared" si="22"/>
        <v>0.12</v>
      </c>
    </row>
    <row r="1413" spans="1:8" x14ac:dyDescent="0.25">
      <c r="A1413" s="4">
        <v>45748</v>
      </c>
      <c r="C1413" t="str">
        <f>_xlfn.IFNA(VLOOKUP($B1413,ref!$B$2:$C$34,2,FALSE),"NA")</f>
        <v>NA</v>
      </c>
      <c r="D1413" s="5">
        <v>4090</v>
      </c>
      <c r="E1413">
        <v>8</v>
      </c>
      <c r="F1413" s="1">
        <v>0.5</v>
      </c>
      <c r="G1413" s="1">
        <v>0.44</v>
      </c>
      <c r="H1413" s="10">
        <f t="shared" si="22"/>
        <v>0.12</v>
      </c>
    </row>
    <row r="1414" spans="1:8" x14ac:dyDescent="0.25">
      <c r="A1414" s="4">
        <v>45748</v>
      </c>
      <c r="B1414" t="s">
        <v>12</v>
      </c>
      <c r="C1414" t="str">
        <f>_xlfn.IFNA(VLOOKUP($B1414,ref!$B$2:$C$34,2,FALSE),"NA")</f>
        <v>Spot</v>
      </c>
      <c r="D1414" s="5">
        <v>4090</v>
      </c>
      <c r="E1414">
        <v>8</v>
      </c>
      <c r="F1414" s="1">
        <v>0.5</v>
      </c>
      <c r="G1414" s="1">
        <v>0.44</v>
      </c>
      <c r="H1414" s="10">
        <f t="shared" si="22"/>
        <v>0.12</v>
      </c>
    </row>
    <row r="1415" spans="1:8" x14ac:dyDescent="0.25">
      <c r="A1415" s="4">
        <v>45748</v>
      </c>
      <c r="C1415" t="str">
        <f>_xlfn.IFNA(VLOOKUP($B1415,ref!$B$2:$C$34,2,FALSE),"NA")</f>
        <v>NA</v>
      </c>
      <c r="D1415" s="5">
        <v>4090</v>
      </c>
      <c r="E1415">
        <v>8</v>
      </c>
      <c r="F1415" s="1">
        <v>0.5</v>
      </c>
      <c r="G1415" s="1">
        <v>0.44</v>
      </c>
      <c r="H1415" s="10">
        <f t="shared" si="22"/>
        <v>0.12</v>
      </c>
    </row>
    <row r="1416" spans="1:8" x14ac:dyDescent="0.25">
      <c r="A1416" s="4">
        <v>45748</v>
      </c>
      <c r="C1416" t="str">
        <f>_xlfn.IFNA(VLOOKUP($B1416,ref!$B$2:$C$34,2,FALSE),"NA")</f>
        <v>NA</v>
      </c>
      <c r="D1416" s="5">
        <v>4090</v>
      </c>
      <c r="E1416">
        <v>8</v>
      </c>
      <c r="F1416" s="1">
        <v>0.5</v>
      </c>
      <c r="G1416" s="1">
        <v>0.44</v>
      </c>
      <c r="H1416" s="10">
        <f t="shared" si="22"/>
        <v>0.12</v>
      </c>
    </row>
    <row r="1417" spans="1:8" x14ac:dyDescent="0.25">
      <c r="A1417" s="4">
        <v>45748</v>
      </c>
      <c r="C1417" t="str">
        <f>_xlfn.IFNA(VLOOKUP($B1417,ref!$B$2:$C$34,2,FALSE),"NA")</f>
        <v>NA</v>
      </c>
      <c r="D1417" s="5">
        <v>4090</v>
      </c>
      <c r="E1417">
        <v>8</v>
      </c>
      <c r="F1417" s="1">
        <v>0.5</v>
      </c>
      <c r="G1417" s="1">
        <v>0.44</v>
      </c>
      <c r="H1417" s="10">
        <f t="shared" si="22"/>
        <v>0.12</v>
      </c>
    </row>
    <row r="1418" spans="1:8" x14ac:dyDescent="0.25">
      <c r="A1418" s="4">
        <v>45748</v>
      </c>
      <c r="C1418" t="str">
        <f>_xlfn.IFNA(VLOOKUP($B1418,ref!$B$2:$C$34,2,FALSE),"NA")</f>
        <v>NA</v>
      </c>
      <c r="D1418" s="5">
        <v>4090</v>
      </c>
      <c r="E1418">
        <v>8</v>
      </c>
      <c r="F1418" s="1">
        <v>0.5</v>
      </c>
      <c r="G1418" s="1">
        <v>0.44</v>
      </c>
      <c r="H1418" s="10">
        <f t="shared" si="22"/>
        <v>0.12</v>
      </c>
    </row>
    <row r="1419" spans="1:8" x14ac:dyDescent="0.25">
      <c r="A1419" s="4">
        <v>45748</v>
      </c>
      <c r="B1419" t="s">
        <v>12</v>
      </c>
      <c r="C1419" t="str">
        <f>_xlfn.IFNA(VLOOKUP($B1419,ref!$B$2:$C$34,2,FALSE),"NA")</f>
        <v>Spot</v>
      </c>
      <c r="D1419" s="5">
        <v>4090</v>
      </c>
      <c r="E1419">
        <v>8</v>
      </c>
      <c r="F1419" s="1">
        <v>0.5</v>
      </c>
      <c r="G1419" s="1">
        <v>0.44</v>
      </c>
      <c r="H1419" s="10">
        <f t="shared" si="22"/>
        <v>0.12</v>
      </c>
    </row>
    <row r="1420" spans="1:8" x14ac:dyDescent="0.25">
      <c r="A1420" s="4">
        <v>45747</v>
      </c>
      <c r="B1420" t="s">
        <v>9</v>
      </c>
      <c r="C1420" t="str">
        <f>_xlfn.IFNA(VLOOKUP($B1420,ref!$B$2:$C$34,2,FALSE),"NA")</f>
        <v>12 Month</v>
      </c>
      <c r="D1420" s="5" t="s">
        <v>22</v>
      </c>
      <c r="E1420">
        <v>8</v>
      </c>
      <c r="F1420" s="1">
        <v>0.95</v>
      </c>
      <c r="H1420" s="10">
        <f t="shared" si="22"/>
        <v>1</v>
      </c>
    </row>
    <row r="1421" spans="1:8" x14ac:dyDescent="0.25">
      <c r="A1421" s="4">
        <v>45747</v>
      </c>
      <c r="B1421" t="s">
        <v>9</v>
      </c>
      <c r="C1421" t="str">
        <f>_xlfn.IFNA(VLOOKUP($B1421,ref!$B$2:$C$34,2,FALSE),"NA")</f>
        <v>12 Month</v>
      </c>
      <c r="D1421" s="5" t="s">
        <v>22</v>
      </c>
      <c r="E1421">
        <v>8</v>
      </c>
      <c r="F1421" s="1">
        <v>0.95</v>
      </c>
      <c r="H1421" s="10">
        <f t="shared" si="22"/>
        <v>1</v>
      </c>
    </row>
    <row r="1422" spans="1:8" x14ac:dyDescent="0.25">
      <c r="A1422" s="4">
        <v>45746</v>
      </c>
      <c r="B1422" t="s">
        <v>14</v>
      </c>
      <c r="C1422" t="str">
        <f>_xlfn.IFNA(VLOOKUP($B1422,ref!$B$2:$C$34,2,FALSE),"NA")</f>
        <v>Spot</v>
      </c>
      <c r="D1422" s="5" t="s">
        <v>7</v>
      </c>
      <c r="E1422">
        <v>8</v>
      </c>
      <c r="F1422" s="1">
        <v>3.15</v>
      </c>
      <c r="G1422" s="1">
        <v>2.72</v>
      </c>
      <c r="H1422" s="10">
        <f t="shared" si="22"/>
        <v>0.13650793650793647</v>
      </c>
    </row>
    <row r="1423" spans="1:8" x14ac:dyDescent="0.25">
      <c r="A1423" s="4">
        <v>45746</v>
      </c>
      <c r="B1423" t="s">
        <v>12</v>
      </c>
      <c r="C1423" t="str">
        <f>_xlfn.IFNA(VLOOKUP($B1423,ref!$B$2:$C$34,2,FALSE),"NA")</f>
        <v>Spot</v>
      </c>
      <c r="D1423" s="5" t="s">
        <v>7</v>
      </c>
      <c r="E1423">
        <v>8</v>
      </c>
      <c r="F1423" s="1">
        <v>3.3</v>
      </c>
      <c r="G1423" s="1">
        <v>3</v>
      </c>
      <c r="H1423" s="10">
        <f t="shared" si="22"/>
        <v>9.0909090909090828E-2</v>
      </c>
    </row>
    <row r="1424" spans="1:8" x14ac:dyDescent="0.25">
      <c r="A1424" s="4">
        <v>45743</v>
      </c>
      <c r="B1424" t="s">
        <v>12</v>
      </c>
      <c r="C1424" t="str">
        <f>_xlfn.IFNA(VLOOKUP($B1424,ref!$B$2:$C$34,2,FALSE),"NA")</f>
        <v>Spot</v>
      </c>
      <c r="D1424" s="5" t="s">
        <v>13</v>
      </c>
      <c r="E1424">
        <v>8</v>
      </c>
      <c r="F1424" s="1">
        <v>1.05</v>
      </c>
      <c r="G1424" s="1">
        <v>1</v>
      </c>
      <c r="H1424" s="10">
        <f t="shared" si="22"/>
        <v>4.7619047619047672E-2</v>
      </c>
    </row>
    <row r="1425" spans="1:8" x14ac:dyDescent="0.25">
      <c r="A1425" s="4">
        <v>45742</v>
      </c>
      <c r="B1425" t="s">
        <v>14</v>
      </c>
      <c r="C1425" t="str">
        <f>_xlfn.IFNA(VLOOKUP($B1425,ref!$B$2:$C$34,2,FALSE),"NA")</f>
        <v>Spot</v>
      </c>
      <c r="D1425" s="5" t="s">
        <v>7</v>
      </c>
      <c r="E1425">
        <v>8</v>
      </c>
      <c r="F1425" s="1">
        <v>3.15</v>
      </c>
      <c r="G1425" s="1">
        <v>2.72</v>
      </c>
      <c r="H1425" s="10">
        <f t="shared" si="22"/>
        <v>0.13650793650793647</v>
      </c>
    </row>
    <row r="1426" spans="1:8" x14ac:dyDescent="0.25">
      <c r="A1426" s="4">
        <v>45738</v>
      </c>
      <c r="B1426" t="s">
        <v>14</v>
      </c>
      <c r="C1426" t="str">
        <f>_xlfn.IFNA(VLOOKUP($B1426,ref!$B$2:$C$34,2,FALSE),"NA")</f>
        <v>Spot</v>
      </c>
      <c r="D1426" s="5" t="s">
        <v>7</v>
      </c>
      <c r="E1426">
        <v>8</v>
      </c>
      <c r="F1426" s="1">
        <v>3.15</v>
      </c>
      <c r="G1426" s="1">
        <v>2.72</v>
      </c>
      <c r="H1426" s="10">
        <f t="shared" si="22"/>
        <v>0.13650793650793647</v>
      </c>
    </row>
    <row r="1427" spans="1:8" x14ac:dyDescent="0.25">
      <c r="A1427" s="4">
        <v>45738</v>
      </c>
      <c r="B1427" t="s">
        <v>12</v>
      </c>
      <c r="C1427" t="str">
        <f>_xlfn.IFNA(VLOOKUP($B1427,ref!$B$2:$C$34,2,FALSE),"NA")</f>
        <v>Spot</v>
      </c>
      <c r="D1427" s="5">
        <v>4090</v>
      </c>
      <c r="E1427">
        <v>8</v>
      </c>
      <c r="F1427" s="1">
        <v>0.65</v>
      </c>
      <c r="G1427" s="1">
        <v>0.55300000000000005</v>
      </c>
      <c r="H1427" s="10">
        <f t="shared" si="22"/>
        <v>0.14923076923076917</v>
      </c>
    </row>
    <row r="1428" spans="1:8" x14ac:dyDescent="0.25">
      <c r="A1428" s="4">
        <v>45735</v>
      </c>
      <c r="B1428" t="s">
        <v>14</v>
      </c>
      <c r="C1428" t="str">
        <f>_xlfn.IFNA(VLOOKUP($B1428,ref!$B$2:$C$34,2,FALSE),"NA")</f>
        <v>Spot</v>
      </c>
      <c r="D1428" s="5" t="s">
        <v>7</v>
      </c>
      <c r="E1428">
        <v>8</v>
      </c>
      <c r="F1428" s="1">
        <v>3.15</v>
      </c>
      <c r="G1428" s="1">
        <v>2.72</v>
      </c>
      <c r="H1428" s="10">
        <f t="shared" si="22"/>
        <v>0.13650793650793647</v>
      </c>
    </row>
    <row r="1429" spans="1:8" x14ac:dyDescent="0.25">
      <c r="A1429" s="4">
        <v>45731</v>
      </c>
      <c r="B1429" t="s">
        <v>14</v>
      </c>
      <c r="C1429" t="str">
        <f>_xlfn.IFNA(VLOOKUP($B1429,ref!$B$2:$C$34,2,FALSE),"NA")</f>
        <v>Spot</v>
      </c>
      <c r="D1429" s="5" t="s">
        <v>7</v>
      </c>
      <c r="E1429">
        <v>8</v>
      </c>
      <c r="F1429" s="1">
        <v>3.15</v>
      </c>
      <c r="G1429" s="1">
        <v>2.72</v>
      </c>
      <c r="H1429" s="10">
        <f t="shared" si="22"/>
        <v>0.13650793650793647</v>
      </c>
    </row>
    <row r="1430" spans="1:8" x14ac:dyDescent="0.25">
      <c r="A1430" s="4">
        <v>45731</v>
      </c>
      <c r="B1430" t="s">
        <v>14</v>
      </c>
      <c r="C1430" t="str">
        <f>_xlfn.IFNA(VLOOKUP($B1430,ref!$B$2:$C$34,2,FALSE),"NA")</f>
        <v>Spot</v>
      </c>
      <c r="D1430" s="5" t="s">
        <v>7</v>
      </c>
      <c r="E1430">
        <v>8</v>
      </c>
      <c r="F1430" s="1">
        <v>3.3</v>
      </c>
      <c r="G1430" s="1">
        <v>2.9</v>
      </c>
      <c r="H1430" s="10">
        <f t="shared" si="22"/>
        <v>0.12121212121212122</v>
      </c>
    </row>
    <row r="1431" spans="1:8" x14ac:dyDescent="0.25">
      <c r="A1431" s="4">
        <v>45731</v>
      </c>
      <c r="B1431" t="s">
        <v>14</v>
      </c>
      <c r="C1431" t="str">
        <f>_xlfn.IFNA(VLOOKUP($B1431,ref!$B$2:$C$34,2,FALSE),"NA")</f>
        <v>Spot</v>
      </c>
      <c r="D1431" s="5" t="s">
        <v>7</v>
      </c>
      <c r="E1431">
        <v>8</v>
      </c>
      <c r="F1431" s="1">
        <v>3.3</v>
      </c>
      <c r="G1431" s="1">
        <v>2.9</v>
      </c>
      <c r="H1431" s="10">
        <f t="shared" si="22"/>
        <v>0.12121212121212122</v>
      </c>
    </row>
    <row r="1432" spans="1:8" x14ac:dyDescent="0.25">
      <c r="A1432" s="4">
        <v>45727</v>
      </c>
      <c r="B1432" t="s">
        <v>14</v>
      </c>
      <c r="C1432" t="str">
        <f>_xlfn.IFNA(VLOOKUP($B1432,ref!$B$2:$C$34,2,FALSE),"NA")</f>
        <v>Spot</v>
      </c>
      <c r="D1432" s="5" t="s">
        <v>7</v>
      </c>
      <c r="E1432">
        <v>8</v>
      </c>
      <c r="F1432" s="1">
        <v>3.3</v>
      </c>
      <c r="G1432" s="1">
        <v>2.9</v>
      </c>
      <c r="H1432" s="10">
        <f t="shared" si="22"/>
        <v>0.12121212121212122</v>
      </c>
    </row>
    <row r="1433" spans="1:8" x14ac:dyDescent="0.25">
      <c r="A1433" s="4">
        <v>45727</v>
      </c>
      <c r="B1433" t="s">
        <v>14</v>
      </c>
      <c r="C1433" t="str">
        <f>_xlfn.IFNA(VLOOKUP($B1433,ref!$B$2:$C$34,2,FALSE),"NA")</f>
        <v>Spot</v>
      </c>
      <c r="D1433" s="5" t="s">
        <v>7</v>
      </c>
      <c r="E1433">
        <v>8</v>
      </c>
      <c r="F1433" s="1">
        <v>3.15</v>
      </c>
      <c r="G1433" s="1">
        <v>2.72</v>
      </c>
      <c r="H1433" s="10">
        <f t="shared" si="22"/>
        <v>0.13650793650793647</v>
      </c>
    </row>
    <row r="1434" spans="1:8" x14ac:dyDescent="0.25">
      <c r="A1434" s="4">
        <v>45727</v>
      </c>
      <c r="B1434" t="s">
        <v>14</v>
      </c>
      <c r="C1434" t="str">
        <f>_xlfn.IFNA(VLOOKUP($B1434,ref!$B$2:$C$34,2,FALSE),"NA")</f>
        <v>Spot</v>
      </c>
      <c r="D1434" s="5" t="s">
        <v>7</v>
      </c>
      <c r="E1434">
        <v>8</v>
      </c>
      <c r="F1434" s="1">
        <v>3.3</v>
      </c>
      <c r="G1434" s="1">
        <v>2.9</v>
      </c>
      <c r="H1434" s="10">
        <f t="shared" si="22"/>
        <v>0.12121212121212122</v>
      </c>
    </row>
    <row r="1435" spans="1:8" x14ac:dyDescent="0.25">
      <c r="A1435" s="4">
        <v>45726</v>
      </c>
      <c r="B1435" t="s">
        <v>12</v>
      </c>
      <c r="C1435" t="str">
        <f>_xlfn.IFNA(VLOOKUP($B1435,ref!$B$2:$C$34,2,FALSE),"NA")</f>
        <v>Spot</v>
      </c>
      <c r="D1435" s="5" t="s">
        <v>7</v>
      </c>
      <c r="E1435">
        <v>8</v>
      </c>
      <c r="F1435" s="1">
        <v>2.6</v>
      </c>
      <c r="G1435" s="1">
        <v>2.4</v>
      </c>
      <c r="H1435" s="10">
        <f t="shared" si="22"/>
        <v>7.6923076923076983E-2</v>
      </c>
    </row>
    <row r="1436" spans="1:8" x14ac:dyDescent="0.25">
      <c r="A1436" s="4">
        <v>45726</v>
      </c>
      <c r="B1436" t="s">
        <v>6</v>
      </c>
      <c r="C1436" t="str">
        <f>_xlfn.IFNA(VLOOKUP($B1436,ref!$B$2:$C$34,2,FALSE),"NA")</f>
        <v>3 Month</v>
      </c>
      <c r="D1436" s="5" t="s">
        <v>7</v>
      </c>
      <c r="E1436">
        <v>8</v>
      </c>
      <c r="F1436" s="1">
        <v>2.6</v>
      </c>
      <c r="G1436" s="1">
        <v>2.4</v>
      </c>
      <c r="H1436" s="10">
        <f t="shared" si="22"/>
        <v>7.6923076923076983E-2</v>
      </c>
    </row>
    <row r="1437" spans="1:8" x14ac:dyDescent="0.25">
      <c r="A1437" s="4">
        <v>45724</v>
      </c>
      <c r="C1437" t="str">
        <f>_xlfn.IFNA(VLOOKUP($B1437,ref!$B$2:$C$34,2,FALSE),"NA")</f>
        <v>NA</v>
      </c>
      <c r="D1437" s="5" t="s">
        <v>15</v>
      </c>
      <c r="E1437">
        <v>8</v>
      </c>
      <c r="F1437" s="1">
        <v>0.35</v>
      </c>
      <c r="G1437" s="1">
        <v>0.32</v>
      </c>
      <c r="H1437" s="10">
        <f t="shared" si="22"/>
        <v>8.5714285714285632E-2</v>
      </c>
    </row>
    <row r="1438" spans="1:8" x14ac:dyDescent="0.25">
      <c r="A1438" s="4">
        <v>45724</v>
      </c>
      <c r="B1438" t="s">
        <v>14</v>
      </c>
      <c r="C1438" t="str">
        <f>_xlfn.IFNA(VLOOKUP($B1438,ref!$B$2:$C$34,2,FALSE),"NA")</f>
        <v>Spot</v>
      </c>
      <c r="D1438" s="5" t="s">
        <v>7</v>
      </c>
      <c r="E1438">
        <v>8</v>
      </c>
      <c r="F1438" s="1">
        <v>3.15</v>
      </c>
      <c r="G1438" s="1">
        <v>2.72</v>
      </c>
      <c r="H1438" s="10">
        <f t="shared" si="22"/>
        <v>0.13650793650793647</v>
      </c>
    </row>
    <row r="1439" spans="1:8" x14ac:dyDescent="0.25">
      <c r="A1439" s="4">
        <v>45724</v>
      </c>
      <c r="C1439" t="str">
        <f>_xlfn.IFNA(VLOOKUP($B1439,ref!$B$2:$C$34,2,FALSE),"NA")</f>
        <v>NA</v>
      </c>
      <c r="D1439" s="5" t="s">
        <v>15</v>
      </c>
      <c r="E1439">
        <v>8</v>
      </c>
      <c r="F1439" s="1">
        <v>0.32</v>
      </c>
      <c r="G1439" s="1">
        <v>0.28999999999999998</v>
      </c>
      <c r="H1439" s="10">
        <f t="shared" si="22"/>
        <v>9.3750000000000111E-2</v>
      </c>
    </row>
    <row r="1440" spans="1:8" x14ac:dyDescent="0.25">
      <c r="A1440" s="4">
        <v>45724</v>
      </c>
      <c r="B1440" t="s">
        <v>14</v>
      </c>
      <c r="C1440" t="str">
        <f>_xlfn.IFNA(VLOOKUP($B1440,ref!$B$2:$C$34,2,FALSE),"NA")</f>
        <v>Spot</v>
      </c>
      <c r="D1440" s="5" t="s">
        <v>7</v>
      </c>
      <c r="E1440">
        <v>8</v>
      </c>
      <c r="F1440" s="1">
        <v>3.3</v>
      </c>
      <c r="G1440" s="1">
        <v>2.9</v>
      </c>
      <c r="H1440" s="10">
        <f t="shared" si="22"/>
        <v>0.12121212121212122</v>
      </c>
    </row>
    <row r="1441" spans="1:8" x14ac:dyDescent="0.25">
      <c r="A1441" s="4">
        <v>45724</v>
      </c>
      <c r="B1441" t="s">
        <v>14</v>
      </c>
      <c r="C1441" t="str">
        <f>_xlfn.IFNA(VLOOKUP($B1441,ref!$B$2:$C$34,2,FALSE),"NA")</f>
        <v>Spot</v>
      </c>
      <c r="D1441" s="5" t="s">
        <v>7</v>
      </c>
      <c r="E1441">
        <v>8</v>
      </c>
      <c r="F1441" s="1">
        <v>3.3</v>
      </c>
      <c r="G1441" s="1">
        <v>2.9</v>
      </c>
      <c r="H1441" s="10">
        <f t="shared" si="22"/>
        <v>0.12121212121212122</v>
      </c>
    </row>
    <row r="1442" spans="1:8" x14ac:dyDescent="0.25">
      <c r="A1442" s="4">
        <v>45720</v>
      </c>
      <c r="B1442" t="s">
        <v>12</v>
      </c>
      <c r="C1442" t="str">
        <f>_xlfn.IFNA(VLOOKUP($B1442,ref!$B$2:$C$34,2,FALSE),"NA")</f>
        <v>Spot</v>
      </c>
      <c r="D1442" s="5" t="s">
        <v>7</v>
      </c>
      <c r="E1442">
        <v>8</v>
      </c>
      <c r="F1442" s="1">
        <v>3.1</v>
      </c>
      <c r="G1442" s="1">
        <v>2.66</v>
      </c>
      <c r="H1442" s="10">
        <f t="shared" si="22"/>
        <v>0.14193548387096777</v>
      </c>
    </row>
    <row r="1443" spans="1:8" x14ac:dyDescent="0.25">
      <c r="A1443" s="4">
        <v>45720</v>
      </c>
      <c r="B1443" t="s">
        <v>17</v>
      </c>
      <c r="C1443" t="str">
        <f>_xlfn.IFNA(VLOOKUP($B1443,ref!$B$2:$C$34,2,FALSE),"NA")</f>
        <v>6 Month</v>
      </c>
      <c r="D1443" s="5" t="s">
        <v>13</v>
      </c>
      <c r="E1443">
        <v>8</v>
      </c>
      <c r="F1443" s="1">
        <v>1.32</v>
      </c>
      <c r="G1443" s="1">
        <v>1.1399999999999999</v>
      </c>
      <c r="H1443" s="10">
        <f t="shared" si="22"/>
        <v>0.13636363636363646</v>
      </c>
    </row>
    <row r="1444" spans="1:8" x14ac:dyDescent="0.25">
      <c r="A1444" s="4">
        <v>45720</v>
      </c>
      <c r="B1444" t="s">
        <v>24</v>
      </c>
      <c r="C1444" t="str">
        <f>_xlfn.IFNA(VLOOKUP($B1444,ref!$B$2:$C$34,2,FALSE),"NA")</f>
        <v>Misc</v>
      </c>
      <c r="D1444" s="5">
        <v>4090</v>
      </c>
      <c r="E1444">
        <v>8</v>
      </c>
      <c r="F1444" s="1">
        <v>0.62</v>
      </c>
      <c r="G1444" s="1">
        <v>0.54300000000000004</v>
      </c>
      <c r="H1444" s="10">
        <f t="shared" si="22"/>
        <v>0.12419354838709673</v>
      </c>
    </row>
    <row r="1445" spans="1:8" x14ac:dyDescent="0.25">
      <c r="A1445" s="4">
        <v>45720</v>
      </c>
      <c r="B1445" t="s">
        <v>12</v>
      </c>
      <c r="C1445" t="str">
        <f>_xlfn.IFNA(VLOOKUP($B1445,ref!$B$2:$C$34,2,FALSE),"NA")</f>
        <v>Spot</v>
      </c>
      <c r="D1445" s="5" t="s">
        <v>18</v>
      </c>
      <c r="E1445">
        <v>8</v>
      </c>
      <c r="F1445" s="1">
        <v>1.05</v>
      </c>
      <c r="G1445" s="1">
        <v>0.91900000000000004</v>
      </c>
      <c r="H1445" s="10">
        <f t="shared" si="22"/>
        <v>0.12476190476190474</v>
      </c>
    </row>
    <row r="1446" spans="1:8" x14ac:dyDescent="0.25">
      <c r="A1446" s="4">
        <v>45720</v>
      </c>
      <c r="B1446" t="s">
        <v>24</v>
      </c>
      <c r="C1446" t="str">
        <f>_xlfn.IFNA(VLOOKUP($B1446,ref!$B$2:$C$34,2,FALSE),"NA")</f>
        <v>Misc</v>
      </c>
      <c r="D1446" s="5">
        <v>4090</v>
      </c>
      <c r="E1446">
        <v>8</v>
      </c>
      <c r="F1446" s="1">
        <v>0.62</v>
      </c>
      <c r="G1446" s="1">
        <v>0.54300000000000004</v>
      </c>
      <c r="H1446" s="10">
        <f t="shared" si="22"/>
        <v>0.12419354838709673</v>
      </c>
    </row>
    <row r="1447" spans="1:8" x14ac:dyDescent="0.25">
      <c r="A1447" s="4">
        <v>45717</v>
      </c>
      <c r="B1447" t="s">
        <v>12</v>
      </c>
      <c r="C1447" t="str">
        <f>_xlfn.IFNA(VLOOKUP($B1447,ref!$B$2:$C$34,2,FALSE),"NA")</f>
        <v>Spot</v>
      </c>
      <c r="D1447" s="5" t="s">
        <v>7</v>
      </c>
      <c r="E1447">
        <v>8</v>
      </c>
      <c r="F1447" s="1">
        <v>3.2</v>
      </c>
      <c r="G1447" s="1">
        <v>2.72</v>
      </c>
      <c r="H1447" s="10">
        <f t="shared" si="22"/>
        <v>0.15000000000000002</v>
      </c>
    </row>
    <row r="1448" spans="1:8" x14ac:dyDescent="0.25">
      <c r="A1448" s="4">
        <v>45717</v>
      </c>
      <c r="B1448" t="s">
        <v>12</v>
      </c>
      <c r="C1448" t="str">
        <f>_xlfn.IFNA(VLOOKUP($B1448,ref!$B$2:$C$34,2,FALSE),"NA")</f>
        <v>Spot</v>
      </c>
      <c r="D1448" s="5" t="s">
        <v>7</v>
      </c>
      <c r="E1448">
        <v>8</v>
      </c>
      <c r="F1448" s="1">
        <v>3.2</v>
      </c>
      <c r="G1448" s="1">
        <v>2.72</v>
      </c>
      <c r="H1448" s="10">
        <f t="shared" si="22"/>
        <v>0.15000000000000002</v>
      </c>
    </row>
    <row r="1449" spans="1:8" x14ac:dyDescent="0.25">
      <c r="A1449" s="4">
        <v>45717</v>
      </c>
      <c r="B1449" t="s">
        <v>12</v>
      </c>
      <c r="C1449" t="str">
        <f>_xlfn.IFNA(VLOOKUP($B1449,ref!$B$2:$C$34,2,FALSE),"NA")</f>
        <v>Spot</v>
      </c>
      <c r="D1449" s="5">
        <v>4090</v>
      </c>
      <c r="E1449">
        <v>8</v>
      </c>
      <c r="F1449" s="1">
        <v>0.5</v>
      </c>
      <c r="G1449" s="1">
        <v>0.44</v>
      </c>
      <c r="H1449" s="10">
        <f t="shared" si="22"/>
        <v>0.12</v>
      </c>
    </row>
    <row r="1450" spans="1:8" x14ac:dyDescent="0.25">
      <c r="A1450" s="4">
        <v>45716</v>
      </c>
      <c r="B1450" t="s">
        <v>17</v>
      </c>
      <c r="C1450" t="str">
        <f>_xlfn.IFNA(VLOOKUP($B1450,ref!$B$2:$C$34,2,FALSE),"NA")</f>
        <v>6 Month</v>
      </c>
      <c r="D1450" s="5" t="s">
        <v>10</v>
      </c>
      <c r="E1450">
        <v>8</v>
      </c>
      <c r="F1450" s="1">
        <v>2.15</v>
      </c>
      <c r="G1450" s="1">
        <v>2.0499999999999998</v>
      </c>
      <c r="H1450" s="10">
        <f t="shared" si="22"/>
        <v>4.6511627906976827E-2</v>
      </c>
    </row>
    <row r="1451" spans="1:8" x14ac:dyDescent="0.25">
      <c r="A1451" s="4">
        <v>45716</v>
      </c>
      <c r="B1451" t="s">
        <v>17</v>
      </c>
      <c r="C1451" t="str">
        <f>_xlfn.IFNA(VLOOKUP($B1451,ref!$B$2:$C$34,2,FALSE),"NA")</f>
        <v>6 Month</v>
      </c>
      <c r="D1451" s="5" t="s">
        <v>15</v>
      </c>
      <c r="E1451">
        <v>8</v>
      </c>
      <c r="F1451" s="1">
        <v>0.32</v>
      </c>
      <c r="G1451" s="1">
        <v>0.28999999999999998</v>
      </c>
      <c r="H1451" s="10">
        <f t="shared" si="22"/>
        <v>9.3750000000000111E-2</v>
      </c>
    </row>
    <row r="1452" spans="1:8" x14ac:dyDescent="0.25">
      <c r="A1452" s="4">
        <v>45716</v>
      </c>
      <c r="B1452" t="s">
        <v>14</v>
      </c>
      <c r="C1452" t="str">
        <f>_xlfn.IFNA(VLOOKUP($B1452,ref!$B$2:$C$34,2,FALSE),"NA")</f>
        <v>Spot</v>
      </c>
      <c r="D1452" s="5">
        <v>4090</v>
      </c>
      <c r="E1452">
        <v>8</v>
      </c>
      <c r="F1452" s="1">
        <v>0.57999999999999996</v>
      </c>
      <c r="G1452" s="1">
        <v>0.49299999999999999</v>
      </c>
      <c r="H1452" s="10">
        <f t="shared" si="22"/>
        <v>0.14999999999999991</v>
      </c>
    </row>
    <row r="1453" spans="1:8" x14ac:dyDescent="0.25">
      <c r="A1453" s="4">
        <v>45716</v>
      </c>
      <c r="B1453" t="s">
        <v>14</v>
      </c>
      <c r="C1453" t="str">
        <f>_xlfn.IFNA(VLOOKUP($B1453,ref!$B$2:$C$34,2,FALSE),"NA")</f>
        <v>Spot</v>
      </c>
      <c r="D1453" s="5">
        <v>4090</v>
      </c>
      <c r="E1453">
        <v>8</v>
      </c>
      <c r="F1453" s="1">
        <v>0.65</v>
      </c>
      <c r="G1453" s="1">
        <v>0.56899999999999995</v>
      </c>
      <c r="H1453" s="10">
        <f t="shared" si="22"/>
        <v>0.12461538461538468</v>
      </c>
    </row>
    <row r="1454" spans="1:8" x14ac:dyDescent="0.25">
      <c r="A1454" s="4">
        <v>45716</v>
      </c>
      <c r="B1454" t="s">
        <v>14</v>
      </c>
      <c r="C1454" t="str">
        <f>_xlfn.IFNA(VLOOKUP($B1454,ref!$B$2:$C$34,2,FALSE),"NA")</f>
        <v>Spot</v>
      </c>
      <c r="D1454" s="5" t="s">
        <v>7</v>
      </c>
      <c r="E1454">
        <v>8</v>
      </c>
      <c r="F1454" s="1">
        <v>3.3</v>
      </c>
      <c r="G1454" s="1">
        <v>2.9</v>
      </c>
      <c r="H1454" s="10">
        <f t="shared" si="22"/>
        <v>0.12121212121212122</v>
      </c>
    </row>
    <row r="1455" spans="1:8" x14ac:dyDescent="0.25">
      <c r="A1455" s="4">
        <v>45716</v>
      </c>
      <c r="B1455" t="s">
        <v>14</v>
      </c>
      <c r="C1455" t="str">
        <f>_xlfn.IFNA(VLOOKUP($B1455,ref!$B$2:$C$34,2,FALSE),"NA")</f>
        <v>Spot</v>
      </c>
      <c r="D1455" s="5" t="s">
        <v>7</v>
      </c>
      <c r="E1455">
        <v>8</v>
      </c>
      <c r="F1455" s="1">
        <v>3.15</v>
      </c>
      <c r="G1455" s="1">
        <v>2.72</v>
      </c>
      <c r="H1455" s="10">
        <f t="shared" si="22"/>
        <v>0.13650793650793647</v>
      </c>
    </row>
    <row r="1456" spans="1:8" x14ac:dyDescent="0.25">
      <c r="A1456" s="4">
        <v>45716</v>
      </c>
      <c r="B1456" t="s">
        <v>14</v>
      </c>
      <c r="C1456" t="str">
        <f>_xlfn.IFNA(VLOOKUP($B1456,ref!$B$2:$C$34,2,FALSE),"NA")</f>
        <v>Spot</v>
      </c>
      <c r="D1456" s="5" t="s">
        <v>7</v>
      </c>
      <c r="E1456">
        <v>8</v>
      </c>
      <c r="F1456" s="1">
        <v>3.3</v>
      </c>
      <c r="G1456" s="1">
        <v>2.9</v>
      </c>
      <c r="H1456" s="10">
        <f t="shared" si="22"/>
        <v>0.12121212121212122</v>
      </c>
    </row>
    <row r="1457" spans="1:8" x14ac:dyDescent="0.25">
      <c r="A1457" s="4">
        <v>45716</v>
      </c>
      <c r="B1457" t="s">
        <v>14</v>
      </c>
      <c r="C1457" t="str">
        <f>_xlfn.IFNA(VLOOKUP($B1457,ref!$B$2:$C$34,2,FALSE),"NA")</f>
        <v>Spot</v>
      </c>
      <c r="D1457" s="5" t="s">
        <v>7</v>
      </c>
      <c r="E1457">
        <v>8</v>
      </c>
      <c r="F1457" s="1">
        <v>3.15</v>
      </c>
      <c r="G1457" s="1">
        <v>2.72</v>
      </c>
      <c r="H1457" s="10">
        <f t="shared" si="22"/>
        <v>0.13650793650793647</v>
      </c>
    </row>
    <row r="1458" spans="1:8" x14ac:dyDescent="0.25">
      <c r="A1458" s="4">
        <v>45716</v>
      </c>
      <c r="B1458" t="s">
        <v>14</v>
      </c>
      <c r="C1458" t="str">
        <f>_xlfn.IFNA(VLOOKUP($B1458,ref!$B$2:$C$34,2,FALSE),"NA")</f>
        <v>Spot</v>
      </c>
      <c r="D1458" s="5" t="s">
        <v>7</v>
      </c>
      <c r="E1458">
        <v>8</v>
      </c>
      <c r="F1458" s="1">
        <v>3.3</v>
      </c>
      <c r="G1458" s="1">
        <v>2.9</v>
      </c>
      <c r="H1458" s="10">
        <f t="shared" si="22"/>
        <v>0.12121212121212122</v>
      </c>
    </row>
    <row r="1459" spans="1:8" x14ac:dyDescent="0.25">
      <c r="A1459" s="4">
        <v>45716</v>
      </c>
      <c r="B1459" t="s">
        <v>14</v>
      </c>
      <c r="C1459" t="str">
        <f>_xlfn.IFNA(VLOOKUP($B1459,ref!$B$2:$C$34,2,FALSE),"NA")</f>
        <v>Spot</v>
      </c>
      <c r="D1459" s="5" t="s">
        <v>7</v>
      </c>
      <c r="E1459">
        <v>8</v>
      </c>
      <c r="F1459" s="1">
        <v>3.3</v>
      </c>
      <c r="G1459" s="1">
        <v>2.9</v>
      </c>
      <c r="H1459" s="10">
        <f t="shared" si="22"/>
        <v>0.12121212121212122</v>
      </c>
    </row>
    <row r="1460" spans="1:8" x14ac:dyDescent="0.25">
      <c r="A1460" s="4">
        <v>45716</v>
      </c>
      <c r="B1460" t="s">
        <v>12</v>
      </c>
      <c r="C1460" t="str">
        <f>_xlfn.IFNA(VLOOKUP($B1460,ref!$B$2:$C$34,2,FALSE),"NA")</f>
        <v>Spot</v>
      </c>
      <c r="D1460" s="5" t="s">
        <v>21</v>
      </c>
      <c r="E1460">
        <v>8</v>
      </c>
      <c r="F1460" s="1">
        <v>0.78</v>
      </c>
      <c r="G1460" s="1">
        <v>0.68</v>
      </c>
      <c r="H1460" s="10">
        <f t="shared" si="22"/>
        <v>0.12820512820512819</v>
      </c>
    </row>
    <row r="1461" spans="1:8" x14ac:dyDescent="0.25">
      <c r="A1461" s="4">
        <v>45716</v>
      </c>
      <c r="B1461" t="s">
        <v>9</v>
      </c>
      <c r="C1461" t="str">
        <f>_xlfn.IFNA(VLOOKUP($B1461,ref!$B$2:$C$34,2,FALSE),"NA")</f>
        <v>12 Month</v>
      </c>
      <c r="D1461" s="5" t="s">
        <v>22</v>
      </c>
      <c r="E1461">
        <v>8</v>
      </c>
      <c r="F1461" s="1">
        <v>0.95</v>
      </c>
      <c r="H1461" s="10">
        <f t="shared" si="22"/>
        <v>1</v>
      </c>
    </row>
    <row r="1462" spans="1:8" x14ac:dyDescent="0.25">
      <c r="A1462" s="4">
        <v>45716</v>
      </c>
      <c r="C1462" t="str">
        <f>_xlfn.IFNA(VLOOKUP($B1462,ref!$B$2:$C$34,2,FALSE),"NA")</f>
        <v>NA</v>
      </c>
      <c r="D1462" s="5">
        <v>3090</v>
      </c>
      <c r="E1462">
        <v>8</v>
      </c>
      <c r="F1462" s="1">
        <v>0.35</v>
      </c>
      <c r="G1462" s="1">
        <v>0.30599999999999999</v>
      </c>
      <c r="H1462" s="10">
        <f t="shared" si="22"/>
        <v>0.12571428571428567</v>
      </c>
    </row>
    <row r="1463" spans="1:8" x14ac:dyDescent="0.25">
      <c r="A1463" s="4">
        <v>45716</v>
      </c>
      <c r="B1463" t="s">
        <v>14</v>
      </c>
      <c r="C1463" t="str">
        <f>_xlfn.IFNA(VLOOKUP($B1463,ref!$B$2:$C$34,2,FALSE),"NA")</f>
        <v>Spot</v>
      </c>
      <c r="D1463" s="5">
        <v>4090</v>
      </c>
      <c r="E1463">
        <v>8</v>
      </c>
      <c r="F1463" s="1">
        <v>0.57999999999999996</v>
      </c>
      <c r="G1463" s="1">
        <v>0.49299999999999999</v>
      </c>
      <c r="H1463" s="10">
        <f t="shared" si="22"/>
        <v>0.14999999999999991</v>
      </c>
    </row>
    <row r="1464" spans="1:8" x14ac:dyDescent="0.25">
      <c r="A1464" s="4">
        <v>45715</v>
      </c>
      <c r="B1464" t="s">
        <v>12</v>
      </c>
      <c r="C1464" t="str">
        <f>_xlfn.IFNA(VLOOKUP($B1464,ref!$B$2:$C$34,2,FALSE),"NA")</f>
        <v>Spot</v>
      </c>
      <c r="D1464" s="5">
        <v>4090</v>
      </c>
      <c r="E1464">
        <v>8</v>
      </c>
      <c r="F1464" s="1">
        <v>0.7</v>
      </c>
      <c r="G1464" s="1">
        <v>0.59</v>
      </c>
      <c r="H1464" s="10">
        <f t="shared" si="22"/>
        <v>0.15714285714285714</v>
      </c>
    </row>
    <row r="1465" spans="1:8" x14ac:dyDescent="0.25">
      <c r="A1465" s="4">
        <v>45715</v>
      </c>
      <c r="B1465" t="s">
        <v>12</v>
      </c>
      <c r="C1465" t="str">
        <f>_xlfn.IFNA(VLOOKUP($B1465,ref!$B$2:$C$34,2,FALSE),"NA")</f>
        <v>Spot</v>
      </c>
      <c r="D1465" s="5">
        <v>4090</v>
      </c>
      <c r="E1465">
        <v>8</v>
      </c>
      <c r="F1465" s="1">
        <v>0.65</v>
      </c>
      <c r="G1465" s="1">
        <v>0.56899999999999995</v>
      </c>
      <c r="H1465" s="10">
        <f t="shared" si="22"/>
        <v>0.12461538461538468</v>
      </c>
    </row>
    <row r="1466" spans="1:8" x14ac:dyDescent="0.25">
      <c r="A1466" s="4">
        <v>45713</v>
      </c>
      <c r="B1466" t="s">
        <v>24</v>
      </c>
      <c r="C1466" t="str">
        <f>_xlfn.IFNA(VLOOKUP($B1466,ref!$B$2:$C$34,2,FALSE),"NA")</f>
        <v>Misc</v>
      </c>
      <c r="D1466" s="5" t="s">
        <v>7</v>
      </c>
      <c r="E1466">
        <v>8</v>
      </c>
      <c r="F1466" s="1">
        <v>2.95</v>
      </c>
      <c r="G1466" s="1">
        <v>2.5</v>
      </c>
      <c r="H1466" s="10">
        <f t="shared" si="22"/>
        <v>0.15254237288135597</v>
      </c>
    </row>
    <row r="1467" spans="1:8" x14ac:dyDescent="0.25">
      <c r="A1467" s="4">
        <v>45713</v>
      </c>
      <c r="B1467" t="s">
        <v>24</v>
      </c>
      <c r="C1467" t="str">
        <f>_xlfn.IFNA(VLOOKUP($B1467,ref!$B$2:$C$34,2,FALSE),"NA")</f>
        <v>Misc</v>
      </c>
      <c r="D1467" s="5" t="s">
        <v>7</v>
      </c>
      <c r="E1467">
        <v>8</v>
      </c>
      <c r="F1467" s="1">
        <v>2.95</v>
      </c>
      <c r="G1467" s="1">
        <v>2.5</v>
      </c>
      <c r="H1467" s="10">
        <f t="shared" si="22"/>
        <v>0.15254237288135597</v>
      </c>
    </row>
    <row r="1468" spans="1:8" x14ac:dyDescent="0.25">
      <c r="A1468" s="4">
        <v>45713</v>
      </c>
      <c r="B1468" t="s">
        <v>24</v>
      </c>
      <c r="C1468" t="str">
        <f>_xlfn.IFNA(VLOOKUP($B1468,ref!$B$2:$C$34,2,FALSE),"NA")</f>
        <v>Misc</v>
      </c>
      <c r="D1468" s="5" t="s">
        <v>7</v>
      </c>
      <c r="E1468">
        <v>8</v>
      </c>
      <c r="F1468" s="1">
        <v>2.95</v>
      </c>
      <c r="G1468" s="1">
        <v>2.5</v>
      </c>
      <c r="H1468" s="10">
        <f t="shared" si="22"/>
        <v>0.15254237288135597</v>
      </c>
    </row>
    <row r="1469" spans="1:8" x14ac:dyDescent="0.25">
      <c r="A1469" s="4">
        <v>45713</v>
      </c>
      <c r="B1469" t="s">
        <v>24</v>
      </c>
      <c r="C1469" t="str">
        <f>_xlfn.IFNA(VLOOKUP($B1469,ref!$B$2:$C$34,2,FALSE),"NA")</f>
        <v>Misc</v>
      </c>
      <c r="D1469" s="5">
        <v>4090</v>
      </c>
      <c r="E1469">
        <v>8</v>
      </c>
      <c r="F1469" s="1">
        <v>0.62</v>
      </c>
      <c r="G1469" s="1">
        <v>0.54300000000000004</v>
      </c>
      <c r="H1469" s="10">
        <f t="shared" si="22"/>
        <v>0.12419354838709673</v>
      </c>
    </row>
    <row r="1470" spans="1:8" x14ac:dyDescent="0.25">
      <c r="A1470" s="4">
        <v>45713</v>
      </c>
      <c r="B1470" t="s">
        <v>14</v>
      </c>
      <c r="C1470" t="str">
        <f>_xlfn.IFNA(VLOOKUP($B1470,ref!$B$2:$C$34,2,FALSE),"NA")</f>
        <v>Spot</v>
      </c>
      <c r="D1470" s="5" t="s">
        <v>7</v>
      </c>
      <c r="E1470">
        <v>8</v>
      </c>
      <c r="F1470" s="1">
        <v>3.3</v>
      </c>
      <c r="G1470" s="1">
        <v>2.9</v>
      </c>
      <c r="H1470" s="10">
        <f t="shared" si="22"/>
        <v>0.12121212121212122</v>
      </c>
    </row>
    <row r="1471" spans="1:8" x14ac:dyDescent="0.25">
      <c r="A1471" s="4">
        <v>45713</v>
      </c>
      <c r="B1471" t="s">
        <v>14</v>
      </c>
      <c r="C1471" t="str">
        <f>_xlfn.IFNA(VLOOKUP($B1471,ref!$B$2:$C$34,2,FALSE),"NA")</f>
        <v>Spot</v>
      </c>
      <c r="D1471" s="5" t="s">
        <v>7</v>
      </c>
      <c r="E1471">
        <v>8</v>
      </c>
      <c r="F1471" s="1">
        <v>3.15</v>
      </c>
      <c r="G1471" s="1">
        <v>2.72</v>
      </c>
      <c r="H1471" s="10">
        <f t="shared" si="22"/>
        <v>0.13650793650793647</v>
      </c>
    </row>
    <row r="1472" spans="1:8" x14ac:dyDescent="0.25">
      <c r="A1472" s="4">
        <v>45713</v>
      </c>
      <c r="B1472" t="s">
        <v>24</v>
      </c>
      <c r="C1472" t="str">
        <f>_xlfn.IFNA(VLOOKUP($B1472,ref!$B$2:$C$34,2,FALSE),"NA")</f>
        <v>Misc</v>
      </c>
      <c r="D1472" s="5" t="s">
        <v>7</v>
      </c>
      <c r="E1472">
        <v>8</v>
      </c>
      <c r="F1472" s="1">
        <v>2.85</v>
      </c>
      <c r="G1472" s="1">
        <v>2.5</v>
      </c>
      <c r="H1472" s="10">
        <f t="shared" si="22"/>
        <v>0.1228070175438597</v>
      </c>
    </row>
    <row r="1473" spans="1:8" x14ac:dyDescent="0.25">
      <c r="A1473" s="4">
        <v>45711</v>
      </c>
      <c r="B1473" t="s">
        <v>14</v>
      </c>
      <c r="C1473" t="str">
        <f>_xlfn.IFNA(VLOOKUP($B1473,ref!$B$2:$C$34,2,FALSE),"NA")</f>
        <v>Spot</v>
      </c>
      <c r="D1473" s="5" t="s">
        <v>7</v>
      </c>
      <c r="E1473">
        <v>8</v>
      </c>
      <c r="F1473" s="1">
        <v>3.15</v>
      </c>
      <c r="G1473" s="1">
        <v>2.72</v>
      </c>
      <c r="H1473" s="10">
        <f t="shared" si="22"/>
        <v>0.13650793650793647</v>
      </c>
    </row>
    <row r="1474" spans="1:8" x14ac:dyDescent="0.25">
      <c r="A1474" s="4">
        <v>45709</v>
      </c>
      <c r="B1474" t="s">
        <v>12</v>
      </c>
      <c r="C1474" t="str">
        <f>_xlfn.IFNA(VLOOKUP($B1474,ref!$B$2:$C$34,2,FALSE),"NA")</f>
        <v>Spot</v>
      </c>
      <c r="D1474" s="5" t="s">
        <v>7</v>
      </c>
      <c r="E1474">
        <v>8</v>
      </c>
      <c r="F1474" s="1">
        <v>3.1</v>
      </c>
      <c r="G1474" s="1">
        <v>2.66</v>
      </c>
      <c r="H1474" s="10">
        <f t="shared" si="22"/>
        <v>0.14193548387096777</v>
      </c>
    </row>
    <row r="1475" spans="1:8" x14ac:dyDescent="0.25">
      <c r="A1475" s="4">
        <v>45709</v>
      </c>
      <c r="B1475" t="s">
        <v>24</v>
      </c>
      <c r="C1475" t="str">
        <f>_xlfn.IFNA(VLOOKUP($B1475,ref!$B$2:$C$34,2,FALSE),"NA")</f>
        <v>Misc</v>
      </c>
      <c r="D1475" s="5" t="s">
        <v>7</v>
      </c>
      <c r="E1475">
        <v>8</v>
      </c>
      <c r="F1475" s="1">
        <v>2.85</v>
      </c>
      <c r="G1475" s="1">
        <v>2.5</v>
      </c>
      <c r="H1475" s="10">
        <f t="shared" ref="H1475:H1538" si="23">1-(G1475/F1475)</f>
        <v>0.1228070175438597</v>
      </c>
    </row>
    <row r="1476" spans="1:8" x14ac:dyDescent="0.25">
      <c r="A1476" s="4">
        <v>45707</v>
      </c>
      <c r="B1476" t="s">
        <v>12</v>
      </c>
      <c r="C1476" t="str">
        <f>_xlfn.IFNA(VLOOKUP($B1476,ref!$B$2:$C$34,2,FALSE),"NA")</f>
        <v>Spot</v>
      </c>
      <c r="D1476" s="5">
        <v>3090</v>
      </c>
      <c r="E1476">
        <v>8</v>
      </c>
      <c r="F1476" s="1">
        <v>0.32</v>
      </c>
      <c r="G1476" s="1">
        <v>0.28000000000000003</v>
      </c>
      <c r="H1476" s="10">
        <f t="shared" si="23"/>
        <v>0.12499999999999989</v>
      </c>
    </row>
    <row r="1477" spans="1:8" x14ac:dyDescent="0.25">
      <c r="A1477" s="4">
        <v>45706</v>
      </c>
      <c r="B1477" t="s">
        <v>24</v>
      </c>
      <c r="C1477" t="str">
        <f>_xlfn.IFNA(VLOOKUP($B1477,ref!$B$2:$C$34,2,FALSE),"NA")</f>
        <v>Misc</v>
      </c>
      <c r="D1477" s="5" t="s">
        <v>7</v>
      </c>
      <c r="E1477">
        <v>8</v>
      </c>
      <c r="F1477" s="1">
        <v>2.95</v>
      </c>
      <c r="G1477" s="1">
        <v>2.5</v>
      </c>
      <c r="H1477" s="10">
        <f t="shared" si="23"/>
        <v>0.15254237288135597</v>
      </c>
    </row>
    <row r="1478" spans="1:8" x14ac:dyDescent="0.25">
      <c r="A1478" s="4">
        <v>45706</v>
      </c>
      <c r="B1478" t="s">
        <v>24</v>
      </c>
      <c r="C1478" t="str">
        <f>_xlfn.IFNA(VLOOKUP($B1478,ref!$B$2:$C$34,2,FALSE),"NA")</f>
        <v>Misc</v>
      </c>
      <c r="D1478" s="5" t="s">
        <v>7</v>
      </c>
      <c r="E1478">
        <v>8</v>
      </c>
      <c r="F1478" s="1">
        <v>2.95</v>
      </c>
      <c r="G1478" s="1">
        <v>2.5</v>
      </c>
      <c r="H1478" s="10">
        <f t="shared" si="23"/>
        <v>0.15254237288135597</v>
      </c>
    </row>
    <row r="1479" spans="1:8" x14ac:dyDescent="0.25">
      <c r="A1479" s="4">
        <v>45706</v>
      </c>
      <c r="B1479" t="s">
        <v>24</v>
      </c>
      <c r="C1479" t="str">
        <f>_xlfn.IFNA(VLOOKUP($B1479,ref!$B$2:$C$34,2,FALSE),"NA")</f>
        <v>Misc</v>
      </c>
      <c r="D1479" s="5" t="s">
        <v>7</v>
      </c>
      <c r="E1479">
        <v>8</v>
      </c>
      <c r="F1479" s="1">
        <v>2.95</v>
      </c>
      <c r="G1479" s="1">
        <v>2.5</v>
      </c>
      <c r="H1479" s="10">
        <f t="shared" si="23"/>
        <v>0.15254237288135597</v>
      </c>
    </row>
    <row r="1480" spans="1:8" x14ac:dyDescent="0.25">
      <c r="A1480" s="4">
        <v>45706</v>
      </c>
      <c r="B1480" t="s">
        <v>24</v>
      </c>
      <c r="C1480" t="str">
        <f>_xlfn.IFNA(VLOOKUP($B1480,ref!$B$2:$C$34,2,FALSE),"NA")</f>
        <v>Misc</v>
      </c>
      <c r="D1480" s="5" t="s">
        <v>7</v>
      </c>
      <c r="E1480">
        <v>8</v>
      </c>
      <c r="F1480" s="1">
        <v>2.7</v>
      </c>
      <c r="G1480" s="1">
        <v>2.35</v>
      </c>
      <c r="H1480" s="10">
        <f t="shared" si="23"/>
        <v>0.12962962962962965</v>
      </c>
    </row>
    <row r="1481" spans="1:8" x14ac:dyDescent="0.25">
      <c r="A1481" s="4">
        <v>45706</v>
      </c>
      <c r="B1481" t="s">
        <v>24</v>
      </c>
      <c r="C1481" t="str">
        <f>_xlfn.IFNA(VLOOKUP($B1481,ref!$B$2:$C$34,2,FALSE),"NA")</f>
        <v>Misc</v>
      </c>
      <c r="D1481" s="5" t="s">
        <v>7</v>
      </c>
      <c r="E1481">
        <v>8</v>
      </c>
      <c r="F1481" s="1">
        <v>2.95</v>
      </c>
      <c r="G1481" s="1">
        <v>2.5</v>
      </c>
      <c r="H1481" s="10">
        <f t="shared" si="23"/>
        <v>0.15254237288135597</v>
      </c>
    </row>
    <row r="1482" spans="1:8" x14ac:dyDescent="0.25">
      <c r="A1482" s="4">
        <v>45706</v>
      </c>
      <c r="B1482" t="s">
        <v>24</v>
      </c>
      <c r="C1482" t="str">
        <f>_xlfn.IFNA(VLOOKUP($B1482,ref!$B$2:$C$34,2,FALSE),"NA")</f>
        <v>Misc</v>
      </c>
      <c r="D1482" s="5" t="s">
        <v>7</v>
      </c>
      <c r="E1482">
        <v>8</v>
      </c>
      <c r="F1482" s="1">
        <v>2.7</v>
      </c>
      <c r="G1482" s="1">
        <v>2.35</v>
      </c>
      <c r="H1482" s="10">
        <f t="shared" si="23"/>
        <v>0.12962962962962965</v>
      </c>
    </row>
    <row r="1483" spans="1:8" x14ac:dyDescent="0.25">
      <c r="A1483" s="4">
        <v>45706</v>
      </c>
      <c r="B1483" t="s">
        <v>24</v>
      </c>
      <c r="C1483" t="str">
        <f>_xlfn.IFNA(VLOOKUP($B1483,ref!$B$2:$C$34,2,FALSE),"NA")</f>
        <v>Misc</v>
      </c>
      <c r="D1483" s="5" t="s">
        <v>7</v>
      </c>
      <c r="E1483">
        <v>8</v>
      </c>
      <c r="F1483" s="1">
        <v>2.7</v>
      </c>
      <c r="G1483" s="1">
        <v>2.35</v>
      </c>
      <c r="H1483" s="10">
        <f t="shared" si="23"/>
        <v>0.12962962962962965</v>
      </c>
    </row>
    <row r="1484" spans="1:8" x14ac:dyDescent="0.25">
      <c r="A1484" s="4">
        <v>45706</v>
      </c>
      <c r="B1484" t="s">
        <v>24</v>
      </c>
      <c r="C1484" t="str">
        <f>_xlfn.IFNA(VLOOKUP($B1484,ref!$B$2:$C$34,2,FALSE),"NA")</f>
        <v>Misc</v>
      </c>
      <c r="D1484" s="5">
        <v>4090</v>
      </c>
      <c r="E1484">
        <v>8</v>
      </c>
      <c r="F1484" s="1">
        <v>0.62</v>
      </c>
      <c r="G1484" s="1">
        <v>0.54300000000000004</v>
      </c>
      <c r="H1484" s="10">
        <f t="shared" si="23"/>
        <v>0.12419354838709673</v>
      </c>
    </row>
    <row r="1485" spans="1:8" x14ac:dyDescent="0.25">
      <c r="A1485" s="4">
        <v>45706</v>
      </c>
      <c r="B1485" t="s">
        <v>17</v>
      </c>
      <c r="C1485" t="str">
        <f>_xlfn.IFNA(VLOOKUP($B1485,ref!$B$2:$C$34,2,FALSE),"NA")</f>
        <v>6 Month</v>
      </c>
      <c r="D1485" s="5" t="s">
        <v>13</v>
      </c>
      <c r="E1485">
        <v>8</v>
      </c>
      <c r="F1485" s="1">
        <v>1.32</v>
      </c>
      <c r="G1485" s="1">
        <v>1.1399999999999999</v>
      </c>
      <c r="H1485" s="10">
        <f t="shared" si="23"/>
        <v>0.13636363636363646</v>
      </c>
    </row>
    <row r="1486" spans="1:8" x14ac:dyDescent="0.25">
      <c r="A1486" s="4">
        <v>45705</v>
      </c>
      <c r="B1486" t="s">
        <v>12</v>
      </c>
      <c r="C1486" t="str">
        <f>_xlfn.IFNA(VLOOKUP($B1486,ref!$B$2:$C$34,2,FALSE),"NA")</f>
        <v>Spot</v>
      </c>
      <c r="D1486" s="5" t="s">
        <v>10</v>
      </c>
      <c r="E1486">
        <v>8</v>
      </c>
      <c r="F1486" s="1">
        <v>2.25</v>
      </c>
      <c r="G1486" s="1">
        <v>1.95</v>
      </c>
      <c r="H1486" s="10">
        <f t="shared" si="23"/>
        <v>0.1333333333333333</v>
      </c>
    </row>
    <row r="1487" spans="1:8" x14ac:dyDescent="0.25">
      <c r="A1487" s="4">
        <v>45705</v>
      </c>
      <c r="B1487" t="s">
        <v>12</v>
      </c>
      <c r="C1487" t="str">
        <f>_xlfn.IFNA(VLOOKUP($B1487,ref!$B$2:$C$34,2,FALSE),"NA")</f>
        <v>Spot</v>
      </c>
      <c r="D1487" s="5">
        <v>4090</v>
      </c>
      <c r="E1487">
        <v>8</v>
      </c>
      <c r="F1487" s="1">
        <v>0.65</v>
      </c>
      <c r="G1487" s="1">
        <v>0.55300000000000005</v>
      </c>
      <c r="H1487" s="10">
        <f t="shared" si="23"/>
        <v>0.14923076923076917</v>
      </c>
    </row>
    <row r="1488" spans="1:8" x14ac:dyDescent="0.25">
      <c r="A1488" s="4">
        <v>45703</v>
      </c>
      <c r="B1488" t="s">
        <v>14</v>
      </c>
      <c r="C1488" t="str">
        <f>_xlfn.IFNA(VLOOKUP($B1488,ref!$B$2:$C$34,2,FALSE),"NA")</f>
        <v>Spot</v>
      </c>
      <c r="D1488" s="5" t="s">
        <v>7</v>
      </c>
      <c r="E1488">
        <v>8</v>
      </c>
      <c r="F1488" s="1">
        <v>3.3</v>
      </c>
      <c r="G1488" s="1">
        <v>2.9</v>
      </c>
      <c r="H1488" s="10">
        <f t="shared" si="23"/>
        <v>0.12121212121212122</v>
      </c>
    </row>
    <row r="1489" spans="1:8" x14ac:dyDescent="0.25">
      <c r="A1489" s="4">
        <v>45703</v>
      </c>
      <c r="B1489" t="s">
        <v>14</v>
      </c>
      <c r="C1489" t="str">
        <f>_xlfn.IFNA(VLOOKUP($B1489,ref!$B$2:$C$34,2,FALSE),"NA")</f>
        <v>Spot</v>
      </c>
      <c r="D1489" s="5" t="s">
        <v>7</v>
      </c>
      <c r="E1489">
        <v>8</v>
      </c>
      <c r="F1489" s="1">
        <v>3.3</v>
      </c>
      <c r="G1489" s="1">
        <v>2.9</v>
      </c>
      <c r="H1489" s="10">
        <f t="shared" si="23"/>
        <v>0.12121212121212122</v>
      </c>
    </row>
    <row r="1490" spans="1:8" x14ac:dyDescent="0.25">
      <c r="A1490" s="4">
        <v>45703</v>
      </c>
      <c r="B1490" t="s">
        <v>14</v>
      </c>
      <c r="C1490" t="str">
        <f>_xlfn.IFNA(VLOOKUP($B1490,ref!$B$2:$C$34,2,FALSE),"NA")</f>
        <v>Spot</v>
      </c>
      <c r="D1490" s="5" t="s">
        <v>7</v>
      </c>
      <c r="E1490">
        <v>8</v>
      </c>
      <c r="F1490" s="1">
        <v>3.3</v>
      </c>
      <c r="G1490" s="1">
        <v>2.9</v>
      </c>
      <c r="H1490" s="10">
        <f t="shared" si="23"/>
        <v>0.12121212121212122</v>
      </c>
    </row>
    <row r="1491" spans="1:8" x14ac:dyDescent="0.25">
      <c r="A1491" s="4">
        <v>45703</v>
      </c>
      <c r="B1491" t="s">
        <v>14</v>
      </c>
      <c r="C1491" t="str">
        <f>_xlfn.IFNA(VLOOKUP($B1491,ref!$B$2:$C$34,2,FALSE),"NA")</f>
        <v>Spot</v>
      </c>
      <c r="D1491" s="5" t="s">
        <v>7</v>
      </c>
      <c r="E1491">
        <v>8</v>
      </c>
      <c r="F1491" s="1">
        <v>3.3</v>
      </c>
      <c r="G1491" s="1">
        <v>2.9</v>
      </c>
      <c r="H1491" s="10">
        <f t="shared" si="23"/>
        <v>0.12121212121212122</v>
      </c>
    </row>
    <row r="1492" spans="1:8" x14ac:dyDescent="0.25">
      <c r="A1492" s="4">
        <v>45703</v>
      </c>
      <c r="B1492" t="s">
        <v>14</v>
      </c>
      <c r="C1492" t="str">
        <f>_xlfn.IFNA(VLOOKUP($B1492,ref!$B$2:$C$34,2,FALSE),"NA")</f>
        <v>Spot</v>
      </c>
      <c r="D1492" s="5" t="s">
        <v>7</v>
      </c>
      <c r="E1492">
        <v>8</v>
      </c>
      <c r="F1492" s="1">
        <v>3.3</v>
      </c>
      <c r="G1492" s="1">
        <v>2.9</v>
      </c>
      <c r="H1492" s="10">
        <f t="shared" si="23"/>
        <v>0.12121212121212122</v>
      </c>
    </row>
    <row r="1493" spans="1:8" x14ac:dyDescent="0.25">
      <c r="A1493" s="4">
        <v>45702</v>
      </c>
      <c r="B1493" t="s">
        <v>12</v>
      </c>
      <c r="C1493" t="str">
        <f>_xlfn.IFNA(VLOOKUP($B1493,ref!$B$2:$C$34,2,FALSE),"NA")</f>
        <v>Spot</v>
      </c>
      <c r="D1493" s="5" t="s">
        <v>21</v>
      </c>
      <c r="E1493">
        <v>8</v>
      </c>
      <c r="F1493" s="1">
        <v>0.78</v>
      </c>
      <c r="G1493" s="1">
        <v>0.68</v>
      </c>
      <c r="H1493" s="10">
        <f t="shared" si="23"/>
        <v>0.12820512820512819</v>
      </c>
    </row>
    <row r="1494" spans="1:8" x14ac:dyDescent="0.25">
      <c r="A1494" s="4">
        <v>45702</v>
      </c>
      <c r="B1494" t="s">
        <v>12</v>
      </c>
      <c r="C1494" t="str">
        <f>_xlfn.IFNA(VLOOKUP($B1494,ref!$B$2:$C$34,2,FALSE),"NA")</f>
        <v>Spot</v>
      </c>
      <c r="D1494" s="5" t="s">
        <v>21</v>
      </c>
      <c r="E1494">
        <v>8</v>
      </c>
      <c r="F1494" s="1">
        <v>0.78</v>
      </c>
      <c r="G1494" s="1">
        <v>0.68</v>
      </c>
      <c r="H1494" s="10">
        <f t="shared" si="23"/>
        <v>0.12820512820512819</v>
      </c>
    </row>
    <row r="1495" spans="1:8" x14ac:dyDescent="0.25">
      <c r="A1495" s="4">
        <v>45700</v>
      </c>
      <c r="B1495" t="s">
        <v>14</v>
      </c>
      <c r="C1495" t="str">
        <f>_xlfn.IFNA(VLOOKUP($B1495,ref!$B$2:$C$34,2,FALSE),"NA")</f>
        <v>Spot</v>
      </c>
      <c r="D1495" s="5" t="s">
        <v>7</v>
      </c>
      <c r="E1495">
        <v>8</v>
      </c>
      <c r="F1495" s="1">
        <v>3.3</v>
      </c>
      <c r="G1495" s="1">
        <v>2.9</v>
      </c>
      <c r="H1495" s="10">
        <f t="shared" si="23"/>
        <v>0.12121212121212122</v>
      </c>
    </row>
    <row r="1496" spans="1:8" x14ac:dyDescent="0.25">
      <c r="A1496" s="4">
        <v>45700</v>
      </c>
      <c r="B1496" t="s">
        <v>14</v>
      </c>
      <c r="C1496" t="str">
        <f>_xlfn.IFNA(VLOOKUP($B1496,ref!$B$2:$C$34,2,FALSE),"NA")</f>
        <v>Spot</v>
      </c>
      <c r="D1496" s="5" t="s">
        <v>7</v>
      </c>
      <c r="E1496">
        <v>8</v>
      </c>
      <c r="F1496" s="1">
        <v>3.3</v>
      </c>
      <c r="G1496" s="1">
        <v>2.9</v>
      </c>
      <c r="H1496" s="10">
        <f t="shared" si="23"/>
        <v>0.12121212121212122</v>
      </c>
    </row>
    <row r="1497" spans="1:8" x14ac:dyDescent="0.25">
      <c r="A1497" s="4">
        <v>45689</v>
      </c>
      <c r="B1497" t="s">
        <v>12</v>
      </c>
      <c r="C1497" t="str">
        <f>_xlfn.IFNA(VLOOKUP($B1497,ref!$B$2:$C$34,2,FALSE),"NA")</f>
        <v>Spot</v>
      </c>
      <c r="D1497" s="5">
        <v>3090</v>
      </c>
      <c r="E1497">
        <v>8</v>
      </c>
      <c r="F1497" s="1">
        <v>0.22</v>
      </c>
      <c r="G1497" s="1">
        <v>0.2</v>
      </c>
      <c r="H1497" s="10">
        <f t="shared" si="23"/>
        <v>9.0909090909090828E-2</v>
      </c>
    </row>
    <row r="1498" spans="1:8" x14ac:dyDescent="0.25">
      <c r="A1498" s="4">
        <v>45688</v>
      </c>
      <c r="B1498" t="s">
        <v>9</v>
      </c>
      <c r="C1498" t="str">
        <f>_xlfn.IFNA(VLOOKUP($B1498,ref!$B$2:$C$34,2,FALSE),"NA")</f>
        <v>12 Month</v>
      </c>
      <c r="D1498" s="5" t="s">
        <v>22</v>
      </c>
      <c r="E1498">
        <v>8</v>
      </c>
      <c r="F1498" s="1">
        <v>0.95</v>
      </c>
      <c r="H1498" s="10">
        <f t="shared" si="23"/>
        <v>1</v>
      </c>
    </row>
    <row r="1499" spans="1:8" x14ac:dyDescent="0.25">
      <c r="A1499" s="4">
        <v>45687</v>
      </c>
      <c r="C1499" t="str">
        <f>_xlfn.IFNA(VLOOKUP($B1499,ref!$B$2:$C$34,2,FALSE),"NA")</f>
        <v>NA</v>
      </c>
      <c r="D1499" s="5" t="s">
        <v>21</v>
      </c>
      <c r="E1499">
        <v>8</v>
      </c>
      <c r="F1499" s="1">
        <v>0.65</v>
      </c>
      <c r="G1499" s="1">
        <v>0.56399999999999995</v>
      </c>
      <c r="H1499" s="10">
        <f t="shared" si="23"/>
        <v>0.13230769230769246</v>
      </c>
    </row>
    <row r="1500" spans="1:8" x14ac:dyDescent="0.25">
      <c r="A1500" s="4">
        <v>45687</v>
      </c>
      <c r="C1500" t="str">
        <f>_xlfn.IFNA(VLOOKUP($B1500,ref!$B$2:$C$34,2,FALSE),"NA")</f>
        <v>NA</v>
      </c>
      <c r="D1500" s="5">
        <v>3090</v>
      </c>
      <c r="E1500">
        <v>8</v>
      </c>
      <c r="F1500" s="1">
        <v>0.35</v>
      </c>
      <c r="G1500" s="1">
        <v>0.30599999999999999</v>
      </c>
      <c r="H1500" s="10">
        <f t="shared" si="23"/>
        <v>0.12571428571428567</v>
      </c>
    </row>
    <row r="1501" spans="1:8" x14ac:dyDescent="0.25">
      <c r="A1501" s="4">
        <v>45685</v>
      </c>
      <c r="B1501" t="s">
        <v>14</v>
      </c>
      <c r="C1501" t="str">
        <f>_xlfn.IFNA(VLOOKUP($B1501,ref!$B$2:$C$34,2,FALSE),"NA")</f>
        <v>Spot</v>
      </c>
      <c r="D1501" s="5" t="s">
        <v>10</v>
      </c>
      <c r="E1501">
        <v>8</v>
      </c>
      <c r="F1501" s="1">
        <v>2.2999999999999998</v>
      </c>
      <c r="G1501" s="1">
        <v>1.95</v>
      </c>
      <c r="H1501" s="10">
        <f t="shared" si="23"/>
        <v>0.15217391304347816</v>
      </c>
    </row>
    <row r="1502" spans="1:8" x14ac:dyDescent="0.25">
      <c r="A1502" s="4">
        <v>45685</v>
      </c>
      <c r="B1502" t="s">
        <v>14</v>
      </c>
      <c r="C1502" t="str">
        <f>_xlfn.IFNA(VLOOKUP($B1502,ref!$B$2:$C$34,2,FALSE),"NA")</f>
        <v>Spot</v>
      </c>
      <c r="D1502" s="5" t="s">
        <v>10</v>
      </c>
      <c r="E1502">
        <v>8</v>
      </c>
      <c r="F1502" s="1">
        <v>2.2999999999999998</v>
      </c>
      <c r="G1502" s="1">
        <v>1.95</v>
      </c>
      <c r="H1502" s="10">
        <f t="shared" si="23"/>
        <v>0.15217391304347816</v>
      </c>
    </row>
    <row r="1503" spans="1:8" x14ac:dyDescent="0.25">
      <c r="A1503" s="4">
        <v>45684</v>
      </c>
      <c r="B1503" t="s">
        <v>12</v>
      </c>
      <c r="C1503" t="str">
        <f>_xlfn.IFNA(VLOOKUP($B1503,ref!$B$2:$C$34,2,FALSE),"NA")</f>
        <v>Spot</v>
      </c>
      <c r="D1503" s="5">
        <v>4090</v>
      </c>
      <c r="E1503">
        <v>8</v>
      </c>
      <c r="F1503" s="1">
        <v>0.65</v>
      </c>
      <c r="G1503" s="1">
        <v>0.56899999999999995</v>
      </c>
      <c r="H1503" s="10">
        <f t="shared" si="23"/>
        <v>0.12461538461538468</v>
      </c>
    </row>
    <row r="1504" spans="1:8" x14ac:dyDescent="0.25">
      <c r="A1504" s="4">
        <v>45684</v>
      </c>
      <c r="B1504" t="s">
        <v>12</v>
      </c>
      <c r="C1504" t="str">
        <f>_xlfn.IFNA(VLOOKUP($B1504,ref!$B$2:$C$34,2,FALSE),"NA")</f>
        <v>Spot</v>
      </c>
      <c r="D1504" s="5">
        <v>4090</v>
      </c>
      <c r="E1504">
        <v>8</v>
      </c>
      <c r="F1504" s="1">
        <v>0.7</v>
      </c>
      <c r="G1504" s="1">
        <v>0.59</v>
      </c>
      <c r="H1504" s="10">
        <f t="shared" si="23"/>
        <v>0.15714285714285714</v>
      </c>
    </row>
    <row r="1505" spans="1:8" x14ac:dyDescent="0.25">
      <c r="A1505" s="4">
        <v>45684</v>
      </c>
      <c r="B1505" t="s">
        <v>12</v>
      </c>
      <c r="C1505" t="str">
        <f>_xlfn.IFNA(VLOOKUP($B1505,ref!$B$2:$C$34,2,FALSE),"NA")</f>
        <v>Spot</v>
      </c>
      <c r="D1505" s="5">
        <v>4090</v>
      </c>
      <c r="E1505">
        <v>8</v>
      </c>
      <c r="F1505" s="1">
        <v>0.65</v>
      </c>
      <c r="G1505" s="1">
        <v>0.56899999999999995</v>
      </c>
      <c r="H1505" s="10">
        <f t="shared" si="23"/>
        <v>0.12461538461538468</v>
      </c>
    </row>
    <row r="1506" spans="1:8" x14ac:dyDescent="0.25">
      <c r="A1506" s="4">
        <v>45683</v>
      </c>
      <c r="B1506" t="s">
        <v>14</v>
      </c>
      <c r="C1506" t="str">
        <f>_xlfn.IFNA(VLOOKUP($B1506,ref!$B$2:$C$34,2,FALSE),"NA")</f>
        <v>Spot</v>
      </c>
      <c r="D1506" s="5" t="s">
        <v>7</v>
      </c>
      <c r="E1506">
        <v>8</v>
      </c>
      <c r="F1506" s="1">
        <v>3.15</v>
      </c>
      <c r="G1506" s="1">
        <v>2.72</v>
      </c>
      <c r="H1506" s="10">
        <f t="shared" si="23"/>
        <v>0.13650793650793647</v>
      </c>
    </row>
    <row r="1507" spans="1:8" x14ac:dyDescent="0.25">
      <c r="A1507" s="4">
        <v>45683</v>
      </c>
      <c r="B1507" t="s">
        <v>14</v>
      </c>
      <c r="C1507" t="str">
        <f>_xlfn.IFNA(VLOOKUP($B1507,ref!$B$2:$C$34,2,FALSE),"NA")</f>
        <v>Spot</v>
      </c>
      <c r="D1507" s="5" t="s">
        <v>7</v>
      </c>
      <c r="E1507">
        <v>8</v>
      </c>
      <c r="F1507" s="1">
        <v>3.15</v>
      </c>
      <c r="G1507" s="1">
        <v>2.72</v>
      </c>
      <c r="H1507" s="10">
        <f t="shared" si="23"/>
        <v>0.13650793650793647</v>
      </c>
    </row>
    <row r="1508" spans="1:8" x14ac:dyDescent="0.25">
      <c r="A1508" s="4">
        <v>45683</v>
      </c>
      <c r="B1508" t="s">
        <v>14</v>
      </c>
      <c r="C1508" t="str">
        <f>_xlfn.IFNA(VLOOKUP($B1508,ref!$B$2:$C$34,2,FALSE),"NA")</f>
        <v>Spot</v>
      </c>
      <c r="D1508" s="5" t="s">
        <v>7</v>
      </c>
      <c r="E1508">
        <v>8</v>
      </c>
      <c r="F1508" s="1">
        <v>3.15</v>
      </c>
      <c r="G1508" s="1">
        <v>2.72</v>
      </c>
      <c r="H1508" s="10">
        <f t="shared" si="23"/>
        <v>0.13650793650793647</v>
      </c>
    </row>
    <row r="1509" spans="1:8" x14ac:dyDescent="0.25">
      <c r="A1509" s="4">
        <v>45683</v>
      </c>
      <c r="B1509" t="s">
        <v>14</v>
      </c>
      <c r="C1509" t="str">
        <f>_xlfn.IFNA(VLOOKUP($B1509,ref!$B$2:$C$34,2,FALSE),"NA")</f>
        <v>Spot</v>
      </c>
      <c r="D1509" s="5" t="s">
        <v>7</v>
      </c>
      <c r="E1509">
        <v>8</v>
      </c>
      <c r="F1509" s="1">
        <v>3.15</v>
      </c>
      <c r="G1509" s="1">
        <v>2.72</v>
      </c>
      <c r="H1509" s="10">
        <f t="shared" si="23"/>
        <v>0.13650793650793647</v>
      </c>
    </row>
    <row r="1510" spans="1:8" x14ac:dyDescent="0.25">
      <c r="A1510" s="4">
        <v>45683</v>
      </c>
      <c r="B1510" t="s">
        <v>14</v>
      </c>
      <c r="C1510" t="str">
        <f>_xlfn.IFNA(VLOOKUP($B1510,ref!$B$2:$C$34,2,FALSE),"NA")</f>
        <v>Spot</v>
      </c>
      <c r="D1510" s="5" t="s">
        <v>7</v>
      </c>
      <c r="E1510">
        <v>8</v>
      </c>
      <c r="F1510" s="1">
        <v>3.15</v>
      </c>
      <c r="G1510" s="1">
        <v>2.72</v>
      </c>
      <c r="H1510" s="10">
        <f t="shared" si="23"/>
        <v>0.13650793650793647</v>
      </c>
    </row>
    <row r="1511" spans="1:8" x14ac:dyDescent="0.25">
      <c r="A1511" s="4">
        <v>45683</v>
      </c>
      <c r="B1511" t="s">
        <v>14</v>
      </c>
      <c r="C1511" t="str">
        <f>_xlfn.IFNA(VLOOKUP($B1511,ref!$B$2:$C$34,2,FALSE),"NA")</f>
        <v>Spot</v>
      </c>
      <c r="D1511" s="5" t="s">
        <v>7</v>
      </c>
      <c r="E1511">
        <v>8</v>
      </c>
      <c r="F1511" s="1">
        <v>3.15</v>
      </c>
      <c r="G1511" s="1">
        <v>2.72</v>
      </c>
      <c r="H1511" s="10">
        <f t="shared" si="23"/>
        <v>0.13650793650793647</v>
      </c>
    </row>
    <row r="1512" spans="1:8" x14ac:dyDescent="0.25">
      <c r="A1512" s="4">
        <v>45683</v>
      </c>
      <c r="B1512" t="s">
        <v>14</v>
      </c>
      <c r="C1512" t="str">
        <f>_xlfn.IFNA(VLOOKUP($B1512,ref!$B$2:$C$34,2,FALSE),"NA")</f>
        <v>Spot</v>
      </c>
      <c r="D1512" s="5" t="s">
        <v>7</v>
      </c>
      <c r="E1512">
        <v>8</v>
      </c>
      <c r="F1512" s="1">
        <v>3.15</v>
      </c>
      <c r="G1512" s="1">
        <v>2.72</v>
      </c>
      <c r="H1512" s="10">
        <f t="shared" si="23"/>
        <v>0.13650793650793647</v>
      </c>
    </row>
    <row r="1513" spans="1:8" x14ac:dyDescent="0.25">
      <c r="A1513" s="4">
        <v>45683</v>
      </c>
      <c r="B1513" t="s">
        <v>14</v>
      </c>
      <c r="C1513" t="str">
        <f>_xlfn.IFNA(VLOOKUP($B1513,ref!$B$2:$C$34,2,FALSE),"NA")</f>
        <v>Spot</v>
      </c>
      <c r="D1513" s="5" t="s">
        <v>7</v>
      </c>
      <c r="E1513">
        <v>8</v>
      </c>
      <c r="F1513" s="1">
        <v>3.15</v>
      </c>
      <c r="G1513" s="1">
        <v>2.72</v>
      </c>
      <c r="H1513" s="10">
        <f t="shared" si="23"/>
        <v>0.13650793650793647</v>
      </c>
    </row>
    <row r="1514" spans="1:8" x14ac:dyDescent="0.25">
      <c r="A1514" s="4">
        <v>45679</v>
      </c>
      <c r="B1514" t="s">
        <v>14</v>
      </c>
      <c r="C1514" t="str">
        <f>_xlfn.IFNA(VLOOKUP($B1514,ref!$B$2:$C$34,2,FALSE),"NA")</f>
        <v>Spot</v>
      </c>
      <c r="D1514" s="5" t="s">
        <v>7</v>
      </c>
      <c r="E1514">
        <v>8</v>
      </c>
      <c r="F1514" s="1">
        <v>3.15</v>
      </c>
      <c r="G1514" s="1">
        <v>2.72</v>
      </c>
      <c r="H1514" s="10">
        <f t="shared" si="23"/>
        <v>0.13650793650793647</v>
      </c>
    </row>
    <row r="1515" spans="1:8" x14ac:dyDescent="0.25">
      <c r="A1515" s="4">
        <v>45678</v>
      </c>
      <c r="C1515" t="str">
        <f>_xlfn.IFNA(VLOOKUP($B1515,ref!$B$2:$C$34,2,FALSE),"NA")</f>
        <v>NA</v>
      </c>
      <c r="D1515" s="5">
        <v>4090</v>
      </c>
      <c r="E1515">
        <v>8</v>
      </c>
      <c r="F1515" s="1">
        <v>0.5</v>
      </c>
      <c r="G1515" s="1">
        <v>0.44</v>
      </c>
      <c r="H1515" s="10">
        <f t="shared" si="23"/>
        <v>0.12</v>
      </c>
    </row>
    <row r="1516" spans="1:8" x14ac:dyDescent="0.25">
      <c r="A1516" s="4">
        <v>45678</v>
      </c>
      <c r="C1516" t="str">
        <f>_xlfn.IFNA(VLOOKUP($B1516,ref!$B$2:$C$34,2,FALSE),"NA")</f>
        <v>NA</v>
      </c>
      <c r="D1516" s="5">
        <v>4090</v>
      </c>
      <c r="E1516">
        <v>8</v>
      </c>
      <c r="F1516" s="1">
        <v>0.5</v>
      </c>
      <c r="G1516" s="1">
        <v>0.44</v>
      </c>
      <c r="H1516" s="10">
        <f t="shared" si="23"/>
        <v>0.12</v>
      </c>
    </row>
    <row r="1517" spans="1:8" x14ac:dyDescent="0.25">
      <c r="A1517" s="4">
        <v>45678</v>
      </c>
      <c r="B1517" t="s">
        <v>12</v>
      </c>
      <c r="C1517" t="str">
        <f>_xlfn.IFNA(VLOOKUP($B1517,ref!$B$2:$C$34,2,FALSE),"NA")</f>
        <v>Spot</v>
      </c>
      <c r="D1517" s="5">
        <v>4090</v>
      </c>
      <c r="E1517">
        <v>8</v>
      </c>
      <c r="F1517" s="1">
        <v>0.7</v>
      </c>
      <c r="G1517" s="1">
        <v>0.59</v>
      </c>
      <c r="H1517" s="10">
        <f t="shared" si="23"/>
        <v>0.15714285714285714</v>
      </c>
    </row>
    <row r="1518" spans="1:8" x14ac:dyDescent="0.25">
      <c r="A1518" s="4">
        <v>45674</v>
      </c>
      <c r="B1518" t="s">
        <v>12</v>
      </c>
      <c r="C1518" t="str">
        <f>_xlfn.IFNA(VLOOKUP($B1518,ref!$B$2:$C$34,2,FALSE),"NA")</f>
        <v>Spot</v>
      </c>
      <c r="D1518" s="5">
        <v>4090</v>
      </c>
      <c r="E1518">
        <v>8</v>
      </c>
      <c r="F1518" s="1">
        <v>0.65</v>
      </c>
      <c r="G1518" s="1">
        <v>0.56899999999999995</v>
      </c>
      <c r="H1518" s="10">
        <f t="shared" si="23"/>
        <v>0.12461538461538468</v>
      </c>
    </row>
    <row r="1519" spans="1:8" x14ac:dyDescent="0.25">
      <c r="A1519" s="4">
        <v>45674</v>
      </c>
      <c r="B1519" t="s">
        <v>12</v>
      </c>
      <c r="C1519" t="str">
        <f>_xlfn.IFNA(VLOOKUP($B1519,ref!$B$2:$C$34,2,FALSE),"NA")</f>
        <v>Spot</v>
      </c>
      <c r="D1519" s="5">
        <v>4090</v>
      </c>
      <c r="E1519">
        <v>8</v>
      </c>
      <c r="F1519" s="1">
        <v>0.65</v>
      </c>
      <c r="G1519" s="1">
        <v>0.56899999999999995</v>
      </c>
      <c r="H1519" s="10">
        <f t="shared" si="23"/>
        <v>0.12461538461538468</v>
      </c>
    </row>
    <row r="1520" spans="1:8" x14ac:dyDescent="0.25">
      <c r="A1520" s="4">
        <v>45674</v>
      </c>
      <c r="B1520" t="s">
        <v>12</v>
      </c>
      <c r="C1520" t="str">
        <f>_xlfn.IFNA(VLOOKUP($B1520,ref!$B$2:$C$34,2,FALSE),"NA")</f>
        <v>Spot</v>
      </c>
      <c r="D1520" s="5">
        <v>4090</v>
      </c>
      <c r="E1520">
        <v>8</v>
      </c>
      <c r="F1520" s="1">
        <v>0.65</v>
      </c>
      <c r="G1520" s="1">
        <v>0.56899999999999995</v>
      </c>
      <c r="H1520" s="10">
        <f t="shared" si="23"/>
        <v>0.12461538461538468</v>
      </c>
    </row>
    <row r="1521" spans="1:8" x14ac:dyDescent="0.25">
      <c r="A1521" s="4">
        <v>45673</v>
      </c>
      <c r="B1521" t="s">
        <v>14</v>
      </c>
      <c r="C1521" t="str">
        <f>_xlfn.IFNA(VLOOKUP($B1521,ref!$B$2:$C$34,2,FALSE),"NA")</f>
        <v>Spot</v>
      </c>
      <c r="D1521" s="5" t="s">
        <v>20</v>
      </c>
      <c r="E1521">
        <v>8</v>
      </c>
      <c r="F1521" s="1">
        <v>1.1200000000000001</v>
      </c>
      <c r="G1521" s="1">
        <v>0.95199999999999996</v>
      </c>
      <c r="H1521" s="10">
        <f t="shared" si="23"/>
        <v>0.15000000000000013</v>
      </c>
    </row>
    <row r="1522" spans="1:8" x14ac:dyDescent="0.25">
      <c r="A1522" s="4">
        <v>45673</v>
      </c>
      <c r="B1522" t="s">
        <v>14</v>
      </c>
      <c r="C1522" t="str">
        <f>_xlfn.IFNA(VLOOKUP($B1522,ref!$B$2:$C$34,2,FALSE),"NA")</f>
        <v>Spot</v>
      </c>
      <c r="D1522" s="5" t="s">
        <v>20</v>
      </c>
      <c r="E1522">
        <v>8</v>
      </c>
      <c r="F1522" s="1">
        <v>1.1200000000000001</v>
      </c>
      <c r="G1522" s="1">
        <v>1</v>
      </c>
      <c r="H1522" s="10">
        <f t="shared" si="23"/>
        <v>0.10714285714285721</v>
      </c>
    </row>
    <row r="1523" spans="1:8" x14ac:dyDescent="0.25">
      <c r="A1523" s="4">
        <v>45673</v>
      </c>
      <c r="B1523" t="s">
        <v>12</v>
      </c>
      <c r="C1523" t="str">
        <f>_xlfn.IFNA(VLOOKUP($B1523,ref!$B$2:$C$34,2,FALSE),"NA")</f>
        <v>Spot</v>
      </c>
      <c r="D1523" s="5">
        <v>4090</v>
      </c>
      <c r="E1523">
        <v>8</v>
      </c>
      <c r="F1523" s="1">
        <v>0.62</v>
      </c>
      <c r="G1523" s="1">
        <v>0.54300000000000004</v>
      </c>
      <c r="H1523" s="10">
        <f t="shared" si="23"/>
        <v>0.12419354838709673</v>
      </c>
    </row>
    <row r="1524" spans="1:8" x14ac:dyDescent="0.25">
      <c r="A1524" s="4">
        <v>45672</v>
      </c>
      <c r="B1524" t="s">
        <v>6</v>
      </c>
      <c r="C1524" t="str">
        <f>_xlfn.IFNA(VLOOKUP($B1524,ref!$B$2:$C$34,2,FALSE),"NA")</f>
        <v>3 Month</v>
      </c>
      <c r="D1524" s="5" t="s">
        <v>7</v>
      </c>
      <c r="E1524">
        <v>8</v>
      </c>
      <c r="F1524" s="1">
        <v>2.5</v>
      </c>
      <c r="G1524" s="1">
        <v>2.4</v>
      </c>
      <c r="H1524" s="10">
        <f t="shared" si="23"/>
        <v>4.0000000000000036E-2</v>
      </c>
    </row>
    <row r="1525" spans="1:8" x14ac:dyDescent="0.25">
      <c r="A1525" s="4">
        <v>45671</v>
      </c>
      <c r="B1525" t="s">
        <v>17</v>
      </c>
      <c r="C1525" t="str">
        <f>_xlfn.IFNA(VLOOKUP($B1525,ref!$B$2:$C$34,2,FALSE),"NA")</f>
        <v>6 Month</v>
      </c>
      <c r="D1525" s="5" t="s">
        <v>15</v>
      </c>
      <c r="E1525">
        <v>8</v>
      </c>
      <c r="F1525" s="1">
        <v>0.32</v>
      </c>
      <c r="G1525" s="1">
        <v>0.28999999999999998</v>
      </c>
      <c r="H1525" s="10">
        <f t="shared" si="23"/>
        <v>9.3750000000000111E-2</v>
      </c>
    </row>
    <row r="1526" spans="1:8" x14ac:dyDescent="0.25">
      <c r="A1526" s="4">
        <v>45671</v>
      </c>
      <c r="C1526" t="str">
        <f>_xlfn.IFNA(VLOOKUP($B1526,ref!$B$2:$C$34,2,FALSE),"NA")</f>
        <v>NA</v>
      </c>
      <c r="D1526" s="5" t="s">
        <v>10</v>
      </c>
      <c r="E1526">
        <v>8</v>
      </c>
      <c r="F1526" s="1">
        <v>2.15</v>
      </c>
      <c r="G1526" s="1">
        <v>1.9</v>
      </c>
      <c r="H1526" s="10">
        <f t="shared" si="23"/>
        <v>0.11627906976744184</v>
      </c>
    </row>
    <row r="1527" spans="1:8" x14ac:dyDescent="0.25">
      <c r="A1527" s="4">
        <v>45671</v>
      </c>
      <c r="B1527" t="s">
        <v>12</v>
      </c>
      <c r="C1527" t="str">
        <f>_xlfn.IFNA(VLOOKUP($B1527,ref!$B$2:$C$34,2,FALSE),"NA")</f>
        <v>Spot</v>
      </c>
      <c r="D1527" s="5" t="s">
        <v>7</v>
      </c>
      <c r="E1527">
        <v>8</v>
      </c>
      <c r="F1527" s="1">
        <v>3.2</v>
      </c>
      <c r="G1527" s="1">
        <v>2.72</v>
      </c>
      <c r="H1527" s="10">
        <f t="shared" si="23"/>
        <v>0.15000000000000002</v>
      </c>
    </row>
    <row r="1528" spans="1:8" x14ac:dyDescent="0.25">
      <c r="A1528" s="4">
        <v>45671</v>
      </c>
      <c r="C1528" t="str">
        <f>_xlfn.IFNA(VLOOKUP($B1528,ref!$B$2:$C$34,2,FALSE),"NA")</f>
        <v>NA</v>
      </c>
      <c r="D1528" s="5" t="s">
        <v>10</v>
      </c>
      <c r="E1528">
        <v>8</v>
      </c>
      <c r="F1528" s="1">
        <v>2.25</v>
      </c>
      <c r="G1528" s="1">
        <v>1.95</v>
      </c>
      <c r="H1528" s="10">
        <f t="shared" si="23"/>
        <v>0.1333333333333333</v>
      </c>
    </row>
    <row r="1529" spans="1:8" x14ac:dyDescent="0.25">
      <c r="A1529" s="4">
        <v>45671</v>
      </c>
      <c r="C1529" t="str">
        <f>_xlfn.IFNA(VLOOKUP($B1529,ref!$B$2:$C$34,2,FALSE),"NA")</f>
        <v>NA</v>
      </c>
      <c r="D1529" s="5" t="s">
        <v>10</v>
      </c>
      <c r="E1529">
        <v>8</v>
      </c>
      <c r="F1529" s="1">
        <v>2.25</v>
      </c>
      <c r="G1529" s="1">
        <v>1.95</v>
      </c>
      <c r="H1529" s="10">
        <f t="shared" si="23"/>
        <v>0.1333333333333333</v>
      </c>
    </row>
    <row r="1530" spans="1:8" x14ac:dyDescent="0.25">
      <c r="A1530" s="4">
        <v>45671</v>
      </c>
      <c r="B1530" t="s">
        <v>12</v>
      </c>
      <c r="C1530" t="str">
        <f>_xlfn.IFNA(VLOOKUP($B1530,ref!$B$2:$C$34,2,FALSE),"NA")</f>
        <v>Spot</v>
      </c>
      <c r="D1530" s="5" t="s">
        <v>7</v>
      </c>
      <c r="E1530">
        <v>8</v>
      </c>
      <c r="F1530" s="1">
        <v>3.2</v>
      </c>
      <c r="G1530" s="1">
        <v>2.72</v>
      </c>
      <c r="H1530" s="10">
        <f t="shared" si="23"/>
        <v>0.15000000000000002</v>
      </c>
    </row>
    <row r="1531" spans="1:8" x14ac:dyDescent="0.25">
      <c r="A1531" s="4">
        <v>45671</v>
      </c>
      <c r="B1531" t="s">
        <v>17</v>
      </c>
      <c r="C1531" t="str">
        <f>_xlfn.IFNA(VLOOKUP($B1531,ref!$B$2:$C$34,2,FALSE),"NA")</f>
        <v>6 Month</v>
      </c>
      <c r="D1531" s="5" t="s">
        <v>15</v>
      </c>
      <c r="E1531">
        <v>8</v>
      </c>
      <c r="F1531" s="1">
        <v>0.32</v>
      </c>
      <c r="G1531" s="1">
        <v>0.28999999999999998</v>
      </c>
      <c r="H1531" s="10">
        <f t="shared" si="23"/>
        <v>9.3750000000000111E-2</v>
      </c>
    </row>
    <row r="1532" spans="1:8" x14ac:dyDescent="0.25">
      <c r="A1532" s="4">
        <v>45671</v>
      </c>
      <c r="B1532" t="s">
        <v>12</v>
      </c>
      <c r="C1532" t="str">
        <f>_xlfn.IFNA(VLOOKUP($B1532,ref!$B$2:$C$34,2,FALSE),"NA")</f>
        <v>Spot</v>
      </c>
      <c r="D1532" s="5" t="s">
        <v>18</v>
      </c>
      <c r="E1532">
        <v>8</v>
      </c>
      <c r="F1532" s="1">
        <v>1.05</v>
      </c>
      <c r="G1532" s="1">
        <v>0.91900000000000004</v>
      </c>
      <c r="H1532" s="10">
        <f t="shared" si="23"/>
        <v>0.12476190476190474</v>
      </c>
    </row>
    <row r="1533" spans="1:8" x14ac:dyDescent="0.25">
      <c r="A1533" s="4">
        <v>45671</v>
      </c>
      <c r="C1533" t="str">
        <f>_xlfn.IFNA(VLOOKUP($B1533,ref!$B$2:$C$34,2,FALSE),"NA")</f>
        <v>NA</v>
      </c>
      <c r="D1533" s="5" t="s">
        <v>10</v>
      </c>
      <c r="E1533">
        <v>8</v>
      </c>
      <c r="F1533" s="1">
        <v>2.25</v>
      </c>
      <c r="G1533" s="1">
        <v>1.95</v>
      </c>
      <c r="H1533" s="10">
        <f t="shared" si="23"/>
        <v>0.1333333333333333</v>
      </c>
    </row>
    <row r="1534" spans="1:8" x14ac:dyDescent="0.25">
      <c r="A1534" s="4">
        <v>45670</v>
      </c>
      <c r="B1534" t="s">
        <v>12</v>
      </c>
      <c r="C1534" t="str">
        <f>_xlfn.IFNA(VLOOKUP($B1534,ref!$B$2:$C$34,2,FALSE),"NA")</f>
        <v>Spot</v>
      </c>
      <c r="D1534" s="5">
        <v>3090</v>
      </c>
      <c r="E1534">
        <v>8</v>
      </c>
      <c r="F1534" s="1">
        <v>0.22</v>
      </c>
      <c r="G1534" s="1">
        <v>0.2</v>
      </c>
      <c r="H1534" s="10">
        <f t="shared" si="23"/>
        <v>9.0909090909090828E-2</v>
      </c>
    </row>
    <row r="1535" spans="1:8" x14ac:dyDescent="0.25">
      <c r="A1535" s="4">
        <v>45669</v>
      </c>
      <c r="B1535" t="s">
        <v>12</v>
      </c>
      <c r="C1535" t="str">
        <f>_xlfn.IFNA(VLOOKUP($B1535,ref!$B$2:$C$34,2,FALSE),"NA")</f>
        <v>Spot</v>
      </c>
      <c r="D1535" s="5">
        <v>3090</v>
      </c>
      <c r="E1535">
        <v>8</v>
      </c>
      <c r="F1535" s="1">
        <v>0.3</v>
      </c>
      <c r="G1535" s="1">
        <v>0.26300000000000001</v>
      </c>
      <c r="H1535" s="10">
        <f t="shared" si="23"/>
        <v>0.12333333333333329</v>
      </c>
    </row>
    <row r="1536" spans="1:8" x14ac:dyDescent="0.25">
      <c r="A1536" s="4">
        <v>45669</v>
      </c>
      <c r="B1536" t="s">
        <v>9</v>
      </c>
      <c r="C1536" t="str">
        <f>_xlfn.IFNA(VLOOKUP($B1536,ref!$B$2:$C$34,2,FALSE),"NA")</f>
        <v>12 Month</v>
      </c>
      <c r="D1536" s="5" t="s">
        <v>7</v>
      </c>
      <c r="E1536">
        <v>8</v>
      </c>
      <c r="F1536" s="1">
        <v>2.4</v>
      </c>
      <c r="G1536" s="1">
        <v>2.2999999999999998</v>
      </c>
      <c r="H1536" s="10">
        <f t="shared" si="23"/>
        <v>4.1666666666666741E-2</v>
      </c>
    </row>
    <row r="1537" spans="1:8" x14ac:dyDescent="0.25">
      <c r="A1537" s="4">
        <v>45669</v>
      </c>
      <c r="B1537" t="s">
        <v>12</v>
      </c>
      <c r="C1537" t="str">
        <f>_xlfn.IFNA(VLOOKUP($B1537,ref!$B$2:$C$34,2,FALSE),"NA")</f>
        <v>Spot</v>
      </c>
      <c r="D1537" s="5">
        <v>3090</v>
      </c>
      <c r="E1537">
        <v>8</v>
      </c>
      <c r="F1537" s="1">
        <v>0.3</v>
      </c>
      <c r="G1537" s="1">
        <v>0.26300000000000001</v>
      </c>
      <c r="H1537" s="10">
        <f t="shared" si="23"/>
        <v>0.12333333333333329</v>
      </c>
    </row>
    <row r="1538" spans="1:8" x14ac:dyDescent="0.25">
      <c r="A1538" s="4">
        <v>45667</v>
      </c>
      <c r="C1538" t="str">
        <f>_xlfn.IFNA(VLOOKUP($B1538,ref!$B$2:$C$34,2,FALSE),"NA")</f>
        <v>NA</v>
      </c>
      <c r="D1538" s="5" t="s">
        <v>15</v>
      </c>
      <c r="E1538">
        <v>8</v>
      </c>
      <c r="F1538" s="1">
        <v>0.35</v>
      </c>
      <c r="G1538" s="1">
        <v>0.32</v>
      </c>
      <c r="H1538" s="10">
        <f t="shared" si="23"/>
        <v>8.5714285714285632E-2</v>
      </c>
    </row>
    <row r="1539" spans="1:8" x14ac:dyDescent="0.25">
      <c r="A1539" s="4">
        <v>45667</v>
      </c>
      <c r="C1539" t="str">
        <f>_xlfn.IFNA(VLOOKUP($B1539,ref!$B$2:$C$34,2,FALSE),"NA")</f>
        <v>NA</v>
      </c>
      <c r="D1539" s="5" t="s">
        <v>15</v>
      </c>
      <c r="E1539">
        <v>8</v>
      </c>
      <c r="F1539" s="1">
        <v>0.35</v>
      </c>
      <c r="G1539" s="1">
        <v>0.32</v>
      </c>
      <c r="H1539" s="10">
        <f t="shared" ref="H1539:H1602" si="24">1-(G1539/F1539)</f>
        <v>8.5714285714285632E-2</v>
      </c>
    </row>
    <row r="1540" spans="1:8" x14ac:dyDescent="0.25">
      <c r="A1540" s="4">
        <v>45665</v>
      </c>
      <c r="B1540" t="s">
        <v>12</v>
      </c>
      <c r="C1540" t="str">
        <f>_xlfn.IFNA(VLOOKUP($B1540,ref!$B$2:$C$34,2,FALSE),"NA")</f>
        <v>Spot</v>
      </c>
      <c r="D1540" s="5" t="s">
        <v>7</v>
      </c>
      <c r="E1540">
        <v>8</v>
      </c>
      <c r="F1540" s="1">
        <v>3</v>
      </c>
      <c r="G1540" s="1">
        <v>2.7</v>
      </c>
      <c r="H1540" s="10">
        <f t="shared" si="24"/>
        <v>9.9999999999999978E-2</v>
      </c>
    </row>
    <row r="1541" spans="1:8" x14ac:dyDescent="0.25">
      <c r="A1541" s="4">
        <v>45665</v>
      </c>
      <c r="B1541" t="s">
        <v>14</v>
      </c>
      <c r="C1541" t="str">
        <f>_xlfn.IFNA(VLOOKUP($B1541,ref!$B$2:$C$34,2,FALSE),"NA")</f>
        <v>Spot</v>
      </c>
      <c r="D1541" s="5" t="s">
        <v>7</v>
      </c>
      <c r="E1541">
        <v>8</v>
      </c>
      <c r="F1541" s="1">
        <v>3.5</v>
      </c>
      <c r="G1541" s="1">
        <v>3.2</v>
      </c>
      <c r="H1541" s="10">
        <f t="shared" si="24"/>
        <v>8.5714285714285632E-2</v>
      </c>
    </row>
    <row r="1542" spans="1:8" x14ac:dyDescent="0.25">
      <c r="A1542" s="4">
        <v>45665</v>
      </c>
      <c r="B1542" t="s">
        <v>12</v>
      </c>
      <c r="C1542" t="str">
        <f>_xlfn.IFNA(VLOOKUP($B1542,ref!$B$2:$C$34,2,FALSE),"NA")</f>
        <v>Spot</v>
      </c>
      <c r="D1542" s="5" t="s">
        <v>7</v>
      </c>
      <c r="E1542">
        <v>8</v>
      </c>
      <c r="F1542" s="1">
        <v>3</v>
      </c>
      <c r="G1542" s="1">
        <v>2.7</v>
      </c>
      <c r="H1542" s="10">
        <f t="shared" si="24"/>
        <v>9.9999999999999978E-2</v>
      </c>
    </row>
    <row r="1543" spans="1:8" x14ac:dyDescent="0.25">
      <c r="A1543" s="4">
        <v>45658</v>
      </c>
      <c r="B1543" t="s">
        <v>12</v>
      </c>
      <c r="C1543" t="str">
        <f>_xlfn.IFNA(VLOOKUP($B1543,ref!$B$2:$C$34,2,FALSE),"NA")</f>
        <v>Spot</v>
      </c>
      <c r="D1543" s="5" t="s">
        <v>10</v>
      </c>
      <c r="E1543">
        <v>8</v>
      </c>
      <c r="F1543" s="1">
        <v>2.5</v>
      </c>
      <c r="G1543" s="1">
        <v>2.2000000000000002</v>
      </c>
      <c r="H1543" s="10">
        <f t="shared" si="24"/>
        <v>0.11999999999999988</v>
      </c>
    </row>
    <row r="1544" spans="1:8" x14ac:dyDescent="0.25">
      <c r="A1544" s="4">
        <v>45653</v>
      </c>
      <c r="B1544" t="s">
        <v>6</v>
      </c>
      <c r="C1544" t="str">
        <f>_xlfn.IFNA(VLOOKUP($B1544,ref!$B$2:$C$34,2,FALSE),"NA")</f>
        <v>3 Month</v>
      </c>
      <c r="D1544" s="5" t="s">
        <v>8</v>
      </c>
      <c r="E1544">
        <v>8</v>
      </c>
      <c r="F1544" s="1">
        <v>1.39</v>
      </c>
      <c r="G1544" s="1">
        <v>1.19</v>
      </c>
      <c r="H1544" s="10">
        <f t="shared" si="24"/>
        <v>0.14388489208633093</v>
      </c>
    </row>
    <row r="1545" spans="1:8" x14ac:dyDescent="0.25">
      <c r="A1545" s="4">
        <v>46016</v>
      </c>
      <c r="C1545" t="str">
        <f>_xlfn.IFNA(VLOOKUP($B1545,ref!$B$2:$C$34,2,FALSE),"NA")</f>
        <v>NA</v>
      </c>
      <c r="D1545" s="5">
        <v>4090</v>
      </c>
      <c r="E1545">
        <v>6</v>
      </c>
      <c r="F1545" s="1">
        <v>0.52</v>
      </c>
      <c r="G1545" s="1">
        <v>0.442</v>
      </c>
      <c r="H1545" s="10">
        <f t="shared" si="24"/>
        <v>0.15000000000000002</v>
      </c>
    </row>
    <row r="1546" spans="1:8" x14ac:dyDescent="0.25">
      <c r="A1546" s="4">
        <v>45764</v>
      </c>
      <c r="C1546" t="str">
        <f>_xlfn.IFNA(VLOOKUP($B1546,ref!$B$2:$C$34,2,FALSE),"NA")</f>
        <v>NA</v>
      </c>
      <c r="D1546" s="5">
        <v>4090</v>
      </c>
      <c r="E1546">
        <v>6</v>
      </c>
      <c r="F1546" s="1">
        <v>0.52</v>
      </c>
      <c r="G1546" s="1">
        <v>0.442</v>
      </c>
      <c r="H1546" s="10">
        <f t="shared" si="24"/>
        <v>0.15000000000000002</v>
      </c>
    </row>
    <row r="1547" spans="1:8" x14ac:dyDescent="0.25">
      <c r="A1547" s="4">
        <v>45764</v>
      </c>
      <c r="C1547" t="str">
        <f>_xlfn.IFNA(VLOOKUP($B1547,ref!$B$2:$C$34,2,FALSE),"NA")</f>
        <v>NA</v>
      </c>
      <c r="D1547" s="5">
        <v>4090</v>
      </c>
      <c r="E1547">
        <v>6</v>
      </c>
      <c r="F1547" s="1">
        <v>0.52</v>
      </c>
      <c r="G1547" s="1">
        <v>0.442</v>
      </c>
      <c r="H1547" s="10">
        <f t="shared" si="24"/>
        <v>0.15000000000000002</v>
      </c>
    </row>
    <row r="1548" spans="1:8" x14ac:dyDescent="0.25">
      <c r="A1548" s="4">
        <v>45764</v>
      </c>
      <c r="B1548" t="s">
        <v>12</v>
      </c>
      <c r="C1548" t="str">
        <f>_xlfn.IFNA(VLOOKUP($B1548,ref!$B$2:$C$34,2,FALSE),"NA")</f>
        <v>Spot</v>
      </c>
      <c r="D1548" s="5">
        <v>4090</v>
      </c>
      <c r="E1548">
        <v>6</v>
      </c>
      <c r="F1548" s="1">
        <v>0.52</v>
      </c>
      <c r="G1548" s="1">
        <v>0.442</v>
      </c>
      <c r="H1548" s="10">
        <f t="shared" si="24"/>
        <v>0.15000000000000002</v>
      </c>
    </row>
    <row r="1549" spans="1:8" x14ac:dyDescent="0.25">
      <c r="A1549" s="4">
        <v>45764</v>
      </c>
      <c r="B1549" t="s">
        <v>12</v>
      </c>
      <c r="C1549" t="str">
        <f>_xlfn.IFNA(VLOOKUP($B1549,ref!$B$2:$C$34,2,FALSE),"NA")</f>
        <v>Spot</v>
      </c>
      <c r="D1549" s="5">
        <v>4090</v>
      </c>
      <c r="E1549">
        <v>6</v>
      </c>
      <c r="F1549" s="1">
        <v>0.52</v>
      </c>
      <c r="G1549" s="1">
        <v>0.442</v>
      </c>
      <c r="H1549" s="10">
        <f t="shared" si="24"/>
        <v>0.15000000000000002</v>
      </c>
    </row>
    <row r="1550" spans="1:8" x14ac:dyDescent="0.25">
      <c r="A1550" s="4">
        <v>45764</v>
      </c>
      <c r="C1550" t="str">
        <f>_xlfn.IFNA(VLOOKUP($B1550,ref!$B$2:$C$34,2,FALSE),"NA")</f>
        <v>NA</v>
      </c>
      <c r="D1550" s="5">
        <v>4090</v>
      </c>
      <c r="E1550">
        <v>6</v>
      </c>
      <c r="F1550" s="1">
        <v>0.52</v>
      </c>
      <c r="G1550" s="1">
        <v>0.442</v>
      </c>
      <c r="H1550" s="10">
        <f t="shared" si="24"/>
        <v>0.15000000000000002</v>
      </c>
    </row>
    <row r="1551" spans="1:8" x14ac:dyDescent="0.25">
      <c r="A1551" s="4">
        <v>45764</v>
      </c>
      <c r="C1551" t="str">
        <f>_xlfn.IFNA(VLOOKUP($B1551,ref!$B$2:$C$34,2,FALSE),"NA")</f>
        <v>NA</v>
      </c>
      <c r="D1551" s="5">
        <v>4090</v>
      </c>
      <c r="E1551">
        <v>6</v>
      </c>
      <c r="F1551" s="1">
        <v>0.52</v>
      </c>
      <c r="G1551" s="1">
        <v>0.442</v>
      </c>
      <c r="H1551" s="10">
        <f t="shared" si="24"/>
        <v>0.15000000000000002</v>
      </c>
    </row>
    <row r="1552" spans="1:8" x14ac:dyDescent="0.25">
      <c r="A1552" s="4">
        <v>45764</v>
      </c>
      <c r="B1552" t="s">
        <v>12</v>
      </c>
      <c r="C1552" t="str">
        <f>_xlfn.IFNA(VLOOKUP($B1552,ref!$B$2:$C$34,2,FALSE),"NA")</f>
        <v>Spot</v>
      </c>
      <c r="D1552" s="5">
        <v>4090</v>
      </c>
      <c r="E1552">
        <v>6</v>
      </c>
      <c r="F1552" s="1">
        <v>0.52</v>
      </c>
      <c r="G1552" s="1">
        <v>0.442</v>
      </c>
      <c r="H1552" s="10">
        <f t="shared" si="24"/>
        <v>0.15000000000000002</v>
      </c>
    </row>
    <row r="1553" spans="1:8" x14ac:dyDescent="0.25">
      <c r="A1553" s="4">
        <v>45764</v>
      </c>
      <c r="B1553" t="s">
        <v>12</v>
      </c>
      <c r="C1553" t="str">
        <f>_xlfn.IFNA(VLOOKUP($B1553,ref!$B$2:$C$34,2,FALSE),"NA")</f>
        <v>Spot</v>
      </c>
      <c r="D1553" s="5">
        <v>4090</v>
      </c>
      <c r="E1553">
        <v>6</v>
      </c>
      <c r="F1553" s="1">
        <v>0.52</v>
      </c>
      <c r="G1553" s="1">
        <v>0.442</v>
      </c>
      <c r="H1553" s="10">
        <f t="shared" si="24"/>
        <v>0.15000000000000002</v>
      </c>
    </row>
    <row r="1554" spans="1:8" x14ac:dyDescent="0.25">
      <c r="A1554" s="4">
        <v>45764</v>
      </c>
      <c r="B1554" t="s">
        <v>12</v>
      </c>
      <c r="C1554" t="str">
        <f>_xlfn.IFNA(VLOOKUP($B1554,ref!$B$2:$C$34,2,FALSE),"NA")</f>
        <v>Spot</v>
      </c>
      <c r="D1554" s="5">
        <v>4090</v>
      </c>
      <c r="E1554">
        <v>6</v>
      </c>
      <c r="F1554" s="1">
        <v>0.52</v>
      </c>
      <c r="G1554" s="1">
        <v>0.442</v>
      </c>
      <c r="H1554" s="10">
        <f t="shared" si="24"/>
        <v>0.15000000000000002</v>
      </c>
    </row>
    <row r="1555" spans="1:8" x14ac:dyDescent="0.25">
      <c r="A1555" s="4">
        <v>45764</v>
      </c>
      <c r="C1555" t="str">
        <f>_xlfn.IFNA(VLOOKUP($B1555,ref!$B$2:$C$34,2,FALSE),"NA")</f>
        <v>NA</v>
      </c>
      <c r="D1555" s="5">
        <v>4090</v>
      </c>
      <c r="E1555">
        <v>6</v>
      </c>
      <c r="F1555" s="1">
        <v>0.52</v>
      </c>
      <c r="G1555" s="1">
        <v>0.442</v>
      </c>
      <c r="H1555" s="10">
        <f t="shared" si="24"/>
        <v>0.15000000000000002</v>
      </c>
    </row>
    <row r="1556" spans="1:8" x14ac:dyDescent="0.25">
      <c r="A1556" s="4">
        <v>45747</v>
      </c>
      <c r="C1556" t="str">
        <f>_xlfn.IFNA(VLOOKUP($B1556,ref!$B$2:$C$34,2,FALSE),"NA")</f>
        <v>NA</v>
      </c>
      <c r="D1556" s="5">
        <v>4090</v>
      </c>
      <c r="E1556">
        <v>6</v>
      </c>
      <c r="F1556" s="1">
        <v>0.52</v>
      </c>
      <c r="G1556" s="1">
        <v>0.442</v>
      </c>
      <c r="H1556" s="10">
        <f t="shared" si="24"/>
        <v>0.15000000000000002</v>
      </c>
    </row>
    <row r="1557" spans="1:8" x14ac:dyDescent="0.25">
      <c r="A1557" s="4">
        <v>45733</v>
      </c>
      <c r="B1557" t="s">
        <v>12</v>
      </c>
      <c r="C1557" t="str">
        <f>_xlfn.IFNA(VLOOKUP($B1557,ref!$B$2:$C$34,2,FALSE),"NA")</f>
        <v>Spot</v>
      </c>
      <c r="D1557" s="5">
        <v>4090</v>
      </c>
      <c r="E1557">
        <v>6</v>
      </c>
      <c r="F1557" s="1">
        <v>0.52</v>
      </c>
      <c r="G1557" s="1">
        <v>0.442</v>
      </c>
      <c r="H1557" s="10">
        <f t="shared" si="24"/>
        <v>0.15000000000000002</v>
      </c>
    </row>
    <row r="1558" spans="1:8" x14ac:dyDescent="0.25">
      <c r="A1558" s="4">
        <v>45703</v>
      </c>
      <c r="B1558" t="s">
        <v>12</v>
      </c>
      <c r="C1558" t="str">
        <f>_xlfn.IFNA(VLOOKUP($B1558,ref!$B$2:$C$34,2,FALSE),"NA")</f>
        <v>Spot</v>
      </c>
      <c r="D1558" s="5">
        <v>4090</v>
      </c>
      <c r="E1558">
        <v>6</v>
      </c>
      <c r="F1558" s="1">
        <v>0.52</v>
      </c>
      <c r="G1558" s="1">
        <v>0.442</v>
      </c>
      <c r="H1558" s="10">
        <f t="shared" si="24"/>
        <v>0.15000000000000002</v>
      </c>
    </row>
    <row r="1559" spans="1:8" x14ac:dyDescent="0.25">
      <c r="A1559" s="4">
        <v>45957</v>
      </c>
      <c r="B1559" t="s">
        <v>29</v>
      </c>
      <c r="C1559" t="str">
        <f>_xlfn.IFNA(VLOOKUP($B1559,ref!$B$2:$C$34,2,FALSE),"NA")</f>
        <v>Spot</v>
      </c>
      <c r="D1559" s="5" t="s">
        <v>40</v>
      </c>
      <c r="E1559">
        <v>5</v>
      </c>
      <c r="F1559" s="1">
        <v>0.65</v>
      </c>
      <c r="G1559" s="1">
        <v>0.56899999999999995</v>
      </c>
      <c r="H1559" s="10">
        <f t="shared" si="24"/>
        <v>0.12461538461538468</v>
      </c>
    </row>
    <row r="1560" spans="1:8" x14ac:dyDescent="0.25">
      <c r="A1560" s="4">
        <v>45868</v>
      </c>
      <c r="B1560" t="s">
        <v>29</v>
      </c>
      <c r="C1560" t="str">
        <f>_xlfn.IFNA(VLOOKUP($B1560,ref!$B$2:$C$34,2,FALSE),"NA")</f>
        <v>Spot</v>
      </c>
      <c r="D1560" s="5" t="s">
        <v>40</v>
      </c>
      <c r="E1560">
        <v>5</v>
      </c>
      <c r="F1560" s="1">
        <v>0.65</v>
      </c>
      <c r="G1560" s="1">
        <v>0.56899999999999995</v>
      </c>
      <c r="H1560" s="10">
        <f t="shared" si="24"/>
        <v>0.12461538461538468</v>
      </c>
    </row>
    <row r="1561" spans="1:8" x14ac:dyDescent="0.25">
      <c r="A1561" s="4">
        <v>45867</v>
      </c>
      <c r="B1561" t="s">
        <v>29</v>
      </c>
      <c r="C1561" t="str">
        <f>_xlfn.IFNA(VLOOKUP($B1561,ref!$B$2:$C$34,2,FALSE),"NA")</f>
        <v>Spot</v>
      </c>
      <c r="D1561" s="5" t="s">
        <v>40</v>
      </c>
      <c r="E1561">
        <v>5</v>
      </c>
      <c r="F1561" s="1">
        <v>0.65</v>
      </c>
      <c r="G1561" s="1">
        <v>0.56899999999999995</v>
      </c>
      <c r="H1561" s="10">
        <f t="shared" si="24"/>
        <v>0.12461538461538468</v>
      </c>
    </row>
    <row r="1562" spans="1:8" x14ac:dyDescent="0.25">
      <c r="A1562" s="4">
        <v>45832</v>
      </c>
      <c r="C1562" t="str">
        <f>_xlfn.IFNA(VLOOKUP($B1562,ref!$B$2:$C$34,2,FALSE),"NA")</f>
        <v>NA</v>
      </c>
      <c r="D1562" s="5" t="s">
        <v>16</v>
      </c>
      <c r="E1562">
        <v>4</v>
      </c>
      <c r="F1562" s="1">
        <v>7.0000000000000007E-2</v>
      </c>
      <c r="G1562" s="1">
        <v>7.0000000000000007E-2</v>
      </c>
      <c r="H1562" s="10">
        <f t="shared" si="24"/>
        <v>0</v>
      </c>
    </row>
    <row r="1563" spans="1:8" x14ac:dyDescent="0.25">
      <c r="A1563" s="4">
        <v>45832</v>
      </c>
      <c r="C1563" t="str">
        <f>_xlfn.IFNA(VLOOKUP($B1563,ref!$B$2:$C$34,2,FALSE),"NA")</f>
        <v>NA</v>
      </c>
      <c r="D1563" s="5" t="s">
        <v>16</v>
      </c>
      <c r="E1563">
        <v>4</v>
      </c>
      <c r="F1563" s="1">
        <v>7.0000000000000007E-2</v>
      </c>
      <c r="G1563" s="1">
        <v>7.0000000000000007E-2</v>
      </c>
      <c r="H1563" s="10">
        <f t="shared" si="24"/>
        <v>0</v>
      </c>
    </row>
    <row r="1564" spans="1:8" x14ac:dyDescent="0.25">
      <c r="A1564" s="4">
        <v>45832</v>
      </c>
      <c r="C1564" t="str">
        <f>_xlfn.IFNA(VLOOKUP($B1564,ref!$B$2:$C$34,2,FALSE),"NA")</f>
        <v>NA</v>
      </c>
      <c r="D1564" s="5" t="s">
        <v>16</v>
      </c>
      <c r="E1564">
        <v>4</v>
      </c>
      <c r="F1564" s="1">
        <v>7.0000000000000007E-2</v>
      </c>
      <c r="G1564" s="1">
        <v>7.0000000000000007E-2</v>
      </c>
      <c r="H1564" s="10">
        <f t="shared" si="24"/>
        <v>0</v>
      </c>
    </row>
    <row r="1565" spans="1:8" x14ac:dyDescent="0.25">
      <c r="A1565" s="4">
        <v>45832</v>
      </c>
      <c r="C1565" t="str">
        <f>_xlfn.IFNA(VLOOKUP($B1565,ref!$B$2:$C$34,2,FALSE),"NA")</f>
        <v>NA</v>
      </c>
      <c r="D1565" s="5" t="s">
        <v>16</v>
      </c>
      <c r="E1565">
        <v>4</v>
      </c>
      <c r="F1565" s="1">
        <v>7.0000000000000007E-2</v>
      </c>
      <c r="G1565" s="1">
        <v>7.0000000000000007E-2</v>
      </c>
      <c r="H1565" s="10">
        <f t="shared" si="24"/>
        <v>0</v>
      </c>
    </row>
    <row r="1566" spans="1:8" x14ac:dyDescent="0.25">
      <c r="A1566" s="4">
        <v>45832</v>
      </c>
      <c r="C1566" t="str">
        <f>_xlfn.IFNA(VLOOKUP($B1566,ref!$B$2:$C$34,2,FALSE),"NA")</f>
        <v>NA</v>
      </c>
      <c r="D1566" s="5" t="s">
        <v>16</v>
      </c>
      <c r="E1566">
        <v>4</v>
      </c>
      <c r="F1566" s="1">
        <v>7.0000000000000007E-2</v>
      </c>
      <c r="G1566" s="1">
        <v>7.0000000000000007E-2</v>
      </c>
      <c r="H1566" s="10">
        <f t="shared" si="24"/>
        <v>0</v>
      </c>
    </row>
    <row r="1567" spans="1:8" x14ac:dyDescent="0.25">
      <c r="A1567" s="4">
        <v>45832</v>
      </c>
      <c r="C1567" t="str">
        <f>_xlfn.IFNA(VLOOKUP($B1567,ref!$B$2:$C$34,2,FALSE),"NA")</f>
        <v>NA</v>
      </c>
      <c r="D1567" s="5" t="s">
        <v>16</v>
      </c>
      <c r="E1567">
        <v>4</v>
      </c>
      <c r="F1567" s="1">
        <v>7.0000000000000007E-2</v>
      </c>
      <c r="G1567" s="1">
        <v>7.0000000000000007E-2</v>
      </c>
      <c r="H1567" s="10">
        <f t="shared" si="24"/>
        <v>0</v>
      </c>
    </row>
    <row r="1568" spans="1:8" x14ac:dyDescent="0.25">
      <c r="A1568" s="4">
        <v>45832</v>
      </c>
      <c r="C1568" t="str">
        <f>_xlfn.IFNA(VLOOKUP($B1568,ref!$B$2:$C$34,2,FALSE),"NA")</f>
        <v>NA</v>
      </c>
      <c r="D1568" s="5" t="s">
        <v>16</v>
      </c>
      <c r="E1568">
        <v>4</v>
      </c>
      <c r="F1568" s="1">
        <v>7.0000000000000007E-2</v>
      </c>
      <c r="G1568" s="1">
        <v>7.0000000000000007E-2</v>
      </c>
      <c r="H1568" s="10">
        <f t="shared" si="24"/>
        <v>0</v>
      </c>
    </row>
    <row r="1569" spans="1:8" x14ac:dyDescent="0.25">
      <c r="A1569" s="4">
        <v>45832</v>
      </c>
      <c r="C1569" t="str">
        <f>_xlfn.IFNA(VLOOKUP($B1569,ref!$B$2:$C$34,2,FALSE),"NA")</f>
        <v>NA</v>
      </c>
      <c r="D1569" s="5" t="s">
        <v>16</v>
      </c>
      <c r="E1569">
        <v>4</v>
      </c>
      <c r="F1569" s="1">
        <v>7.0000000000000007E-2</v>
      </c>
      <c r="G1569" s="1">
        <v>7.0000000000000007E-2</v>
      </c>
      <c r="H1569" s="10">
        <f t="shared" si="24"/>
        <v>0</v>
      </c>
    </row>
    <row r="1570" spans="1:8" x14ac:dyDescent="0.25">
      <c r="A1570" s="4">
        <v>45793</v>
      </c>
      <c r="B1570" t="s">
        <v>9</v>
      </c>
      <c r="C1570" t="str">
        <f>_xlfn.IFNA(VLOOKUP($B1570,ref!$B$2:$C$34,2,FALSE),"NA")</f>
        <v>12 Month</v>
      </c>
      <c r="D1570" s="5" t="s">
        <v>10</v>
      </c>
      <c r="E1570">
        <v>4</v>
      </c>
      <c r="F1570" s="1">
        <v>1.92</v>
      </c>
      <c r="G1570" s="1">
        <v>1.87</v>
      </c>
      <c r="H1570" s="10">
        <f t="shared" si="24"/>
        <v>2.604166666666663E-2</v>
      </c>
    </row>
    <row r="1571" spans="1:8" x14ac:dyDescent="0.25">
      <c r="A1571" s="4">
        <v>45793</v>
      </c>
      <c r="B1571" t="s">
        <v>9</v>
      </c>
      <c r="C1571" t="str">
        <f>_xlfn.IFNA(VLOOKUP($B1571,ref!$B$2:$C$34,2,FALSE),"NA")</f>
        <v>12 Month</v>
      </c>
      <c r="D1571" s="5" t="s">
        <v>10</v>
      </c>
      <c r="E1571">
        <v>4</v>
      </c>
      <c r="F1571" s="1">
        <v>1.92</v>
      </c>
      <c r="G1571" s="1">
        <v>1.87</v>
      </c>
      <c r="H1571" s="10">
        <f t="shared" si="24"/>
        <v>2.604166666666663E-2</v>
      </c>
    </row>
    <row r="1572" spans="1:8" x14ac:dyDescent="0.25">
      <c r="A1572" s="4">
        <v>45793</v>
      </c>
      <c r="B1572" t="s">
        <v>9</v>
      </c>
      <c r="C1572" t="str">
        <f>_xlfn.IFNA(VLOOKUP($B1572,ref!$B$2:$C$34,2,FALSE),"NA")</f>
        <v>12 Month</v>
      </c>
      <c r="D1572" s="5" t="s">
        <v>10</v>
      </c>
      <c r="E1572">
        <v>4</v>
      </c>
      <c r="F1572" s="1">
        <v>1.92</v>
      </c>
      <c r="G1572" s="1">
        <v>1.87</v>
      </c>
      <c r="H1572" s="10">
        <f t="shared" si="24"/>
        <v>2.604166666666663E-2</v>
      </c>
    </row>
    <row r="1573" spans="1:8" x14ac:dyDescent="0.25">
      <c r="A1573" s="4">
        <v>45793</v>
      </c>
      <c r="B1573" t="s">
        <v>9</v>
      </c>
      <c r="C1573" t="str">
        <f>_xlfn.IFNA(VLOOKUP($B1573,ref!$B$2:$C$34,2,FALSE),"NA")</f>
        <v>12 Month</v>
      </c>
      <c r="D1573" s="5" t="s">
        <v>10</v>
      </c>
      <c r="E1573">
        <v>4</v>
      </c>
      <c r="F1573" s="1">
        <v>1.92</v>
      </c>
      <c r="G1573" s="1">
        <v>1.87</v>
      </c>
      <c r="H1573" s="10">
        <f t="shared" si="24"/>
        <v>2.604166666666663E-2</v>
      </c>
    </row>
    <row r="1574" spans="1:8" x14ac:dyDescent="0.25">
      <c r="A1574" s="4">
        <v>45793</v>
      </c>
      <c r="B1574" t="s">
        <v>9</v>
      </c>
      <c r="C1574" t="str">
        <f>_xlfn.IFNA(VLOOKUP($B1574,ref!$B$2:$C$34,2,FALSE),"NA")</f>
        <v>12 Month</v>
      </c>
      <c r="D1574" s="5" t="s">
        <v>10</v>
      </c>
      <c r="E1574">
        <v>4</v>
      </c>
      <c r="F1574" s="1">
        <v>1.92</v>
      </c>
      <c r="G1574" s="1">
        <v>1.87</v>
      </c>
      <c r="H1574" s="10">
        <f t="shared" si="24"/>
        <v>2.604166666666663E-2</v>
      </c>
    </row>
    <row r="1575" spans="1:8" x14ac:dyDescent="0.25">
      <c r="A1575" s="4">
        <v>45793</v>
      </c>
      <c r="B1575" t="s">
        <v>9</v>
      </c>
      <c r="C1575" t="str">
        <f>_xlfn.IFNA(VLOOKUP($B1575,ref!$B$2:$C$34,2,FALSE),"NA")</f>
        <v>12 Month</v>
      </c>
      <c r="D1575" s="5" t="s">
        <v>10</v>
      </c>
      <c r="E1575">
        <v>4</v>
      </c>
      <c r="F1575" s="1">
        <v>1.92</v>
      </c>
      <c r="G1575" s="1">
        <v>1.87</v>
      </c>
      <c r="H1575" s="10">
        <f t="shared" si="24"/>
        <v>2.604166666666663E-2</v>
      </c>
    </row>
    <row r="1576" spans="1:8" x14ac:dyDescent="0.25">
      <c r="A1576" s="4">
        <v>45793</v>
      </c>
      <c r="B1576" t="s">
        <v>9</v>
      </c>
      <c r="C1576" t="str">
        <f>_xlfn.IFNA(VLOOKUP($B1576,ref!$B$2:$C$34,2,FALSE),"NA")</f>
        <v>12 Month</v>
      </c>
      <c r="D1576" s="5" t="s">
        <v>10</v>
      </c>
      <c r="E1576">
        <v>4</v>
      </c>
      <c r="F1576" s="1">
        <v>1.92</v>
      </c>
      <c r="G1576" s="1">
        <v>1.87</v>
      </c>
      <c r="H1576" s="10">
        <f t="shared" si="24"/>
        <v>2.604166666666663E-2</v>
      </c>
    </row>
    <row r="1577" spans="1:8" x14ac:dyDescent="0.25">
      <c r="A1577" s="4">
        <v>45789</v>
      </c>
      <c r="B1577" t="s">
        <v>31</v>
      </c>
      <c r="C1577" t="str">
        <f>_xlfn.IFNA(VLOOKUP($B1577,ref!$B$2:$C$34,2,FALSE),"NA")</f>
        <v>1 Month</v>
      </c>
      <c r="D1577" s="5" t="s">
        <v>10</v>
      </c>
      <c r="E1577">
        <v>4</v>
      </c>
      <c r="F1577" s="1">
        <v>2.2000000000000002</v>
      </c>
      <c r="G1577" s="1">
        <v>2.1</v>
      </c>
      <c r="H1577" s="10">
        <f t="shared" si="24"/>
        <v>4.5454545454545525E-2</v>
      </c>
    </row>
    <row r="1578" spans="1:8" x14ac:dyDescent="0.25">
      <c r="A1578" s="4">
        <v>45789</v>
      </c>
      <c r="B1578" t="s">
        <v>31</v>
      </c>
      <c r="C1578" t="str">
        <f>_xlfn.IFNA(VLOOKUP($B1578,ref!$B$2:$C$34,2,FALSE),"NA")</f>
        <v>1 Month</v>
      </c>
      <c r="D1578" s="5" t="s">
        <v>10</v>
      </c>
      <c r="E1578">
        <v>4</v>
      </c>
      <c r="F1578" s="1">
        <v>2.2000000000000002</v>
      </c>
      <c r="G1578" s="1">
        <v>2.1</v>
      </c>
      <c r="H1578" s="10">
        <f t="shared" si="24"/>
        <v>4.5454545454545525E-2</v>
      </c>
    </row>
    <row r="1579" spans="1:8" x14ac:dyDescent="0.25">
      <c r="A1579" s="4">
        <v>45789</v>
      </c>
      <c r="B1579" t="s">
        <v>31</v>
      </c>
      <c r="C1579" t="str">
        <f>_xlfn.IFNA(VLOOKUP($B1579,ref!$B$2:$C$34,2,FALSE),"NA")</f>
        <v>1 Month</v>
      </c>
      <c r="D1579" s="5" t="s">
        <v>10</v>
      </c>
      <c r="E1579">
        <v>4</v>
      </c>
      <c r="F1579" s="1">
        <v>2.2000000000000002</v>
      </c>
      <c r="G1579" s="1">
        <v>2.1</v>
      </c>
      <c r="H1579" s="10">
        <f t="shared" si="24"/>
        <v>4.5454545454545525E-2</v>
      </c>
    </row>
    <row r="1580" spans="1:8" x14ac:dyDescent="0.25">
      <c r="A1580" s="4">
        <v>45786</v>
      </c>
      <c r="B1580" t="s">
        <v>12</v>
      </c>
      <c r="C1580" t="str">
        <f>_xlfn.IFNA(VLOOKUP($B1580,ref!$B$2:$C$34,2,FALSE),"NA")</f>
        <v>Spot</v>
      </c>
      <c r="D1580" s="5" t="s">
        <v>32</v>
      </c>
      <c r="E1580">
        <v>4</v>
      </c>
      <c r="F1580" s="1">
        <v>0.8</v>
      </c>
      <c r="G1580" s="1">
        <v>0.7</v>
      </c>
      <c r="H1580" s="10">
        <f t="shared" si="24"/>
        <v>0.12500000000000011</v>
      </c>
    </row>
    <row r="1581" spans="1:8" x14ac:dyDescent="0.25">
      <c r="A1581" s="4">
        <v>45786</v>
      </c>
      <c r="B1581" t="s">
        <v>12</v>
      </c>
      <c r="C1581" t="str">
        <f>_xlfn.IFNA(VLOOKUP($B1581,ref!$B$2:$C$34,2,FALSE),"NA")</f>
        <v>Spot</v>
      </c>
      <c r="D1581" s="5" t="s">
        <v>32</v>
      </c>
      <c r="E1581">
        <v>4</v>
      </c>
      <c r="F1581" s="1">
        <v>0.8</v>
      </c>
      <c r="G1581" s="1">
        <v>0.7</v>
      </c>
      <c r="H1581" s="10">
        <f t="shared" si="24"/>
        <v>0.12500000000000011</v>
      </c>
    </row>
    <row r="1582" spans="1:8" x14ac:dyDescent="0.25">
      <c r="A1582" s="4">
        <v>45786</v>
      </c>
      <c r="B1582" t="s">
        <v>12</v>
      </c>
      <c r="C1582" t="str">
        <f>_xlfn.IFNA(VLOOKUP($B1582,ref!$B$2:$C$34,2,FALSE),"NA")</f>
        <v>Spot</v>
      </c>
      <c r="D1582" s="5" t="s">
        <v>32</v>
      </c>
      <c r="E1582">
        <v>4</v>
      </c>
      <c r="F1582" s="1">
        <v>0.8</v>
      </c>
      <c r="G1582" s="1">
        <v>0.7</v>
      </c>
      <c r="H1582" s="10">
        <f t="shared" si="24"/>
        <v>0.12500000000000011</v>
      </c>
    </row>
    <row r="1583" spans="1:8" x14ac:dyDescent="0.25">
      <c r="A1583" s="4">
        <v>45786</v>
      </c>
      <c r="B1583" t="s">
        <v>12</v>
      </c>
      <c r="C1583" t="str">
        <f>_xlfn.IFNA(VLOOKUP($B1583,ref!$B$2:$C$34,2,FALSE),"NA")</f>
        <v>Spot</v>
      </c>
      <c r="D1583" s="5" t="s">
        <v>32</v>
      </c>
      <c r="E1583">
        <v>4</v>
      </c>
      <c r="F1583" s="1">
        <v>0.8</v>
      </c>
      <c r="G1583" s="1">
        <v>0.7</v>
      </c>
      <c r="H1583" s="10">
        <f t="shared" si="24"/>
        <v>0.12500000000000011</v>
      </c>
    </row>
    <row r="1584" spans="1:8" x14ac:dyDescent="0.25">
      <c r="A1584" s="4">
        <v>45786</v>
      </c>
      <c r="B1584" t="s">
        <v>12</v>
      </c>
      <c r="C1584" t="str">
        <f>_xlfn.IFNA(VLOOKUP($B1584,ref!$B$2:$C$34,2,FALSE),"NA")</f>
        <v>Spot</v>
      </c>
      <c r="D1584" s="5" t="s">
        <v>32</v>
      </c>
      <c r="E1584">
        <v>4</v>
      </c>
      <c r="F1584" s="1">
        <v>0.8</v>
      </c>
      <c r="G1584" s="1">
        <v>0.7</v>
      </c>
      <c r="H1584" s="10">
        <f t="shared" si="24"/>
        <v>0.12500000000000011</v>
      </c>
    </row>
    <row r="1585" spans="1:8" x14ac:dyDescent="0.25">
      <c r="A1585" s="4">
        <v>45786</v>
      </c>
      <c r="B1585" t="s">
        <v>12</v>
      </c>
      <c r="C1585" t="str">
        <f>_xlfn.IFNA(VLOOKUP($B1585,ref!$B$2:$C$34,2,FALSE),"NA")</f>
        <v>Spot</v>
      </c>
      <c r="D1585" s="5" t="s">
        <v>32</v>
      </c>
      <c r="E1585">
        <v>4</v>
      </c>
      <c r="F1585" s="1">
        <v>0.8</v>
      </c>
      <c r="G1585" s="1">
        <v>0.7</v>
      </c>
      <c r="H1585" s="10">
        <f t="shared" si="24"/>
        <v>0.12500000000000011</v>
      </c>
    </row>
    <row r="1586" spans="1:8" x14ac:dyDescent="0.25">
      <c r="A1586" s="4">
        <v>45786</v>
      </c>
      <c r="B1586" t="s">
        <v>12</v>
      </c>
      <c r="C1586" t="str">
        <f>_xlfn.IFNA(VLOOKUP($B1586,ref!$B$2:$C$34,2,FALSE),"NA")</f>
        <v>Spot</v>
      </c>
      <c r="D1586" s="5" t="s">
        <v>32</v>
      </c>
      <c r="E1586">
        <v>4</v>
      </c>
      <c r="F1586" s="1">
        <v>0.8</v>
      </c>
      <c r="G1586" s="1">
        <v>0.7</v>
      </c>
      <c r="H1586" s="10">
        <f t="shared" si="24"/>
        <v>0.12500000000000011</v>
      </c>
    </row>
    <row r="1587" spans="1:8" x14ac:dyDescent="0.25">
      <c r="A1587" s="4">
        <v>45786</v>
      </c>
      <c r="B1587" t="s">
        <v>12</v>
      </c>
      <c r="C1587" t="str">
        <f>_xlfn.IFNA(VLOOKUP($B1587,ref!$B$2:$C$34,2,FALSE),"NA")</f>
        <v>Spot</v>
      </c>
      <c r="D1587" s="5" t="s">
        <v>32</v>
      </c>
      <c r="E1587">
        <v>4</v>
      </c>
      <c r="F1587" s="1">
        <v>0.8</v>
      </c>
      <c r="G1587" s="1">
        <v>0.7</v>
      </c>
      <c r="H1587" s="10">
        <f t="shared" si="24"/>
        <v>0.12500000000000011</v>
      </c>
    </row>
    <row r="1588" spans="1:8" x14ac:dyDescent="0.25">
      <c r="A1588" s="4">
        <v>45786</v>
      </c>
      <c r="C1588" t="str">
        <f>_xlfn.IFNA(VLOOKUP($B1588,ref!$B$2:$C$34,2,FALSE),"NA")</f>
        <v>NA</v>
      </c>
      <c r="D1588" s="5" t="s">
        <v>10</v>
      </c>
      <c r="E1588">
        <v>4</v>
      </c>
      <c r="F1588" s="1">
        <v>1.92</v>
      </c>
      <c r="G1588" s="1">
        <v>1.87</v>
      </c>
      <c r="H1588" s="10">
        <f t="shared" si="24"/>
        <v>2.604166666666663E-2</v>
      </c>
    </row>
    <row r="1589" spans="1:8" x14ac:dyDescent="0.25">
      <c r="A1589" s="4">
        <v>45786</v>
      </c>
      <c r="B1589" t="s">
        <v>12</v>
      </c>
      <c r="C1589" t="str">
        <f>_xlfn.IFNA(VLOOKUP($B1589,ref!$B$2:$C$34,2,FALSE),"NA")</f>
        <v>Spot</v>
      </c>
      <c r="D1589" s="5" t="s">
        <v>32</v>
      </c>
      <c r="E1589">
        <v>4</v>
      </c>
      <c r="F1589" s="1">
        <v>0.8</v>
      </c>
      <c r="G1589" s="1">
        <v>0.7</v>
      </c>
      <c r="H1589" s="10">
        <f t="shared" si="24"/>
        <v>0.12500000000000011</v>
      </c>
    </row>
    <row r="1590" spans="1:8" x14ac:dyDescent="0.25">
      <c r="A1590" s="4">
        <v>45779</v>
      </c>
      <c r="B1590" t="s">
        <v>9</v>
      </c>
      <c r="C1590" t="str">
        <f>_xlfn.IFNA(VLOOKUP($B1590,ref!$B$2:$C$34,2,FALSE),"NA")</f>
        <v>12 Month</v>
      </c>
      <c r="D1590" s="5" t="s">
        <v>10</v>
      </c>
      <c r="E1590">
        <v>4</v>
      </c>
      <c r="F1590" s="1">
        <v>1.92</v>
      </c>
      <c r="G1590" s="1">
        <v>1.87</v>
      </c>
      <c r="H1590" s="10">
        <f t="shared" si="24"/>
        <v>2.604166666666663E-2</v>
      </c>
    </row>
    <row r="1591" spans="1:8" x14ac:dyDescent="0.25">
      <c r="A1591" s="4">
        <v>45779</v>
      </c>
      <c r="B1591" t="s">
        <v>9</v>
      </c>
      <c r="C1591" t="str">
        <f>_xlfn.IFNA(VLOOKUP($B1591,ref!$B$2:$C$34,2,FALSE),"NA")</f>
        <v>12 Month</v>
      </c>
      <c r="D1591" s="5" t="s">
        <v>10</v>
      </c>
      <c r="E1591">
        <v>4</v>
      </c>
      <c r="F1591" s="1">
        <v>1.92</v>
      </c>
      <c r="G1591" s="1">
        <v>1.87</v>
      </c>
      <c r="H1591" s="10">
        <f t="shared" si="24"/>
        <v>2.604166666666663E-2</v>
      </c>
    </row>
    <row r="1592" spans="1:8" x14ac:dyDescent="0.25">
      <c r="A1592" s="4">
        <v>45779</v>
      </c>
      <c r="B1592" t="s">
        <v>9</v>
      </c>
      <c r="C1592" t="str">
        <f>_xlfn.IFNA(VLOOKUP($B1592,ref!$B$2:$C$34,2,FALSE),"NA")</f>
        <v>12 Month</v>
      </c>
      <c r="D1592" s="5" t="s">
        <v>10</v>
      </c>
      <c r="E1592">
        <v>4</v>
      </c>
      <c r="F1592" s="1">
        <v>1.92</v>
      </c>
      <c r="G1592" s="1">
        <v>1.87</v>
      </c>
      <c r="H1592" s="10">
        <f t="shared" si="24"/>
        <v>2.604166666666663E-2</v>
      </c>
    </row>
    <row r="1593" spans="1:8" x14ac:dyDescent="0.25">
      <c r="A1593" s="4">
        <v>45779</v>
      </c>
      <c r="B1593" t="s">
        <v>9</v>
      </c>
      <c r="C1593" t="str">
        <f>_xlfn.IFNA(VLOOKUP($B1593,ref!$B$2:$C$34,2,FALSE),"NA")</f>
        <v>12 Month</v>
      </c>
      <c r="D1593" s="5" t="s">
        <v>10</v>
      </c>
      <c r="E1593">
        <v>4</v>
      </c>
      <c r="F1593" s="1">
        <v>1.92</v>
      </c>
      <c r="G1593" s="1">
        <v>1.87</v>
      </c>
      <c r="H1593" s="10">
        <f t="shared" si="24"/>
        <v>2.604166666666663E-2</v>
      </c>
    </row>
    <row r="1594" spans="1:8" x14ac:dyDescent="0.25">
      <c r="A1594" s="4">
        <v>45779</v>
      </c>
      <c r="B1594" t="s">
        <v>9</v>
      </c>
      <c r="C1594" t="str">
        <f>_xlfn.IFNA(VLOOKUP($B1594,ref!$B$2:$C$34,2,FALSE),"NA")</f>
        <v>12 Month</v>
      </c>
      <c r="D1594" s="5" t="s">
        <v>10</v>
      </c>
      <c r="E1594">
        <v>4</v>
      </c>
      <c r="F1594" s="1">
        <v>1.92</v>
      </c>
      <c r="G1594" s="1">
        <v>1.87</v>
      </c>
      <c r="H1594" s="10">
        <f t="shared" si="24"/>
        <v>2.604166666666663E-2</v>
      </c>
    </row>
    <row r="1595" spans="1:8" x14ac:dyDescent="0.25">
      <c r="A1595" s="4">
        <v>45779</v>
      </c>
      <c r="B1595" t="s">
        <v>9</v>
      </c>
      <c r="C1595" t="str">
        <f>_xlfn.IFNA(VLOOKUP($B1595,ref!$B$2:$C$34,2,FALSE),"NA")</f>
        <v>12 Month</v>
      </c>
      <c r="D1595" s="5" t="s">
        <v>10</v>
      </c>
      <c r="E1595">
        <v>4</v>
      </c>
      <c r="F1595" s="1">
        <v>1.92</v>
      </c>
      <c r="G1595" s="1">
        <v>1.87</v>
      </c>
      <c r="H1595" s="10">
        <f t="shared" si="24"/>
        <v>2.604166666666663E-2</v>
      </c>
    </row>
    <row r="1596" spans="1:8" x14ac:dyDescent="0.25">
      <c r="A1596" s="4">
        <v>45779</v>
      </c>
      <c r="B1596" t="s">
        <v>9</v>
      </c>
      <c r="C1596" t="str">
        <f>_xlfn.IFNA(VLOOKUP($B1596,ref!$B$2:$C$34,2,FALSE),"NA")</f>
        <v>12 Month</v>
      </c>
      <c r="D1596" s="5" t="s">
        <v>10</v>
      </c>
      <c r="E1596">
        <v>4</v>
      </c>
      <c r="F1596" s="1">
        <v>1.92</v>
      </c>
      <c r="G1596" s="1">
        <v>1.87</v>
      </c>
      <c r="H1596" s="10">
        <f t="shared" si="24"/>
        <v>2.604166666666663E-2</v>
      </c>
    </row>
    <row r="1597" spans="1:8" x14ac:dyDescent="0.25">
      <c r="A1597" s="4">
        <v>45779</v>
      </c>
      <c r="B1597" t="s">
        <v>9</v>
      </c>
      <c r="C1597" t="str">
        <f>_xlfn.IFNA(VLOOKUP($B1597,ref!$B$2:$C$34,2,FALSE),"NA")</f>
        <v>12 Month</v>
      </c>
      <c r="D1597" s="5" t="s">
        <v>10</v>
      </c>
      <c r="E1597">
        <v>4</v>
      </c>
      <c r="F1597" s="1">
        <v>1.92</v>
      </c>
      <c r="G1597" s="1">
        <v>1.87</v>
      </c>
      <c r="H1597" s="10">
        <f t="shared" si="24"/>
        <v>2.604166666666663E-2</v>
      </c>
    </row>
    <row r="1598" spans="1:8" x14ac:dyDescent="0.25">
      <c r="A1598" s="4">
        <v>45779</v>
      </c>
      <c r="B1598" t="s">
        <v>9</v>
      </c>
      <c r="C1598" t="str">
        <f>_xlfn.IFNA(VLOOKUP($B1598,ref!$B$2:$C$34,2,FALSE),"NA")</f>
        <v>12 Month</v>
      </c>
      <c r="D1598" s="5" t="s">
        <v>10</v>
      </c>
      <c r="E1598">
        <v>4</v>
      </c>
      <c r="F1598" s="1">
        <v>1.92</v>
      </c>
      <c r="G1598" s="1">
        <v>1.87</v>
      </c>
      <c r="H1598" s="10">
        <f t="shared" si="24"/>
        <v>2.604166666666663E-2</v>
      </c>
    </row>
    <row r="1599" spans="1:8" x14ac:dyDescent="0.25">
      <c r="A1599" s="4">
        <v>45779</v>
      </c>
      <c r="B1599" t="s">
        <v>9</v>
      </c>
      <c r="C1599" t="str">
        <f>_xlfn.IFNA(VLOOKUP($B1599,ref!$B$2:$C$34,2,FALSE),"NA")</f>
        <v>12 Month</v>
      </c>
      <c r="D1599" s="5" t="s">
        <v>10</v>
      </c>
      <c r="E1599">
        <v>4</v>
      </c>
      <c r="F1599" s="1">
        <v>1.92</v>
      </c>
      <c r="G1599" s="1">
        <v>1.87</v>
      </c>
      <c r="H1599" s="10">
        <f t="shared" si="24"/>
        <v>2.604166666666663E-2</v>
      </c>
    </row>
    <row r="1600" spans="1:8" x14ac:dyDescent="0.25">
      <c r="A1600" s="4">
        <v>45761</v>
      </c>
      <c r="C1600" t="str">
        <f>_xlfn.IFNA(VLOOKUP($B1600,ref!$B$2:$C$34,2,FALSE),"NA")</f>
        <v>NA</v>
      </c>
      <c r="D1600" s="5" t="s">
        <v>10</v>
      </c>
      <c r="E1600">
        <v>4</v>
      </c>
      <c r="F1600" s="1">
        <v>1.92</v>
      </c>
      <c r="G1600" s="1">
        <v>1.87</v>
      </c>
      <c r="H1600" s="10">
        <f t="shared" si="24"/>
        <v>2.604166666666663E-2</v>
      </c>
    </row>
    <row r="1601" spans="1:8" x14ac:dyDescent="0.25">
      <c r="A1601" s="4">
        <v>45760</v>
      </c>
      <c r="B1601" t="s">
        <v>29</v>
      </c>
      <c r="C1601" t="str">
        <f>_xlfn.IFNA(VLOOKUP($B1601,ref!$B$2:$C$34,2,FALSE),"NA")</f>
        <v>Spot</v>
      </c>
      <c r="D1601" s="5" t="s">
        <v>10</v>
      </c>
      <c r="E1601">
        <v>4</v>
      </c>
      <c r="F1601" s="1">
        <v>2.5</v>
      </c>
      <c r="G1601" s="1">
        <v>2.1880000000000002</v>
      </c>
      <c r="H1601" s="10">
        <f t="shared" si="24"/>
        <v>0.12479999999999991</v>
      </c>
    </row>
    <row r="1602" spans="1:8" x14ac:dyDescent="0.25">
      <c r="A1602" s="4">
        <v>45716</v>
      </c>
      <c r="B1602" t="s">
        <v>17</v>
      </c>
      <c r="C1602" t="str">
        <f>_xlfn.IFNA(VLOOKUP($B1602,ref!$B$2:$C$34,2,FALSE),"NA")</f>
        <v>6 Month</v>
      </c>
      <c r="D1602" s="5" t="s">
        <v>10</v>
      </c>
      <c r="E1602">
        <v>4</v>
      </c>
      <c r="F1602" s="1">
        <v>1.92</v>
      </c>
      <c r="G1602" s="1">
        <v>1.87</v>
      </c>
      <c r="H1602" s="10">
        <f t="shared" si="24"/>
        <v>2.604166666666663E-2</v>
      </c>
    </row>
    <row r="1603" spans="1:8" x14ac:dyDescent="0.25">
      <c r="A1603" s="4">
        <v>45716</v>
      </c>
      <c r="B1603" t="s">
        <v>9</v>
      </c>
      <c r="C1603" t="str">
        <f>_xlfn.IFNA(VLOOKUP($B1603,ref!$B$2:$C$34,2,FALSE),"NA")</f>
        <v>12 Month</v>
      </c>
      <c r="D1603" s="5" t="s">
        <v>10</v>
      </c>
      <c r="E1603">
        <v>4</v>
      </c>
      <c r="F1603" s="1">
        <v>1.92</v>
      </c>
      <c r="G1603" s="1">
        <v>1.87</v>
      </c>
      <c r="H1603" s="10">
        <f t="shared" ref="H1603:H1666" si="25">1-(G1603/F1603)</f>
        <v>2.604166666666663E-2</v>
      </c>
    </row>
    <row r="1604" spans="1:8" x14ac:dyDescent="0.25">
      <c r="A1604" s="4">
        <v>45670</v>
      </c>
      <c r="C1604" t="str">
        <f>_xlfn.IFNA(VLOOKUP($B1604,ref!$B$2:$C$34,2,FALSE),"NA")</f>
        <v>NA</v>
      </c>
      <c r="D1604" s="5" t="s">
        <v>10</v>
      </c>
      <c r="E1604">
        <v>4</v>
      </c>
      <c r="F1604" s="1">
        <v>1.92</v>
      </c>
      <c r="G1604" s="1">
        <v>1.87</v>
      </c>
      <c r="H1604" s="10">
        <f t="shared" si="25"/>
        <v>2.604166666666663E-2</v>
      </c>
    </row>
    <row r="1605" spans="1:8" x14ac:dyDescent="0.25">
      <c r="A1605" s="4">
        <v>45670</v>
      </c>
      <c r="C1605" t="str">
        <f>_xlfn.IFNA(VLOOKUP($B1605,ref!$B$2:$C$34,2,FALSE),"NA")</f>
        <v>NA</v>
      </c>
      <c r="D1605" s="5" t="s">
        <v>10</v>
      </c>
      <c r="E1605">
        <v>4</v>
      </c>
      <c r="F1605" s="1">
        <v>1.92</v>
      </c>
      <c r="G1605" s="1">
        <v>1.87</v>
      </c>
      <c r="H1605" s="10">
        <f t="shared" si="25"/>
        <v>2.604166666666663E-2</v>
      </c>
    </row>
    <row r="1606" spans="1:8" x14ac:dyDescent="0.25">
      <c r="A1606" s="4">
        <v>45669</v>
      </c>
      <c r="C1606" t="str">
        <f>_xlfn.IFNA(VLOOKUP($B1606,ref!$B$2:$C$34,2,FALSE),"NA")</f>
        <v>NA</v>
      </c>
      <c r="D1606" s="5" t="s">
        <v>10</v>
      </c>
      <c r="E1606">
        <v>4</v>
      </c>
      <c r="F1606" s="1">
        <v>2.2000000000000002</v>
      </c>
      <c r="G1606" s="1">
        <v>2.1</v>
      </c>
      <c r="H1606" s="10">
        <f t="shared" si="25"/>
        <v>4.5454545454545525E-2</v>
      </c>
    </row>
    <row r="1607" spans="1:8" x14ac:dyDescent="0.25">
      <c r="A1607" s="4">
        <v>45669</v>
      </c>
      <c r="B1607" t="s">
        <v>12</v>
      </c>
      <c r="C1607" t="str">
        <f>_xlfn.IFNA(VLOOKUP($B1607,ref!$B$2:$C$34,2,FALSE),"NA")</f>
        <v>Spot</v>
      </c>
      <c r="D1607" s="5" t="s">
        <v>10</v>
      </c>
      <c r="E1607">
        <v>4</v>
      </c>
      <c r="F1607" s="1">
        <v>2.2000000000000002</v>
      </c>
      <c r="G1607" s="1">
        <v>2.1</v>
      </c>
      <c r="H1607" s="10">
        <f t="shared" si="25"/>
        <v>4.5454545454545525E-2</v>
      </c>
    </row>
    <row r="1608" spans="1:8" x14ac:dyDescent="0.25">
      <c r="A1608" s="4">
        <v>45659</v>
      </c>
      <c r="B1608" t="s">
        <v>9</v>
      </c>
      <c r="C1608" t="str">
        <f>_xlfn.IFNA(VLOOKUP($B1608,ref!$B$2:$C$34,2,FALSE),"NA")</f>
        <v>12 Month</v>
      </c>
      <c r="D1608" s="5" t="s">
        <v>10</v>
      </c>
      <c r="E1608">
        <v>4</v>
      </c>
      <c r="F1608" s="1">
        <v>1.92</v>
      </c>
      <c r="G1608" s="1">
        <v>1.87</v>
      </c>
      <c r="H1608" s="10">
        <f t="shared" si="25"/>
        <v>2.604166666666663E-2</v>
      </c>
    </row>
    <row r="1609" spans="1:8" x14ac:dyDescent="0.25">
      <c r="A1609" s="4">
        <v>45659</v>
      </c>
      <c r="B1609" t="s">
        <v>9</v>
      </c>
      <c r="C1609" t="str">
        <f>_xlfn.IFNA(VLOOKUP($B1609,ref!$B$2:$C$34,2,FALSE),"NA")</f>
        <v>12 Month</v>
      </c>
      <c r="D1609" s="5" t="s">
        <v>10</v>
      </c>
      <c r="E1609">
        <v>4</v>
      </c>
      <c r="F1609" s="1">
        <v>1.92</v>
      </c>
      <c r="G1609" s="1">
        <v>1.87</v>
      </c>
      <c r="H1609" s="10">
        <f t="shared" si="25"/>
        <v>2.604166666666663E-2</v>
      </c>
    </row>
    <row r="1610" spans="1:8" x14ac:dyDescent="0.25">
      <c r="A1610" s="4">
        <v>46037</v>
      </c>
      <c r="B1610" t="s">
        <v>31</v>
      </c>
      <c r="C1610" t="str">
        <f>_xlfn.IFNA(VLOOKUP($B1610,ref!$B$2:$C$34,2,FALSE),"NA")</f>
        <v>1 Month</v>
      </c>
      <c r="D1610" s="5" t="s">
        <v>23</v>
      </c>
      <c r="E1610">
        <v>3</v>
      </c>
      <c r="F1610" s="1">
        <v>275</v>
      </c>
      <c r="G1610" s="1">
        <v>250</v>
      </c>
      <c r="H1610" s="10">
        <f t="shared" si="25"/>
        <v>9.0909090909090939E-2</v>
      </c>
    </row>
    <row r="1611" spans="1:8" x14ac:dyDescent="0.25">
      <c r="A1611" s="4">
        <v>45992</v>
      </c>
      <c r="B1611" t="s">
        <v>6</v>
      </c>
      <c r="C1611" t="str">
        <f>_xlfn.IFNA(VLOOKUP($B1611,ref!$B$2:$C$34,2,FALSE),"NA")</f>
        <v>3 Month</v>
      </c>
      <c r="D1611" s="5" t="s">
        <v>23</v>
      </c>
      <c r="E1611">
        <v>3</v>
      </c>
      <c r="F1611" s="1">
        <v>500</v>
      </c>
      <c r="G1611" s="1">
        <v>450</v>
      </c>
      <c r="H1611" s="10">
        <f t="shared" si="25"/>
        <v>9.9999999999999978E-2</v>
      </c>
    </row>
    <row r="1612" spans="1:8" x14ac:dyDescent="0.25">
      <c r="A1612" s="4">
        <v>45979</v>
      </c>
      <c r="B1612" t="s">
        <v>6</v>
      </c>
      <c r="C1612" t="str">
        <f>_xlfn.IFNA(VLOOKUP($B1612,ref!$B$2:$C$34,2,FALSE),"NA")</f>
        <v>3 Month</v>
      </c>
      <c r="D1612" s="5" t="s">
        <v>23</v>
      </c>
      <c r="E1612">
        <v>3</v>
      </c>
      <c r="F1612" s="1">
        <v>0.69</v>
      </c>
      <c r="G1612" s="1">
        <v>0.63</v>
      </c>
      <c r="H1612" s="10">
        <f t="shared" si="25"/>
        <v>8.6956521739130377E-2</v>
      </c>
    </row>
    <row r="1613" spans="1:8" x14ac:dyDescent="0.25">
      <c r="A1613" s="4">
        <v>45979</v>
      </c>
      <c r="B1613" t="s">
        <v>6</v>
      </c>
      <c r="C1613" t="str">
        <f>_xlfn.IFNA(VLOOKUP($B1613,ref!$B$2:$C$34,2,FALSE),"NA")</f>
        <v>3 Month</v>
      </c>
      <c r="D1613" s="5" t="s">
        <v>23</v>
      </c>
      <c r="E1613">
        <v>3</v>
      </c>
      <c r="F1613" s="1">
        <v>500</v>
      </c>
      <c r="G1613" s="1">
        <v>450</v>
      </c>
      <c r="H1613" s="10">
        <f t="shared" si="25"/>
        <v>9.9999999999999978E-2</v>
      </c>
    </row>
    <row r="1614" spans="1:8" x14ac:dyDescent="0.25">
      <c r="A1614" s="4">
        <v>45961</v>
      </c>
      <c r="B1614" t="s">
        <v>6</v>
      </c>
      <c r="C1614" t="str">
        <f>_xlfn.IFNA(VLOOKUP($B1614,ref!$B$2:$C$34,2,FALSE),"NA")</f>
        <v>3 Month</v>
      </c>
      <c r="D1614" s="5" t="s">
        <v>23</v>
      </c>
      <c r="E1614">
        <v>3</v>
      </c>
      <c r="F1614" s="1">
        <v>1500</v>
      </c>
      <c r="G1614" s="1">
        <v>1350</v>
      </c>
      <c r="H1614" s="10">
        <f t="shared" si="25"/>
        <v>9.9999999999999978E-2</v>
      </c>
    </row>
    <row r="1615" spans="1:8" x14ac:dyDescent="0.25">
      <c r="A1615" s="4">
        <v>45897</v>
      </c>
      <c r="B1615" t="s">
        <v>31</v>
      </c>
      <c r="C1615" t="str">
        <f>_xlfn.IFNA(VLOOKUP($B1615,ref!$B$2:$C$34,2,FALSE),"NA")</f>
        <v>1 Month</v>
      </c>
      <c r="D1615" s="5" t="s">
        <v>23</v>
      </c>
      <c r="E1615">
        <v>3</v>
      </c>
      <c r="F1615" s="1">
        <v>0.68</v>
      </c>
      <c r="G1615" s="1">
        <v>0.62</v>
      </c>
      <c r="H1615" s="10">
        <f t="shared" si="25"/>
        <v>8.8235294117647078E-2</v>
      </c>
    </row>
    <row r="1616" spans="1:8" x14ac:dyDescent="0.25">
      <c r="A1616" s="4">
        <v>45897</v>
      </c>
      <c r="B1616" t="s">
        <v>31</v>
      </c>
      <c r="C1616" t="str">
        <f>_xlfn.IFNA(VLOOKUP($B1616,ref!$B$2:$C$34,2,FALSE),"NA")</f>
        <v>1 Month</v>
      </c>
      <c r="D1616" s="5" t="s">
        <v>23</v>
      </c>
      <c r="E1616">
        <v>3</v>
      </c>
      <c r="F1616" s="1">
        <v>0.68</v>
      </c>
      <c r="G1616" s="1">
        <v>0.61599999999999999</v>
      </c>
      <c r="H1616" s="10">
        <f t="shared" si="25"/>
        <v>9.4117647058823639E-2</v>
      </c>
    </row>
    <row r="1617" spans="1:8" x14ac:dyDescent="0.25">
      <c r="A1617" s="4">
        <v>45897</v>
      </c>
      <c r="B1617" t="s">
        <v>31</v>
      </c>
      <c r="C1617" t="str">
        <f>_xlfn.IFNA(VLOOKUP($B1617,ref!$B$2:$C$34,2,FALSE),"NA")</f>
        <v>1 Month</v>
      </c>
      <c r="D1617" s="5" t="s">
        <v>23</v>
      </c>
      <c r="E1617">
        <v>3</v>
      </c>
      <c r="F1617" s="1">
        <v>0.68</v>
      </c>
      <c r="G1617" s="1">
        <v>0.61599999999999999</v>
      </c>
      <c r="H1617" s="10">
        <f t="shared" si="25"/>
        <v>9.4117647058823639E-2</v>
      </c>
    </row>
    <row r="1618" spans="1:8" x14ac:dyDescent="0.25">
      <c r="A1618" s="4">
        <v>45897</v>
      </c>
      <c r="B1618" t="s">
        <v>31</v>
      </c>
      <c r="C1618" t="str">
        <f>_xlfn.IFNA(VLOOKUP($B1618,ref!$B$2:$C$34,2,FALSE),"NA")</f>
        <v>1 Month</v>
      </c>
      <c r="D1618" s="5" t="s">
        <v>23</v>
      </c>
      <c r="E1618">
        <v>3</v>
      </c>
      <c r="F1618" s="1">
        <v>0.68</v>
      </c>
      <c r="G1618" s="1">
        <v>0.62</v>
      </c>
      <c r="H1618" s="10">
        <f t="shared" si="25"/>
        <v>8.8235294117647078E-2</v>
      </c>
    </row>
    <row r="1619" spans="1:8" x14ac:dyDescent="0.25">
      <c r="A1619" s="4">
        <v>45897</v>
      </c>
      <c r="B1619" t="s">
        <v>31</v>
      </c>
      <c r="C1619" t="str">
        <f>_xlfn.IFNA(VLOOKUP($B1619,ref!$B$2:$C$34,2,FALSE),"NA")</f>
        <v>1 Month</v>
      </c>
      <c r="D1619" s="5" t="s">
        <v>23</v>
      </c>
      <c r="E1619">
        <v>3</v>
      </c>
      <c r="F1619" s="1">
        <v>0.68</v>
      </c>
      <c r="G1619" s="1">
        <v>0.62</v>
      </c>
      <c r="H1619" s="10">
        <f t="shared" si="25"/>
        <v>8.8235294117647078E-2</v>
      </c>
    </row>
    <row r="1620" spans="1:8" x14ac:dyDescent="0.25">
      <c r="A1620" s="4">
        <v>45897</v>
      </c>
      <c r="B1620" t="s">
        <v>31</v>
      </c>
      <c r="C1620" t="str">
        <f>_xlfn.IFNA(VLOOKUP($B1620,ref!$B$2:$C$34,2,FALSE),"NA")</f>
        <v>1 Month</v>
      </c>
      <c r="D1620" s="5" t="s">
        <v>23</v>
      </c>
      <c r="E1620">
        <v>3</v>
      </c>
      <c r="F1620" s="1">
        <v>1050</v>
      </c>
      <c r="G1620" s="1">
        <v>900</v>
      </c>
      <c r="H1620" s="10">
        <f t="shared" si="25"/>
        <v>0.1428571428571429</v>
      </c>
    </row>
    <row r="1621" spans="1:8" x14ac:dyDescent="0.25">
      <c r="A1621" s="4">
        <v>45863</v>
      </c>
      <c r="B1621" t="s">
        <v>29</v>
      </c>
      <c r="C1621" t="str">
        <f>_xlfn.IFNA(VLOOKUP($B1621,ref!$B$2:$C$34,2,FALSE),"NA")</f>
        <v>Spot</v>
      </c>
      <c r="D1621" s="5" t="s">
        <v>47</v>
      </c>
      <c r="E1621">
        <v>3</v>
      </c>
      <c r="F1621" s="1">
        <v>1.8</v>
      </c>
      <c r="G1621" s="1">
        <v>1.575</v>
      </c>
      <c r="H1621" s="10">
        <f t="shared" si="25"/>
        <v>0.125</v>
      </c>
    </row>
    <row r="1622" spans="1:8" x14ac:dyDescent="0.25">
      <c r="A1622" s="4">
        <v>45709</v>
      </c>
      <c r="B1622" t="s">
        <v>12</v>
      </c>
      <c r="C1622" t="str">
        <f>_xlfn.IFNA(VLOOKUP($B1622,ref!$B$2:$C$34,2,FALSE),"NA")</f>
        <v>Spot</v>
      </c>
      <c r="D1622" s="5">
        <v>3090</v>
      </c>
      <c r="E1622">
        <v>3</v>
      </c>
      <c r="F1622" s="1">
        <v>0.22</v>
      </c>
      <c r="G1622" s="1">
        <v>0.2</v>
      </c>
      <c r="H1622" s="10">
        <f t="shared" si="25"/>
        <v>9.0909090909090828E-2</v>
      </c>
    </row>
    <row r="1623" spans="1:8" x14ac:dyDescent="0.25">
      <c r="A1623" s="4">
        <v>45992</v>
      </c>
      <c r="B1623" t="s">
        <v>60</v>
      </c>
      <c r="C1623" t="str">
        <f>_xlfn.IFNA(VLOOKUP($B1623,ref!$B$2:$C$34,2,FALSE),"NA")</f>
        <v>Spot</v>
      </c>
      <c r="D1623" s="5" t="s">
        <v>25</v>
      </c>
      <c r="E1623">
        <v>2</v>
      </c>
      <c r="F1623" s="1">
        <v>2</v>
      </c>
      <c r="G1623" s="1">
        <v>1.8</v>
      </c>
      <c r="H1623" s="10">
        <f t="shared" si="25"/>
        <v>9.9999999999999978E-2</v>
      </c>
    </row>
    <row r="1624" spans="1:8" x14ac:dyDescent="0.25">
      <c r="A1624" s="4">
        <v>45954</v>
      </c>
      <c r="B1624" t="s">
        <v>31</v>
      </c>
      <c r="C1624" t="str">
        <f>_xlfn.IFNA(VLOOKUP($B1624,ref!$B$2:$C$34,2,FALSE),"NA")</f>
        <v>1 Month</v>
      </c>
      <c r="D1624" s="5" t="s">
        <v>57</v>
      </c>
      <c r="E1624">
        <v>2</v>
      </c>
      <c r="F1624" s="1">
        <v>2</v>
      </c>
      <c r="G1624" s="1">
        <v>1.8</v>
      </c>
      <c r="H1624" s="10">
        <f t="shared" si="25"/>
        <v>9.9999999999999978E-2</v>
      </c>
    </row>
    <row r="1625" spans="1:8" x14ac:dyDescent="0.25">
      <c r="A1625" s="4">
        <v>45870</v>
      </c>
      <c r="C1625" t="str">
        <f>_xlfn.IFNA(VLOOKUP($B1625,ref!$B$2:$C$34,2,FALSE),"NA")</f>
        <v>NA</v>
      </c>
      <c r="D1625" s="5" t="s">
        <v>7</v>
      </c>
      <c r="E1625">
        <v>2</v>
      </c>
      <c r="F1625" s="1">
        <v>2.85</v>
      </c>
      <c r="G1625" s="1">
        <v>2.7</v>
      </c>
      <c r="H1625" s="10">
        <f t="shared" si="25"/>
        <v>5.2631578947368363E-2</v>
      </c>
    </row>
    <row r="1626" spans="1:8" x14ac:dyDescent="0.25">
      <c r="A1626" s="4">
        <v>45777</v>
      </c>
      <c r="B1626" t="s">
        <v>12</v>
      </c>
      <c r="C1626" t="str">
        <f>_xlfn.IFNA(VLOOKUP($B1626,ref!$B$2:$C$34,2,FALSE),"NA")</f>
        <v>Spot</v>
      </c>
      <c r="D1626" s="5">
        <v>3090</v>
      </c>
      <c r="E1626">
        <v>2</v>
      </c>
      <c r="F1626" s="1">
        <v>0.32</v>
      </c>
      <c r="G1626" s="1">
        <v>0.28000000000000003</v>
      </c>
      <c r="H1626" s="10">
        <f t="shared" si="25"/>
        <v>0.12499999999999989</v>
      </c>
    </row>
    <row r="1627" spans="1:8" x14ac:dyDescent="0.25">
      <c r="A1627" s="4">
        <v>45777</v>
      </c>
      <c r="B1627" t="s">
        <v>12</v>
      </c>
      <c r="C1627" t="str">
        <f>_xlfn.IFNA(VLOOKUP($B1627,ref!$B$2:$C$34,2,FALSE),"NA")</f>
        <v>Spot</v>
      </c>
      <c r="D1627" s="5">
        <v>3090</v>
      </c>
      <c r="E1627">
        <v>2</v>
      </c>
      <c r="F1627" s="1">
        <v>0.32</v>
      </c>
      <c r="G1627" s="1">
        <v>0.28000000000000003</v>
      </c>
      <c r="H1627" s="10">
        <f t="shared" si="25"/>
        <v>0.12499999999999989</v>
      </c>
    </row>
    <row r="1628" spans="1:8" x14ac:dyDescent="0.25">
      <c r="A1628" s="4">
        <v>45777</v>
      </c>
      <c r="B1628" t="s">
        <v>12</v>
      </c>
      <c r="C1628" t="str">
        <f>_xlfn.IFNA(VLOOKUP($B1628,ref!$B$2:$C$34,2,FALSE),"NA")</f>
        <v>Spot</v>
      </c>
      <c r="D1628" s="5">
        <v>3090</v>
      </c>
      <c r="E1628">
        <v>2</v>
      </c>
      <c r="F1628" s="1">
        <v>0.32</v>
      </c>
      <c r="G1628" s="1">
        <v>0.28000000000000003</v>
      </c>
      <c r="H1628" s="10">
        <f t="shared" si="25"/>
        <v>0.12499999999999989</v>
      </c>
    </row>
    <row r="1629" spans="1:8" x14ac:dyDescent="0.25">
      <c r="A1629" s="4">
        <v>45777</v>
      </c>
      <c r="B1629" t="s">
        <v>12</v>
      </c>
      <c r="C1629" t="str">
        <f>_xlfn.IFNA(VLOOKUP($B1629,ref!$B$2:$C$34,2,FALSE),"NA")</f>
        <v>Spot</v>
      </c>
      <c r="D1629" s="5">
        <v>3090</v>
      </c>
      <c r="E1629">
        <v>2</v>
      </c>
      <c r="F1629" s="1">
        <v>0.32</v>
      </c>
      <c r="G1629" s="1">
        <v>0.28000000000000003</v>
      </c>
      <c r="H1629" s="10">
        <f t="shared" si="25"/>
        <v>0.12499999999999989</v>
      </c>
    </row>
    <row r="1630" spans="1:8" x14ac:dyDescent="0.25">
      <c r="A1630" s="4">
        <v>45777</v>
      </c>
      <c r="B1630" t="s">
        <v>12</v>
      </c>
      <c r="C1630" t="str">
        <f>_xlfn.IFNA(VLOOKUP($B1630,ref!$B$2:$C$34,2,FALSE),"NA")</f>
        <v>Spot</v>
      </c>
      <c r="D1630" s="5">
        <v>3090</v>
      </c>
      <c r="E1630">
        <v>2</v>
      </c>
      <c r="F1630" s="1">
        <v>0.32</v>
      </c>
      <c r="G1630" s="1">
        <v>0.28000000000000003</v>
      </c>
      <c r="H1630" s="10">
        <f t="shared" si="25"/>
        <v>0.12499999999999989</v>
      </c>
    </row>
    <row r="1631" spans="1:8" x14ac:dyDescent="0.25">
      <c r="A1631" s="4">
        <v>45777</v>
      </c>
      <c r="B1631" t="s">
        <v>12</v>
      </c>
      <c r="C1631" t="str">
        <f>_xlfn.IFNA(VLOOKUP($B1631,ref!$B$2:$C$34,2,FALSE),"NA")</f>
        <v>Spot</v>
      </c>
      <c r="D1631" s="5">
        <v>3090</v>
      </c>
      <c r="E1631">
        <v>2</v>
      </c>
      <c r="F1631" s="1">
        <v>0.32</v>
      </c>
      <c r="G1631" s="1">
        <v>0.28000000000000003</v>
      </c>
      <c r="H1631" s="10">
        <f t="shared" si="25"/>
        <v>0.12499999999999989</v>
      </c>
    </row>
    <row r="1632" spans="1:8" x14ac:dyDescent="0.25">
      <c r="A1632" s="4">
        <v>45777</v>
      </c>
      <c r="B1632" t="s">
        <v>12</v>
      </c>
      <c r="C1632" t="str">
        <f>_xlfn.IFNA(VLOOKUP($B1632,ref!$B$2:$C$34,2,FALSE),"NA")</f>
        <v>Spot</v>
      </c>
      <c r="D1632" s="5">
        <v>3090</v>
      </c>
      <c r="E1632">
        <v>2</v>
      </c>
      <c r="F1632" s="1">
        <v>0.32</v>
      </c>
      <c r="G1632" s="1">
        <v>0.28000000000000003</v>
      </c>
      <c r="H1632" s="10">
        <f t="shared" si="25"/>
        <v>0.12499999999999989</v>
      </c>
    </row>
    <row r="1633" spans="1:8" x14ac:dyDescent="0.25">
      <c r="A1633" s="4">
        <v>45777</v>
      </c>
      <c r="B1633" t="s">
        <v>12</v>
      </c>
      <c r="C1633" t="str">
        <f>_xlfn.IFNA(VLOOKUP($B1633,ref!$B$2:$C$34,2,FALSE),"NA")</f>
        <v>Spot</v>
      </c>
      <c r="D1633" s="5">
        <v>3090</v>
      </c>
      <c r="E1633">
        <v>2</v>
      </c>
      <c r="F1633" s="1">
        <v>0.32</v>
      </c>
      <c r="G1633" s="1">
        <v>0.28000000000000003</v>
      </c>
      <c r="H1633" s="10">
        <f t="shared" si="25"/>
        <v>0.12499999999999989</v>
      </c>
    </row>
    <row r="1634" spans="1:8" x14ac:dyDescent="0.25">
      <c r="A1634" s="4">
        <v>45777</v>
      </c>
      <c r="C1634" t="str">
        <f>_xlfn.IFNA(VLOOKUP($B1634,ref!$B$2:$C$34,2,FALSE),"NA")</f>
        <v>NA</v>
      </c>
      <c r="D1634" s="5">
        <v>3090</v>
      </c>
      <c r="E1634">
        <v>2</v>
      </c>
      <c r="F1634" s="1">
        <v>0.32</v>
      </c>
      <c r="G1634" s="1">
        <v>0.28000000000000003</v>
      </c>
      <c r="H1634" s="10">
        <f t="shared" si="25"/>
        <v>0.12499999999999989</v>
      </c>
    </row>
    <row r="1635" spans="1:8" x14ac:dyDescent="0.25">
      <c r="A1635" s="4">
        <v>45777</v>
      </c>
      <c r="C1635" t="str">
        <f>_xlfn.IFNA(VLOOKUP($B1635,ref!$B$2:$C$34,2,FALSE),"NA")</f>
        <v>NA</v>
      </c>
      <c r="D1635" s="5">
        <v>3090</v>
      </c>
      <c r="E1635">
        <v>2</v>
      </c>
      <c r="F1635" s="1">
        <v>0.32</v>
      </c>
      <c r="G1635" s="1">
        <v>0.28000000000000003</v>
      </c>
      <c r="H1635" s="10">
        <f t="shared" si="25"/>
        <v>0.12499999999999989</v>
      </c>
    </row>
    <row r="1636" spans="1:8" x14ac:dyDescent="0.25">
      <c r="A1636" s="4">
        <v>45717</v>
      </c>
      <c r="B1636" t="s">
        <v>12</v>
      </c>
      <c r="C1636" t="str">
        <f>_xlfn.IFNA(VLOOKUP($B1636,ref!$B$2:$C$34,2,FALSE),"NA")</f>
        <v>Spot</v>
      </c>
      <c r="D1636" s="5">
        <v>3090</v>
      </c>
      <c r="E1636">
        <v>2</v>
      </c>
      <c r="F1636" s="1">
        <v>0.32</v>
      </c>
      <c r="G1636" s="1">
        <v>0.28000000000000003</v>
      </c>
      <c r="H1636" s="10">
        <f t="shared" si="25"/>
        <v>0.12499999999999989</v>
      </c>
    </row>
    <row r="1637" spans="1:8" x14ac:dyDescent="0.25">
      <c r="A1637" s="4">
        <v>45702</v>
      </c>
      <c r="C1637" t="str">
        <f>_xlfn.IFNA(VLOOKUP($B1637,ref!$B$2:$C$34,2,FALSE),"NA")</f>
        <v>NA</v>
      </c>
      <c r="D1637" s="5" t="s">
        <v>7</v>
      </c>
      <c r="E1637">
        <v>2</v>
      </c>
      <c r="F1637" s="1">
        <v>2.85</v>
      </c>
      <c r="G1637" s="1">
        <v>2.7</v>
      </c>
      <c r="H1637" s="10">
        <f t="shared" si="25"/>
        <v>5.2631578947368363E-2</v>
      </c>
    </row>
    <row r="1638" spans="1:8" x14ac:dyDescent="0.25">
      <c r="A1638" s="4">
        <v>45687</v>
      </c>
      <c r="C1638" t="str">
        <f>_xlfn.IFNA(VLOOKUP($B1638,ref!$B$2:$C$34,2,FALSE),"NA")</f>
        <v>NA</v>
      </c>
      <c r="D1638" s="5">
        <v>3090</v>
      </c>
      <c r="E1638">
        <v>2</v>
      </c>
      <c r="F1638" s="1">
        <v>0.32</v>
      </c>
      <c r="G1638" s="1">
        <v>0.28000000000000003</v>
      </c>
      <c r="H1638" s="10">
        <f t="shared" si="25"/>
        <v>0.12499999999999989</v>
      </c>
    </row>
    <row r="1639" spans="1:8" x14ac:dyDescent="0.25">
      <c r="A1639" s="4">
        <v>46049</v>
      </c>
      <c r="B1639" t="s">
        <v>29</v>
      </c>
      <c r="C1639" t="str">
        <f>_xlfn.IFNA(VLOOKUP($B1639,ref!$B$2:$C$34,2,FALSE),"NA")</f>
        <v>Spot</v>
      </c>
      <c r="D1639" s="5" t="s">
        <v>34</v>
      </c>
      <c r="E1639">
        <v>1</v>
      </c>
      <c r="F1639" s="1">
        <v>0.3</v>
      </c>
      <c r="G1639" s="1">
        <v>0.26300000000000001</v>
      </c>
      <c r="H1639" s="10">
        <f t="shared" si="25"/>
        <v>0.12333333333333329</v>
      </c>
    </row>
    <row r="1640" spans="1:8" x14ac:dyDescent="0.25">
      <c r="A1640" s="4">
        <v>46049</v>
      </c>
      <c r="B1640" t="s">
        <v>29</v>
      </c>
      <c r="C1640" t="str">
        <f>_xlfn.IFNA(VLOOKUP($B1640,ref!$B$2:$C$34,2,FALSE),"NA")</f>
        <v>Spot</v>
      </c>
      <c r="D1640" s="5" t="s">
        <v>34</v>
      </c>
      <c r="E1640">
        <v>1</v>
      </c>
      <c r="F1640" s="1">
        <v>0.3</v>
      </c>
      <c r="G1640" s="1">
        <v>0.26300000000000001</v>
      </c>
      <c r="H1640" s="10">
        <f t="shared" si="25"/>
        <v>0.12333333333333329</v>
      </c>
    </row>
    <row r="1641" spans="1:8" x14ac:dyDescent="0.25">
      <c r="A1641" s="4">
        <v>46049</v>
      </c>
      <c r="B1641" t="s">
        <v>29</v>
      </c>
      <c r="C1641" t="str">
        <f>_xlfn.IFNA(VLOOKUP($B1641,ref!$B$2:$C$34,2,FALSE),"NA")</f>
        <v>Spot</v>
      </c>
      <c r="D1641" s="5" t="s">
        <v>34</v>
      </c>
      <c r="E1641">
        <v>1</v>
      </c>
      <c r="F1641" s="1">
        <v>0.3</v>
      </c>
      <c r="G1641" s="1">
        <v>0.26300000000000001</v>
      </c>
      <c r="H1641" s="10">
        <f t="shared" si="25"/>
        <v>0.12333333333333329</v>
      </c>
    </row>
    <row r="1642" spans="1:8" x14ac:dyDescent="0.25">
      <c r="A1642" s="4">
        <v>46049</v>
      </c>
      <c r="B1642" t="s">
        <v>29</v>
      </c>
      <c r="C1642" t="str">
        <f>_xlfn.IFNA(VLOOKUP($B1642,ref!$B$2:$C$34,2,FALSE),"NA")</f>
        <v>Spot</v>
      </c>
      <c r="D1642" s="5" t="s">
        <v>34</v>
      </c>
      <c r="E1642">
        <v>1</v>
      </c>
      <c r="F1642" s="1">
        <v>0.3</v>
      </c>
      <c r="G1642" s="1">
        <v>0.26300000000000001</v>
      </c>
      <c r="H1642" s="10">
        <f t="shared" si="25"/>
        <v>0.12333333333333329</v>
      </c>
    </row>
    <row r="1643" spans="1:8" x14ac:dyDescent="0.25">
      <c r="A1643" s="4">
        <v>45905</v>
      </c>
      <c r="B1643" t="s">
        <v>29</v>
      </c>
      <c r="C1643" t="str">
        <f>_xlfn.IFNA(VLOOKUP($B1643,ref!$B$2:$C$34,2,FALSE),"NA")</f>
        <v>Spot</v>
      </c>
      <c r="D1643" s="5" t="s">
        <v>34</v>
      </c>
      <c r="E1643">
        <v>1</v>
      </c>
      <c r="F1643" s="1">
        <v>0.24</v>
      </c>
      <c r="G1643" s="1">
        <v>0.21</v>
      </c>
      <c r="H1643" s="10">
        <f t="shared" si="25"/>
        <v>0.125</v>
      </c>
    </row>
    <row r="1644" spans="1:8" x14ac:dyDescent="0.25">
      <c r="A1644" s="4">
        <v>45902</v>
      </c>
      <c r="B1644" t="s">
        <v>29</v>
      </c>
      <c r="C1644" t="str">
        <f>_xlfn.IFNA(VLOOKUP($B1644,ref!$B$2:$C$34,2,FALSE),"NA")</f>
        <v>Spot</v>
      </c>
      <c r="D1644" s="5" t="s">
        <v>34</v>
      </c>
      <c r="E1644">
        <v>1</v>
      </c>
      <c r="F1644" s="1">
        <v>0.34</v>
      </c>
      <c r="G1644" s="1">
        <v>0.29799999999999999</v>
      </c>
      <c r="H1644" s="10">
        <f t="shared" si="25"/>
        <v>0.123529411764706</v>
      </c>
    </row>
    <row r="1645" spans="1:8" x14ac:dyDescent="0.25">
      <c r="A1645" s="4">
        <v>45902</v>
      </c>
      <c r="B1645" t="s">
        <v>29</v>
      </c>
      <c r="C1645" t="str">
        <f>_xlfn.IFNA(VLOOKUP($B1645,ref!$B$2:$C$34,2,FALSE),"NA")</f>
        <v>Spot</v>
      </c>
      <c r="D1645" s="5" t="s">
        <v>34</v>
      </c>
      <c r="E1645">
        <v>1</v>
      </c>
      <c r="F1645" s="1">
        <v>0.34</v>
      </c>
      <c r="G1645" s="1">
        <v>0.29799999999999999</v>
      </c>
      <c r="H1645" s="10">
        <f t="shared" si="25"/>
        <v>0.123529411764706</v>
      </c>
    </row>
    <row r="1646" spans="1:8" x14ac:dyDescent="0.25">
      <c r="A1646" s="4">
        <v>45902</v>
      </c>
      <c r="B1646" t="s">
        <v>29</v>
      </c>
      <c r="C1646" t="str">
        <f>_xlfn.IFNA(VLOOKUP($B1646,ref!$B$2:$C$34,2,FALSE),"NA")</f>
        <v>Spot</v>
      </c>
      <c r="D1646" s="5" t="s">
        <v>34</v>
      </c>
      <c r="E1646">
        <v>1</v>
      </c>
      <c r="F1646" s="1">
        <v>0.34</v>
      </c>
      <c r="G1646" s="1">
        <v>0.29799999999999999</v>
      </c>
      <c r="H1646" s="10">
        <f t="shared" si="25"/>
        <v>0.123529411764706</v>
      </c>
    </row>
    <row r="1647" spans="1:8" x14ac:dyDescent="0.25">
      <c r="A1647" s="4">
        <v>45902</v>
      </c>
      <c r="B1647" t="s">
        <v>29</v>
      </c>
      <c r="C1647" t="str">
        <f>_xlfn.IFNA(VLOOKUP($B1647,ref!$B$2:$C$34,2,FALSE),"NA")</f>
        <v>Spot</v>
      </c>
      <c r="D1647" s="5" t="s">
        <v>34</v>
      </c>
      <c r="E1647">
        <v>1</v>
      </c>
      <c r="F1647" s="1">
        <v>0.34</v>
      </c>
      <c r="G1647" s="1">
        <v>0.29799999999999999</v>
      </c>
      <c r="H1647" s="10">
        <f t="shared" si="25"/>
        <v>0.123529411764706</v>
      </c>
    </row>
    <row r="1648" spans="1:8" x14ac:dyDescent="0.25">
      <c r="A1648" s="4">
        <v>45902</v>
      </c>
      <c r="B1648" t="s">
        <v>29</v>
      </c>
      <c r="C1648" t="str">
        <f>_xlfn.IFNA(VLOOKUP($B1648,ref!$B$2:$C$34,2,FALSE),"NA")</f>
        <v>Spot</v>
      </c>
      <c r="D1648" s="5" t="s">
        <v>34</v>
      </c>
      <c r="E1648">
        <v>1</v>
      </c>
      <c r="F1648" s="1">
        <v>0.34</v>
      </c>
      <c r="G1648" s="1">
        <v>0.29799999999999999</v>
      </c>
      <c r="H1648" s="10">
        <f t="shared" si="25"/>
        <v>0.123529411764706</v>
      </c>
    </row>
    <row r="1649" spans="1:8" x14ac:dyDescent="0.25">
      <c r="A1649" s="4">
        <v>45902</v>
      </c>
      <c r="B1649" t="s">
        <v>29</v>
      </c>
      <c r="C1649" t="str">
        <f>_xlfn.IFNA(VLOOKUP($B1649,ref!$B$2:$C$34,2,FALSE),"NA")</f>
        <v>Spot</v>
      </c>
      <c r="D1649" s="5" t="s">
        <v>34</v>
      </c>
      <c r="E1649">
        <v>1</v>
      </c>
      <c r="F1649" s="1">
        <v>0.34</v>
      </c>
      <c r="G1649" s="1">
        <v>0.29799999999999999</v>
      </c>
      <c r="H1649" s="10">
        <f t="shared" si="25"/>
        <v>0.123529411764706</v>
      </c>
    </row>
    <row r="1650" spans="1:8" x14ac:dyDescent="0.25">
      <c r="A1650" s="4">
        <v>45902</v>
      </c>
      <c r="B1650" t="s">
        <v>29</v>
      </c>
      <c r="C1650" t="str">
        <f>_xlfn.IFNA(VLOOKUP($B1650,ref!$B$2:$C$34,2,FALSE),"NA")</f>
        <v>Spot</v>
      </c>
      <c r="D1650" s="5" t="s">
        <v>34</v>
      </c>
      <c r="E1650">
        <v>1</v>
      </c>
      <c r="F1650" s="1">
        <v>0.34</v>
      </c>
      <c r="G1650" s="1">
        <v>0.29799999999999999</v>
      </c>
      <c r="H1650" s="10">
        <f t="shared" si="25"/>
        <v>0.123529411764706</v>
      </c>
    </row>
    <row r="1651" spans="1:8" x14ac:dyDescent="0.25">
      <c r="A1651" s="4">
        <v>45902</v>
      </c>
      <c r="B1651" t="s">
        <v>29</v>
      </c>
      <c r="C1651" t="str">
        <f>_xlfn.IFNA(VLOOKUP($B1651,ref!$B$2:$C$34,2,FALSE),"NA")</f>
        <v>Spot</v>
      </c>
      <c r="D1651" s="5" t="s">
        <v>34</v>
      </c>
      <c r="E1651">
        <v>1</v>
      </c>
      <c r="F1651" s="1">
        <v>0.34</v>
      </c>
      <c r="G1651" s="1">
        <v>0.29799999999999999</v>
      </c>
      <c r="H1651" s="10">
        <f t="shared" si="25"/>
        <v>0.123529411764706</v>
      </c>
    </row>
    <row r="1652" spans="1:8" x14ac:dyDescent="0.25">
      <c r="A1652" s="4">
        <v>45902</v>
      </c>
      <c r="B1652" t="s">
        <v>29</v>
      </c>
      <c r="C1652" t="str">
        <f>_xlfn.IFNA(VLOOKUP($B1652,ref!$B$2:$C$34,2,FALSE),"NA")</f>
        <v>Spot</v>
      </c>
      <c r="D1652" s="5" t="s">
        <v>34</v>
      </c>
      <c r="E1652">
        <v>1</v>
      </c>
      <c r="F1652" s="1">
        <v>0.34</v>
      </c>
      <c r="G1652" s="1">
        <v>0.29799999999999999</v>
      </c>
      <c r="H1652" s="10">
        <f t="shared" si="25"/>
        <v>0.123529411764706</v>
      </c>
    </row>
    <row r="1653" spans="1:8" x14ac:dyDescent="0.25">
      <c r="A1653" s="4">
        <v>45902</v>
      </c>
      <c r="B1653" t="s">
        <v>29</v>
      </c>
      <c r="C1653" t="str">
        <f>_xlfn.IFNA(VLOOKUP($B1653,ref!$B$2:$C$34,2,FALSE),"NA")</f>
        <v>Spot</v>
      </c>
      <c r="D1653" s="5" t="s">
        <v>34</v>
      </c>
      <c r="E1653">
        <v>1</v>
      </c>
      <c r="F1653" s="1">
        <v>0.34</v>
      </c>
      <c r="G1653" s="1">
        <v>0.29799999999999999</v>
      </c>
      <c r="H1653" s="10">
        <f t="shared" si="25"/>
        <v>0.123529411764706</v>
      </c>
    </row>
    <row r="1654" spans="1:8" x14ac:dyDescent="0.25">
      <c r="A1654" s="4">
        <v>45902</v>
      </c>
      <c r="B1654" t="s">
        <v>29</v>
      </c>
      <c r="C1654" t="str">
        <f>_xlfn.IFNA(VLOOKUP($B1654,ref!$B$2:$C$34,2,FALSE),"NA")</f>
        <v>Spot</v>
      </c>
      <c r="D1654" s="5" t="s">
        <v>34</v>
      </c>
      <c r="E1654">
        <v>1</v>
      </c>
      <c r="F1654" s="1">
        <v>0.34</v>
      </c>
      <c r="G1654" s="1">
        <v>0.29799999999999999</v>
      </c>
      <c r="H1654" s="10">
        <f t="shared" si="25"/>
        <v>0.123529411764706</v>
      </c>
    </row>
    <row r="1655" spans="1:8" x14ac:dyDescent="0.25">
      <c r="A1655" s="4">
        <v>45902</v>
      </c>
      <c r="B1655" t="s">
        <v>29</v>
      </c>
      <c r="C1655" t="str">
        <f>_xlfn.IFNA(VLOOKUP($B1655,ref!$B$2:$C$34,2,FALSE),"NA")</f>
        <v>Spot</v>
      </c>
      <c r="D1655" s="5" t="s">
        <v>34</v>
      </c>
      <c r="E1655">
        <v>1</v>
      </c>
      <c r="F1655" s="1">
        <v>0.34</v>
      </c>
      <c r="G1655" s="1">
        <v>0.29799999999999999</v>
      </c>
      <c r="H1655" s="10">
        <f t="shared" si="25"/>
        <v>0.123529411764706</v>
      </c>
    </row>
    <row r="1656" spans="1:8" x14ac:dyDescent="0.25">
      <c r="A1656" s="4">
        <v>45902</v>
      </c>
      <c r="B1656" t="s">
        <v>29</v>
      </c>
      <c r="C1656" t="str">
        <f>_xlfn.IFNA(VLOOKUP($B1656,ref!$B$2:$C$34,2,FALSE),"NA")</f>
        <v>Spot</v>
      </c>
      <c r="D1656" s="5" t="s">
        <v>34</v>
      </c>
      <c r="E1656">
        <v>1</v>
      </c>
      <c r="F1656" s="1">
        <v>0.34</v>
      </c>
      <c r="G1656" s="1">
        <v>0.29799999999999999</v>
      </c>
      <c r="H1656" s="10">
        <f t="shared" si="25"/>
        <v>0.123529411764706</v>
      </c>
    </row>
    <row r="1657" spans="1:8" x14ac:dyDescent="0.25">
      <c r="A1657" s="4">
        <v>45902</v>
      </c>
      <c r="B1657" t="s">
        <v>29</v>
      </c>
      <c r="C1657" t="str">
        <f>_xlfn.IFNA(VLOOKUP($B1657,ref!$B$2:$C$34,2,FALSE),"NA")</f>
        <v>Spot</v>
      </c>
      <c r="D1657" s="5" t="s">
        <v>34</v>
      </c>
      <c r="E1657">
        <v>1</v>
      </c>
      <c r="F1657" s="1">
        <v>0.34</v>
      </c>
      <c r="G1657" s="1">
        <v>0.29799999999999999</v>
      </c>
      <c r="H1657" s="10">
        <f t="shared" si="25"/>
        <v>0.123529411764706</v>
      </c>
    </row>
    <row r="1658" spans="1:8" x14ac:dyDescent="0.25">
      <c r="A1658" s="4">
        <v>45902</v>
      </c>
      <c r="B1658" t="s">
        <v>29</v>
      </c>
      <c r="C1658" t="str">
        <f>_xlfn.IFNA(VLOOKUP($B1658,ref!$B$2:$C$34,2,FALSE),"NA")</f>
        <v>Spot</v>
      </c>
      <c r="D1658" s="5" t="s">
        <v>34</v>
      </c>
      <c r="E1658">
        <v>1</v>
      </c>
      <c r="F1658" s="1">
        <v>0.34</v>
      </c>
      <c r="G1658" s="1">
        <v>0.29799999999999999</v>
      </c>
      <c r="H1658" s="10">
        <f t="shared" si="25"/>
        <v>0.123529411764706</v>
      </c>
    </row>
    <row r="1659" spans="1:8" x14ac:dyDescent="0.25">
      <c r="A1659" s="4">
        <v>45902</v>
      </c>
      <c r="B1659" t="s">
        <v>29</v>
      </c>
      <c r="C1659" t="str">
        <f>_xlfn.IFNA(VLOOKUP($B1659,ref!$B$2:$C$34,2,FALSE),"NA")</f>
        <v>Spot</v>
      </c>
      <c r="D1659" s="5" t="s">
        <v>34</v>
      </c>
      <c r="E1659">
        <v>1</v>
      </c>
      <c r="F1659" s="1">
        <v>0.34</v>
      </c>
      <c r="G1659" s="1">
        <v>0.29799999999999999</v>
      </c>
      <c r="H1659" s="10">
        <f t="shared" si="25"/>
        <v>0.123529411764706</v>
      </c>
    </row>
    <row r="1660" spans="1:8" x14ac:dyDescent="0.25">
      <c r="A1660" s="4">
        <v>45889</v>
      </c>
      <c r="B1660" t="s">
        <v>29</v>
      </c>
      <c r="C1660" t="str">
        <f>_xlfn.IFNA(VLOOKUP($B1660,ref!$B$2:$C$34,2,FALSE),"NA")</f>
        <v>Spot</v>
      </c>
      <c r="D1660" s="5" t="s">
        <v>34</v>
      </c>
      <c r="E1660">
        <v>1</v>
      </c>
      <c r="F1660" s="1">
        <v>0.34</v>
      </c>
      <c r="G1660" s="1">
        <v>0.29799999999999999</v>
      </c>
      <c r="H1660" s="10">
        <f t="shared" si="25"/>
        <v>0.123529411764706</v>
      </c>
    </row>
    <row r="1661" spans="1:8" x14ac:dyDescent="0.25">
      <c r="A1661" s="4">
        <v>45889</v>
      </c>
      <c r="B1661" t="s">
        <v>29</v>
      </c>
      <c r="C1661" t="str">
        <f>_xlfn.IFNA(VLOOKUP($B1661,ref!$B$2:$C$34,2,FALSE),"NA")</f>
        <v>Spot</v>
      </c>
      <c r="D1661" s="5" t="s">
        <v>34</v>
      </c>
      <c r="E1661">
        <v>1</v>
      </c>
      <c r="F1661" s="1">
        <v>0.34</v>
      </c>
      <c r="G1661" s="1">
        <v>0.34</v>
      </c>
      <c r="H1661" s="10">
        <f t="shared" si="25"/>
        <v>0</v>
      </c>
    </row>
    <row r="1662" spans="1:8" x14ac:dyDescent="0.25">
      <c r="A1662" s="4">
        <v>45889</v>
      </c>
      <c r="B1662" t="s">
        <v>29</v>
      </c>
      <c r="C1662" t="str">
        <f>_xlfn.IFNA(VLOOKUP($B1662,ref!$B$2:$C$34,2,FALSE),"NA")</f>
        <v>Spot</v>
      </c>
      <c r="D1662" s="5" t="s">
        <v>34</v>
      </c>
      <c r="E1662">
        <v>1</v>
      </c>
      <c r="F1662" s="1">
        <v>0.34</v>
      </c>
      <c r="G1662" s="1">
        <v>0.29799999999999999</v>
      </c>
      <c r="H1662" s="10">
        <f t="shared" si="25"/>
        <v>0.123529411764706</v>
      </c>
    </row>
    <row r="1663" spans="1:8" x14ac:dyDescent="0.25">
      <c r="A1663" s="4">
        <v>45889</v>
      </c>
      <c r="B1663" t="s">
        <v>29</v>
      </c>
      <c r="C1663" t="str">
        <f>_xlfn.IFNA(VLOOKUP($B1663,ref!$B$2:$C$34,2,FALSE),"NA")</f>
        <v>Spot</v>
      </c>
      <c r="D1663" s="5" t="s">
        <v>34</v>
      </c>
      <c r="E1663">
        <v>1</v>
      </c>
      <c r="F1663" s="1">
        <v>0.34</v>
      </c>
      <c r="G1663" s="1">
        <v>0.29799999999999999</v>
      </c>
      <c r="H1663" s="10">
        <f t="shared" si="25"/>
        <v>0.123529411764706</v>
      </c>
    </row>
    <row r="1664" spans="1:8" x14ac:dyDescent="0.25">
      <c r="A1664" s="4">
        <v>45889</v>
      </c>
      <c r="B1664" t="s">
        <v>29</v>
      </c>
      <c r="C1664" t="str">
        <f>_xlfn.IFNA(VLOOKUP($B1664,ref!$B$2:$C$34,2,FALSE),"NA")</f>
        <v>Spot</v>
      </c>
      <c r="D1664" s="5" t="s">
        <v>34</v>
      </c>
      <c r="E1664">
        <v>1</v>
      </c>
      <c r="F1664" s="1">
        <v>0.34</v>
      </c>
      <c r="G1664" s="1">
        <v>0.29799999999999999</v>
      </c>
      <c r="H1664" s="10">
        <f t="shared" si="25"/>
        <v>0.123529411764706</v>
      </c>
    </row>
    <row r="1665" spans="1:8" x14ac:dyDescent="0.25">
      <c r="A1665" s="4">
        <v>45889</v>
      </c>
      <c r="B1665" t="s">
        <v>29</v>
      </c>
      <c r="C1665" t="str">
        <f>_xlfn.IFNA(VLOOKUP($B1665,ref!$B$2:$C$34,2,FALSE),"NA")</f>
        <v>Spot</v>
      </c>
      <c r="D1665" s="5" t="s">
        <v>34</v>
      </c>
      <c r="E1665">
        <v>1</v>
      </c>
      <c r="F1665" s="1">
        <v>0.34</v>
      </c>
      <c r="G1665" s="1">
        <v>0.29799999999999999</v>
      </c>
      <c r="H1665" s="10">
        <f t="shared" si="25"/>
        <v>0.123529411764706</v>
      </c>
    </row>
    <row r="1666" spans="1:8" x14ac:dyDescent="0.25">
      <c r="A1666" s="4">
        <v>45889</v>
      </c>
      <c r="B1666" t="s">
        <v>29</v>
      </c>
      <c r="C1666" t="str">
        <f>_xlfn.IFNA(VLOOKUP($B1666,ref!$B$2:$C$34,2,FALSE),"NA")</f>
        <v>Spot</v>
      </c>
      <c r="D1666" s="5" t="s">
        <v>34</v>
      </c>
      <c r="E1666">
        <v>1</v>
      </c>
      <c r="F1666" s="1">
        <v>0.34</v>
      </c>
      <c r="G1666" s="1">
        <v>0.29799999999999999</v>
      </c>
      <c r="H1666" s="10">
        <f t="shared" si="25"/>
        <v>0.123529411764706</v>
      </c>
    </row>
    <row r="1667" spans="1:8" x14ac:dyDescent="0.25">
      <c r="A1667" s="4">
        <v>45889</v>
      </c>
      <c r="B1667" t="s">
        <v>29</v>
      </c>
      <c r="C1667" t="str">
        <f>_xlfn.IFNA(VLOOKUP($B1667,ref!$B$2:$C$34,2,FALSE),"NA")</f>
        <v>Spot</v>
      </c>
      <c r="D1667" s="5" t="s">
        <v>34</v>
      </c>
      <c r="E1667">
        <v>1</v>
      </c>
      <c r="F1667" s="1">
        <v>0.34</v>
      </c>
      <c r="G1667" s="1">
        <v>0.29799999999999999</v>
      </c>
      <c r="H1667" s="10">
        <f t="shared" ref="H1667:H1730" si="26">1-(G1667/F1667)</f>
        <v>0.123529411764706</v>
      </c>
    </row>
    <row r="1668" spans="1:8" x14ac:dyDescent="0.25">
      <c r="A1668" s="4">
        <v>45889</v>
      </c>
      <c r="B1668" t="s">
        <v>29</v>
      </c>
      <c r="C1668" t="str">
        <f>_xlfn.IFNA(VLOOKUP($B1668,ref!$B$2:$C$34,2,FALSE),"NA")</f>
        <v>Spot</v>
      </c>
      <c r="D1668" s="5" t="s">
        <v>34</v>
      </c>
      <c r="E1668">
        <v>1</v>
      </c>
      <c r="F1668" s="1">
        <v>0.34</v>
      </c>
      <c r="G1668" s="1">
        <v>0.29799999999999999</v>
      </c>
      <c r="H1668" s="10">
        <f t="shared" si="26"/>
        <v>0.123529411764706</v>
      </c>
    </row>
    <row r="1669" spans="1:8" x14ac:dyDescent="0.25">
      <c r="A1669" s="4">
        <v>45889</v>
      </c>
      <c r="B1669" t="s">
        <v>29</v>
      </c>
      <c r="C1669" t="str">
        <f>_xlfn.IFNA(VLOOKUP($B1669,ref!$B$2:$C$34,2,FALSE),"NA")</f>
        <v>Spot</v>
      </c>
      <c r="D1669" s="5" t="s">
        <v>34</v>
      </c>
      <c r="E1669">
        <v>1</v>
      </c>
      <c r="F1669" s="1">
        <v>0.34</v>
      </c>
      <c r="G1669" s="1">
        <v>0.29799999999999999</v>
      </c>
      <c r="H1669" s="10">
        <f t="shared" si="26"/>
        <v>0.123529411764706</v>
      </c>
    </row>
    <row r="1670" spans="1:8" x14ac:dyDescent="0.25">
      <c r="A1670" s="4">
        <v>45889</v>
      </c>
      <c r="B1670" t="s">
        <v>29</v>
      </c>
      <c r="C1670" t="str">
        <f>_xlfn.IFNA(VLOOKUP($B1670,ref!$B$2:$C$34,2,FALSE),"NA")</f>
        <v>Spot</v>
      </c>
      <c r="D1670" s="5" t="s">
        <v>34</v>
      </c>
      <c r="E1670">
        <v>1</v>
      </c>
      <c r="F1670" s="1">
        <v>0.34</v>
      </c>
      <c r="G1670" s="1">
        <v>0.29799999999999999</v>
      </c>
      <c r="H1670" s="10">
        <f t="shared" si="26"/>
        <v>0.123529411764706</v>
      </c>
    </row>
    <row r="1671" spans="1:8" x14ac:dyDescent="0.25">
      <c r="A1671" s="4">
        <v>45889</v>
      </c>
      <c r="B1671" t="s">
        <v>29</v>
      </c>
      <c r="C1671" t="str">
        <f>_xlfn.IFNA(VLOOKUP($B1671,ref!$B$2:$C$34,2,FALSE),"NA")</f>
        <v>Spot</v>
      </c>
      <c r="D1671" s="5" t="s">
        <v>34</v>
      </c>
      <c r="E1671">
        <v>1</v>
      </c>
      <c r="F1671" s="1">
        <v>0.34</v>
      </c>
      <c r="G1671" s="1">
        <v>0.29799999999999999</v>
      </c>
      <c r="H1671" s="10">
        <f t="shared" si="26"/>
        <v>0.123529411764706</v>
      </c>
    </row>
    <row r="1672" spans="1:8" x14ac:dyDescent="0.25">
      <c r="A1672" s="4">
        <v>45889</v>
      </c>
      <c r="B1672" t="s">
        <v>29</v>
      </c>
      <c r="C1672" t="str">
        <f>_xlfn.IFNA(VLOOKUP($B1672,ref!$B$2:$C$34,2,FALSE),"NA")</f>
        <v>Spot</v>
      </c>
      <c r="D1672" s="5" t="s">
        <v>34</v>
      </c>
      <c r="E1672">
        <v>1</v>
      </c>
      <c r="F1672" s="1">
        <v>0.34</v>
      </c>
      <c r="G1672" s="1">
        <v>0.29799999999999999</v>
      </c>
      <c r="H1672" s="10">
        <f t="shared" si="26"/>
        <v>0.123529411764706</v>
      </c>
    </row>
    <row r="1673" spans="1:8" x14ac:dyDescent="0.25">
      <c r="A1673" s="4">
        <v>45889</v>
      </c>
      <c r="B1673" t="s">
        <v>29</v>
      </c>
      <c r="C1673" t="str">
        <f>_xlfn.IFNA(VLOOKUP($B1673,ref!$B$2:$C$34,2,FALSE),"NA")</f>
        <v>Spot</v>
      </c>
      <c r="D1673" s="5" t="s">
        <v>34</v>
      </c>
      <c r="E1673">
        <v>1</v>
      </c>
      <c r="F1673" s="1">
        <v>0.3</v>
      </c>
      <c r="G1673" s="1">
        <v>0.26300000000000001</v>
      </c>
      <c r="H1673" s="10">
        <f t="shared" si="26"/>
        <v>0.12333333333333329</v>
      </c>
    </row>
    <row r="1674" spans="1:8" x14ac:dyDescent="0.25">
      <c r="A1674" s="4">
        <v>45889</v>
      </c>
      <c r="B1674" t="s">
        <v>29</v>
      </c>
      <c r="C1674" t="str">
        <f>_xlfn.IFNA(VLOOKUP($B1674,ref!$B$2:$C$34,2,FALSE),"NA")</f>
        <v>Spot</v>
      </c>
      <c r="D1674" s="5" t="s">
        <v>34</v>
      </c>
      <c r="E1674">
        <v>1</v>
      </c>
      <c r="F1674" s="1">
        <v>0.34</v>
      </c>
      <c r="G1674" s="1">
        <v>0.29799999999999999</v>
      </c>
      <c r="H1674" s="10">
        <f t="shared" si="26"/>
        <v>0.123529411764706</v>
      </c>
    </row>
    <row r="1675" spans="1:8" x14ac:dyDescent="0.25">
      <c r="A1675" s="4">
        <v>45889</v>
      </c>
      <c r="B1675" t="s">
        <v>29</v>
      </c>
      <c r="C1675" t="str">
        <f>_xlfn.IFNA(VLOOKUP($B1675,ref!$B$2:$C$34,2,FALSE),"NA")</f>
        <v>Spot</v>
      </c>
      <c r="D1675" s="5" t="s">
        <v>34</v>
      </c>
      <c r="E1675">
        <v>1</v>
      </c>
      <c r="F1675" s="1">
        <v>0.3</v>
      </c>
      <c r="G1675" s="1">
        <v>0.26300000000000001</v>
      </c>
      <c r="H1675" s="10">
        <f t="shared" si="26"/>
        <v>0.12333333333333329</v>
      </c>
    </row>
    <row r="1676" spans="1:8" x14ac:dyDescent="0.25">
      <c r="A1676" s="4">
        <v>45889</v>
      </c>
      <c r="B1676" t="s">
        <v>29</v>
      </c>
      <c r="C1676" t="str">
        <f>_xlfn.IFNA(VLOOKUP($B1676,ref!$B$2:$C$34,2,FALSE),"NA")</f>
        <v>Spot</v>
      </c>
      <c r="D1676" s="5" t="s">
        <v>34</v>
      </c>
      <c r="E1676">
        <v>1</v>
      </c>
      <c r="F1676" s="1">
        <v>0.3</v>
      </c>
      <c r="G1676" s="1">
        <v>0.26300000000000001</v>
      </c>
      <c r="H1676" s="10">
        <f t="shared" si="26"/>
        <v>0.12333333333333329</v>
      </c>
    </row>
    <row r="1677" spans="1:8" x14ac:dyDescent="0.25">
      <c r="A1677" s="4">
        <v>45889</v>
      </c>
      <c r="B1677" t="s">
        <v>29</v>
      </c>
      <c r="C1677" t="str">
        <f>_xlfn.IFNA(VLOOKUP($B1677,ref!$B$2:$C$34,2,FALSE),"NA")</f>
        <v>Spot</v>
      </c>
      <c r="D1677" s="5" t="s">
        <v>34</v>
      </c>
      <c r="E1677">
        <v>1</v>
      </c>
      <c r="F1677" s="1">
        <v>0.34</v>
      </c>
      <c r="G1677" s="1">
        <v>0.29799999999999999</v>
      </c>
      <c r="H1677" s="10">
        <f t="shared" si="26"/>
        <v>0.123529411764706</v>
      </c>
    </row>
    <row r="1678" spans="1:8" x14ac:dyDescent="0.25">
      <c r="A1678" s="4">
        <v>45889</v>
      </c>
      <c r="B1678" t="s">
        <v>29</v>
      </c>
      <c r="C1678" t="str">
        <f>_xlfn.IFNA(VLOOKUP($B1678,ref!$B$2:$C$34,2,FALSE),"NA")</f>
        <v>Spot</v>
      </c>
      <c r="D1678" s="5" t="s">
        <v>34</v>
      </c>
      <c r="E1678">
        <v>1</v>
      </c>
      <c r="F1678" s="1">
        <v>0.3</v>
      </c>
      <c r="G1678" s="1">
        <v>0.26300000000000001</v>
      </c>
      <c r="H1678" s="10">
        <f t="shared" si="26"/>
        <v>0.12333333333333329</v>
      </c>
    </row>
    <row r="1679" spans="1:8" x14ac:dyDescent="0.25">
      <c r="A1679" s="4">
        <v>45884</v>
      </c>
      <c r="B1679" t="s">
        <v>29</v>
      </c>
      <c r="C1679" t="str">
        <f>_xlfn.IFNA(VLOOKUP($B1679,ref!$B$2:$C$34,2,FALSE),"NA")</f>
        <v>Spot</v>
      </c>
      <c r="D1679" s="5" t="s">
        <v>34</v>
      </c>
      <c r="E1679">
        <v>1</v>
      </c>
      <c r="F1679" s="1">
        <v>0.3</v>
      </c>
      <c r="G1679" s="1">
        <v>0.26300000000000001</v>
      </c>
      <c r="H1679" s="10">
        <f t="shared" si="26"/>
        <v>0.12333333333333329</v>
      </c>
    </row>
    <row r="1680" spans="1:8" x14ac:dyDescent="0.25">
      <c r="A1680" s="4">
        <v>45884</v>
      </c>
      <c r="B1680" t="s">
        <v>29</v>
      </c>
      <c r="C1680" t="str">
        <f>_xlfn.IFNA(VLOOKUP($B1680,ref!$B$2:$C$34,2,FALSE),"NA")</f>
        <v>Spot</v>
      </c>
      <c r="D1680" s="5" t="s">
        <v>34</v>
      </c>
      <c r="E1680">
        <v>1</v>
      </c>
      <c r="F1680" s="1">
        <v>0.3</v>
      </c>
      <c r="G1680" s="1">
        <v>0.26300000000000001</v>
      </c>
      <c r="H1680" s="10">
        <f t="shared" si="26"/>
        <v>0.12333333333333329</v>
      </c>
    </row>
    <row r="1681" spans="1:8" x14ac:dyDescent="0.25">
      <c r="A1681" s="4">
        <v>45881</v>
      </c>
      <c r="B1681" t="s">
        <v>29</v>
      </c>
      <c r="C1681" t="str">
        <f>_xlfn.IFNA(VLOOKUP($B1681,ref!$B$2:$C$34,2,FALSE),"NA")</f>
        <v>Spot</v>
      </c>
      <c r="D1681" s="5" t="s">
        <v>34</v>
      </c>
      <c r="E1681">
        <v>1</v>
      </c>
      <c r="F1681" s="1">
        <v>0.3</v>
      </c>
      <c r="G1681" s="1">
        <v>0.26300000000000001</v>
      </c>
      <c r="H1681" s="10">
        <f t="shared" si="26"/>
        <v>0.12333333333333329</v>
      </c>
    </row>
    <row r="1682" spans="1:8" x14ac:dyDescent="0.25">
      <c r="A1682" s="4">
        <v>45881</v>
      </c>
      <c r="B1682" t="s">
        <v>29</v>
      </c>
      <c r="C1682" t="str">
        <f>_xlfn.IFNA(VLOOKUP($B1682,ref!$B$2:$C$34,2,FALSE),"NA")</f>
        <v>Spot</v>
      </c>
      <c r="D1682" s="5" t="s">
        <v>34</v>
      </c>
      <c r="E1682">
        <v>1</v>
      </c>
      <c r="F1682" s="1">
        <v>0.3</v>
      </c>
      <c r="G1682" s="1">
        <v>0.26300000000000001</v>
      </c>
      <c r="H1682" s="10">
        <f t="shared" si="26"/>
        <v>0.12333333333333329</v>
      </c>
    </row>
    <row r="1683" spans="1:8" x14ac:dyDescent="0.25">
      <c r="A1683" s="4">
        <v>45881</v>
      </c>
      <c r="B1683" t="s">
        <v>29</v>
      </c>
      <c r="C1683" t="str">
        <f>_xlfn.IFNA(VLOOKUP($B1683,ref!$B$2:$C$34,2,FALSE),"NA")</f>
        <v>Spot</v>
      </c>
      <c r="D1683" s="5" t="s">
        <v>34</v>
      </c>
      <c r="E1683">
        <v>1</v>
      </c>
      <c r="F1683" s="1">
        <v>0.3</v>
      </c>
      <c r="G1683" s="1">
        <v>0.26300000000000001</v>
      </c>
      <c r="H1683" s="10">
        <f t="shared" si="26"/>
        <v>0.12333333333333329</v>
      </c>
    </row>
    <row r="1684" spans="1:8" x14ac:dyDescent="0.25">
      <c r="A1684" s="4">
        <v>45881</v>
      </c>
      <c r="B1684" t="s">
        <v>29</v>
      </c>
      <c r="C1684" t="str">
        <f>_xlfn.IFNA(VLOOKUP($B1684,ref!$B$2:$C$34,2,FALSE),"NA")</f>
        <v>Spot</v>
      </c>
      <c r="D1684" s="5" t="s">
        <v>34</v>
      </c>
      <c r="E1684">
        <v>1</v>
      </c>
      <c r="F1684" s="1">
        <v>0.3</v>
      </c>
      <c r="G1684" s="1">
        <v>0.26300000000000001</v>
      </c>
      <c r="H1684" s="10">
        <f t="shared" si="26"/>
        <v>0.12333333333333329</v>
      </c>
    </row>
    <row r="1685" spans="1:8" x14ac:dyDescent="0.25">
      <c r="A1685" s="4">
        <v>45874</v>
      </c>
      <c r="B1685" t="s">
        <v>29</v>
      </c>
      <c r="C1685" t="str">
        <f>_xlfn.IFNA(VLOOKUP($B1685,ref!$B$2:$C$34,2,FALSE),"NA")</f>
        <v>Spot</v>
      </c>
      <c r="D1685" s="5" t="s">
        <v>34</v>
      </c>
      <c r="E1685">
        <v>1</v>
      </c>
      <c r="F1685" s="1">
        <v>0.34</v>
      </c>
      <c r="G1685" s="1">
        <v>0.29799999999999999</v>
      </c>
      <c r="H1685" s="10">
        <f t="shared" si="26"/>
        <v>0.123529411764706</v>
      </c>
    </row>
    <row r="1686" spans="1:8" x14ac:dyDescent="0.25">
      <c r="A1686" s="4">
        <v>45874</v>
      </c>
      <c r="B1686" t="s">
        <v>29</v>
      </c>
      <c r="C1686" t="str">
        <f>_xlfn.IFNA(VLOOKUP($B1686,ref!$B$2:$C$34,2,FALSE),"NA")</f>
        <v>Spot</v>
      </c>
      <c r="D1686" s="5" t="s">
        <v>34</v>
      </c>
      <c r="E1686">
        <v>1</v>
      </c>
      <c r="F1686" s="1">
        <v>0.34</v>
      </c>
      <c r="G1686" s="1">
        <v>0.29799999999999999</v>
      </c>
      <c r="H1686" s="10">
        <f t="shared" si="26"/>
        <v>0.123529411764706</v>
      </c>
    </row>
    <row r="1687" spans="1:8" x14ac:dyDescent="0.25">
      <c r="A1687" s="4">
        <v>45874</v>
      </c>
      <c r="B1687" t="s">
        <v>14</v>
      </c>
      <c r="C1687" t="str">
        <f>_xlfn.IFNA(VLOOKUP($B1687,ref!$B$2:$C$34,2,FALSE),"NA")</f>
        <v>Spot</v>
      </c>
      <c r="D1687" s="5" t="s">
        <v>13</v>
      </c>
      <c r="E1687">
        <v>1</v>
      </c>
      <c r="F1687" s="1">
        <v>1.25</v>
      </c>
      <c r="G1687" s="1">
        <v>1.04</v>
      </c>
      <c r="H1687" s="10">
        <f t="shared" si="26"/>
        <v>0.16799999999999993</v>
      </c>
    </row>
    <row r="1688" spans="1:8" x14ac:dyDescent="0.25">
      <c r="A1688" s="4">
        <v>45874</v>
      </c>
      <c r="B1688" t="s">
        <v>29</v>
      </c>
      <c r="C1688" t="str">
        <f>_xlfn.IFNA(VLOOKUP($B1688,ref!$B$2:$C$34,2,FALSE),"NA")</f>
        <v>Spot</v>
      </c>
      <c r="D1688" s="5" t="s">
        <v>34</v>
      </c>
      <c r="E1688">
        <v>1</v>
      </c>
      <c r="F1688" s="1">
        <v>0.34</v>
      </c>
      <c r="G1688" s="1">
        <v>0.29799999999999999</v>
      </c>
      <c r="H1688" s="10">
        <f t="shared" si="26"/>
        <v>0.123529411764706</v>
      </c>
    </row>
    <row r="1689" spans="1:8" x14ac:dyDescent="0.25">
      <c r="A1689" s="4">
        <v>45874</v>
      </c>
      <c r="B1689" t="s">
        <v>29</v>
      </c>
      <c r="C1689" t="str">
        <f>_xlfn.IFNA(VLOOKUP($B1689,ref!$B$2:$C$34,2,FALSE),"NA")</f>
        <v>Spot</v>
      </c>
      <c r="D1689" s="5" t="s">
        <v>34</v>
      </c>
      <c r="E1689">
        <v>1</v>
      </c>
      <c r="F1689" s="1">
        <v>0.34</v>
      </c>
      <c r="G1689" s="1">
        <v>0.29799999999999999</v>
      </c>
      <c r="H1689" s="10">
        <f t="shared" si="26"/>
        <v>0.123529411764706</v>
      </c>
    </row>
    <row r="1690" spans="1:8" x14ac:dyDescent="0.25">
      <c r="A1690" s="4">
        <v>45874</v>
      </c>
      <c r="B1690" t="s">
        <v>29</v>
      </c>
      <c r="C1690" t="str">
        <f>_xlfn.IFNA(VLOOKUP($B1690,ref!$B$2:$C$34,2,FALSE),"NA")</f>
        <v>Spot</v>
      </c>
      <c r="D1690" s="5" t="s">
        <v>34</v>
      </c>
      <c r="E1690">
        <v>1</v>
      </c>
      <c r="F1690" s="1">
        <v>0.34</v>
      </c>
      <c r="G1690" s="1">
        <v>0.29799999999999999</v>
      </c>
      <c r="H1690" s="10">
        <f t="shared" si="26"/>
        <v>0.123529411764706</v>
      </c>
    </row>
    <row r="1691" spans="1:8" x14ac:dyDescent="0.25">
      <c r="A1691" s="4">
        <v>45874</v>
      </c>
      <c r="C1691" t="str">
        <f>_xlfn.IFNA(VLOOKUP($B1691,ref!$B$2:$C$34,2,FALSE),"NA")</f>
        <v>NA</v>
      </c>
      <c r="D1691" s="5" t="s">
        <v>34</v>
      </c>
      <c r="E1691">
        <v>1</v>
      </c>
      <c r="F1691" s="1">
        <v>0.34</v>
      </c>
      <c r="G1691" s="1">
        <v>0.29799999999999999</v>
      </c>
      <c r="H1691" s="10">
        <f t="shared" si="26"/>
        <v>0.123529411764706</v>
      </c>
    </row>
    <row r="1692" spans="1:8" x14ac:dyDescent="0.25">
      <c r="A1692" s="4">
        <v>45874</v>
      </c>
      <c r="B1692" t="s">
        <v>29</v>
      </c>
      <c r="C1692" t="str">
        <f>_xlfn.IFNA(VLOOKUP($B1692,ref!$B$2:$C$34,2,FALSE),"NA")</f>
        <v>Spot</v>
      </c>
      <c r="D1692" s="5" t="s">
        <v>34</v>
      </c>
      <c r="E1692">
        <v>1</v>
      </c>
      <c r="F1692" s="1">
        <v>0.34</v>
      </c>
      <c r="G1692" s="1">
        <v>0.29799999999999999</v>
      </c>
      <c r="H1692" s="10">
        <f t="shared" si="26"/>
        <v>0.123529411764706</v>
      </c>
    </row>
    <row r="1693" spans="1:8" x14ac:dyDescent="0.25">
      <c r="A1693" s="4">
        <v>45874</v>
      </c>
      <c r="B1693" t="s">
        <v>14</v>
      </c>
      <c r="C1693" t="str">
        <f>_xlfn.IFNA(VLOOKUP($B1693,ref!$B$2:$C$34,2,FALSE),"NA")</f>
        <v>Spot</v>
      </c>
      <c r="D1693" s="5" t="s">
        <v>13</v>
      </c>
      <c r="E1693">
        <v>1</v>
      </c>
      <c r="F1693" s="1">
        <v>1.25</v>
      </c>
      <c r="G1693" s="1">
        <v>1.04</v>
      </c>
      <c r="H1693" s="10">
        <f t="shared" si="26"/>
        <v>0.16799999999999993</v>
      </c>
    </row>
    <row r="1694" spans="1:8" x14ac:dyDescent="0.25">
      <c r="A1694" s="4">
        <v>45865</v>
      </c>
      <c r="B1694" t="s">
        <v>29</v>
      </c>
      <c r="C1694" t="str">
        <f>_xlfn.IFNA(VLOOKUP($B1694,ref!$B$2:$C$34,2,FALSE),"NA")</f>
        <v>Spot</v>
      </c>
      <c r="D1694" s="5" t="s">
        <v>34</v>
      </c>
      <c r="E1694">
        <v>1</v>
      </c>
      <c r="F1694" s="1">
        <v>0.34</v>
      </c>
      <c r="G1694" s="1">
        <v>0.29799999999999999</v>
      </c>
      <c r="H1694" s="10">
        <f t="shared" si="26"/>
        <v>0.123529411764706</v>
      </c>
    </row>
    <row r="1695" spans="1:8" x14ac:dyDescent="0.25">
      <c r="A1695" s="4">
        <v>45865</v>
      </c>
      <c r="B1695" t="s">
        <v>29</v>
      </c>
      <c r="C1695" t="str">
        <f>_xlfn.IFNA(VLOOKUP($B1695,ref!$B$2:$C$34,2,FALSE),"NA")</f>
        <v>Spot</v>
      </c>
      <c r="D1695" s="5" t="s">
        <v>34</v>
      </c>
      <c r="E1695">
        <v>1</v>
      </c>
      <c r="F1695" s="1">
        <v>0.3</v>
      </c>
      <c r="G1695" s="1">
        <v>0.26300000000000001</v>
      </c>
      <c r="H1695" s="10">
        <f t="shared" si="26"/>
        <v>0.12333333333333329</v>
      </c>
    </row>
    <row r="1696" spans="1:8" x14ac:dyDescent="0.25">
      <c r="A1696" s="4">
        <v>45865</v>
      </c>
      <c r="B1696" t="s">
        <v>29</v>
      </c>
      <c r="C1696" t="str">
        <f>_xlfn.IFNA(VLOOKUP($B1696,ref!$B$2:$C$34,2,FALSE),"NA")</f>
        <v>Spot</v>
      </c>
      <c r="D1696" s="5" t="s">
        <v>34</v>
      </c>
      <c r="E1696">
        <v>1</v>
      </c>
      <c r="F1696" s="1">
        <v>0.3</v>
      </c>
      <c r="G1696" s="1">
        <v>0.26300000000000001</v>
      </c>
      <c r="H1696" s="10">
        <f t="shared" si="26"/>
        <v>0.12333333333333329</v>
      </c>
    </row>
    <row r="1697" spans="1:8" x14ac:dyDescent="0.25">
      <c r="A1697" s="4">
        <v>45863</v>
      </c>
      <c r="B1697" t="s">
        <v>29</v>
      </c>
      <c r="C1697" t="str">
        <f>_xlfn.IFNA(VLOOKUP($B1697,ref!$B$2:$C$34,2,FALSE),"NA")</f>
        <v>Spot</v>
      </c>
      <c r="D1697" s="5" t="s">
        <v>34</v>
      </c>
      <c r="E1697">
        <v>1</v>
      </c>
      <c r="F1697" s="1">
        <v>0.34</v>
      </c>
      <c r="G1697" s="1">
        <v>0.29799999999999999</v>
      </c>
      <c r="H1697" s="10">
        <f t="shared" si="26"/>
        <v>0.123529411764706</v>
      </c>
    </row>
    <row r="1698" spans="1:8" x14ac:dyDescent="0.25">
      <c r="A1698" s="4">
        <v>45862</v>
      </c>
      <c r="B1698" t="s">
        <v>29</v>
      </c>
      <c r="C1698" t="str">
        <f>_xlfn.IFNA(VLOOKUP($B1698,ref!$B$2:$C$34,2,FALSE),"NA")</f>
        <v>Spot</v>
      </c>
      <c r="D1698" s="5" t="s">
        <v>34</v>
      </c>
      <c r="E1698">
        <v>1</v>
      </c>
      <c r="F1698" s="1">
        <v>0.3</v>
      </c>
      <c r="G1698" s="1">
        <v>0.26</v>
      </c>
      <c r="H1698" s="10">
        <f t="shared" si="26"/>
        <v>0.1333333333333333</v>
      </c>
    </row>
    <row r="1699" spans="1:8" x14ac:dyDescent="0.25">
      <c r="A1699" s="4">
        <v>45862</v>
      </c>
      <c r="B1699" t="s">
        <v>29</v>
      </c>
      <c r="C1699" t="str">
        <f>_xlfn.IFNA(VLOOKUP($B1699,ref!$B$2:$C$34,2,FALSE),"NA")</f>
        <v>Spot</v>
      </c>
      <c r="D1699" s="5" t="s">
        <v>34</v>
      </c>
      <c r="E1699">
        <v>1</v>
      </c>
      <c r="F1699" s="1">
        <v>0.3</v>
      </c>
      <c r="G1699" s="1">
        <v>0.26300000000000001</v>
      </c>
      <c r="H1699" s="10">
        <f t="shared" si="26"/>
        <v>0.12333333333333329</v>
      </c>
    </row>
    <row r="1700" spans="1:8" x14ac:dyDescent="0.25">
      <c r="A1700" s="4">
        <v>45849</v>
      </c>
      <c r="B1700" t="s">
        <v>29</v>
      </c>
      <c r="C1700" t="str">
        <f>_xlfn.IFNA(VLOOKUP($B1700,ref!$B$2:$C$34,2,FALSE),"NA")</f>
        <v>Spot</v>
      </c>
      <c r="D1700" s="5" t="s">
        <v>34</v>
      </c>
      <c r="E1700">
        <v>1</v>
      </c>
      <c r="F1700" s="1">
        <v>0.3</v>
      </c>
      <c r="G1700" s="1">
        <v>0.26300000000000001</v>
      </c>
      <c r="H1700" s="10">
        <f t="shared" si="26"/>
        <v>0.12333333333333329</v>
      </c>
    </row>
    <row r="1701" spans="1:8" x14ac:dyDescent="0.25">
      <c r="A1701" s="4">
        <v>45848</v>
      </c>
      <c r="B1701" t="s">
        <v>29</v>
      </c>
      <c r="C1701" t="str">
        <f>_xlfn.IFNA(VLOOKUP($B1701,ref!$B$2:$C$34,2,FALSE),"NA")</f>
        <v>Spot</v>
      </c>
      <c r="D1701" s="5" t="s">
        <v>34</v>
      </c>
      <c r="E1701">
        <v>1</v>
      </c>
      <c r="F1701" s="1">
        <v>0.3</v>
      </c>
      <c r="G1701" s="1">
        <v>0.26300000000000001</v>
      </c>
      <c r="H1701" s="10">
        <f t="shared" si="26"/>
        <v>0.12333333333333329</v>
      </c>
    </row>
    <row r="1702" spans="1:8" x14ac:dyDescent="0.25">
      <c r="A1702" s="4">
        <v>45848</v>
      </c>
      <c r="B1702" t="s">
        <v>29</v>
      </c>
      <c r="C1702" t="str">
        <f>_xlfn.IFNA(VLOOKUP($B1702,ref!$B$2:$C$34,2,FALSE),"NA")</f>
        <v>Spot</v>
      </c>
      <c r="D1702" s="5" t="s">
        <v>34</v>
      </c>
      <c r="E1702">
        <v>1</v>
      </c>
      <c r="F1702" s="1">
        <v>0.3</v>
      </c>
      <c r="G1702" s="1">
        <v>0.26300000000000001</v>
      </c>
      <c r="H1702" s="10">
        <f t="shared" si="26"/>
        <v>0.12333333333333329</v>
      </c>
    </row>
    <row r="1703" spans="1:8" x14ac:dyDescent="0.25">
      <c r="A1703" s="4">
        <v>45848</v>
      </c>
      <c r="B1703" t="s">
        <v>29</v>
      </c>
      <c r="C1703" t="str">
        <f>_xlfn.IFNA(VLOOKUP($B1703,ref!$B$2:$C$34,2,FALSE),"NA")</f>
        <v>Spot</v>
      </c>
      <c r="D1703" s="5" t="s">
        <v>34</v>
      </c>
      <c r="E1703">
        <v>1</v>
      </c>
      <c r="F1703" s="1">
        <v>0.3</v>
      </c>
      <c r="G1703" s="1">
        <v>0.26300000000000001</v>
      </c>
      <c r="H1703" s="10">
        <f t="shared" si="26"/>
        <v>0.12333333333333329</v>
      </c>
    </row>
    <row r="1704" spans="1:8" x14ac:dyDescent="0.25">
      <c r="A1704" s="4">
        <v>45848</v>
      </c>
      <c r="B1704" t="s">
        <v>29</v>
      </c>
      <c r="C1704" t="str">
        <f>_xlfn.IFNA(VLOOKUP($B1704,ref!$B$2:$C$34,2,FALSE),"NA")</f>
        <v>Spot</v>
      </c>
      <c r="D1704" s="5" t="s">
        <v>34</v>
      </c>
      <c r="E1704">
        <v>1</v>
      </c>
      <c r="F1704" s="1">
        <v>0.3</v>
      </c>
      <c r="G1704" s="1">
        <v>0.26300000000000001</v>
      </c>
      <c r="H1704" s="10">
        <f t="shared" si="26"/>
        <v>0.12333333333333329</v>
      </c>
    </row>
    <row r="1705" spans="1:8" x14ac:dyDescent="0.25">
      <c r="A1705" s="4">
        <v>45848</v>
      </c>
      <c r="B1705" t="s">
        <v>29</v>
      </c>
      <c r="C1705" t="str">
        <f>_xlfn.IFNA(VLOOKUP($B1705,ref!$B$2:$C$34,2,FALSE),"NA")</f>
        <v>Spot</v>
      </c>
      <c r="D1705" s="5" t="s">
        <v>34</v>
      </c>
      <c r="E1705">
        <v>1</v>
      </c>
      <c r="F1705" s="1">
        <v>0.3</v>
      </c>
      <c r="G1705" s="1">
        <v>0.26300000000000001</v>
      </c>
      <c r="H1705" s="10">
        <f t="shared" si="26"/>
        <v>0.12333333333333329</v>
      </c>
    </row>
    <row r="1706" spans="1:8" x14ac:dyDescent="0.25">
      <c r="A1706" s="4">
        <v>45848</v>
      </c>
      <c r="B1706" t="s">
        <v>29</v>
      </c>
      <c r="C1706" t="str">
        <f>_xlfn.IFNA(VLOOKUP($B1706,ref!$B$2:$C$34,2,FALSE),"NA")</f>
        <v>Spot</v>
      </c>
      <c r="D1706" s="5" t="s">
        <v>34</v>
      </c>
      <c r="E1706">
        <v>1</v>
      </c>
      <c r="F1706" s="1">
        <v>0.3</v>
      </c>
      <c r="G1706" s="1">
        <v>0.26300000000000001</v>
      </c>
      <c r="H1706" s="10">
        <f t="shared" si="26"/>
        <v>0.12333333333333329</v>
      </c>
    </row>
    <row r="1707" spans="1:8" x14ac:dyDescent="0.25">
      <c r="A1707" s="4">
        <v>45848</v>
      </c>
      <c r="B1707" t="s">
        <v>29</v>
      </c>
      <c r="C1707" t="str">
        <f>_xlfn.IFNA(VLOOKUP($B1707,ref!$B$2:$C$34,2,FALSE),"NA")</f>
        <v>Spot</v>
      </c>
      <c r="D1707" s="5" t="s">
        <v>34</v>
      </c>
      <c r="E1707">
        <v>1</v>
      </c>
      <c r="F1707" s="1">
        <v>0.3</v>
      </c>
      <c r="G1707" s="1">
        <v>0.26300000000000001</v>
      </c>
      <c r="H1707" s="10">
        <f t="shared" si="26"/>
        <v>0.12333333333333329</v>
      </c>
    </row>
    <row r="1708" spans="1:8" x14ac:dyDescent="0.25">
      <c r="A1708" s="4">
        <v>45848</v>
      </c>
      <c r="B1708" t="s">
        <v>29</v>
      </c>
      <c r="C1708" t="str">
        <f>_xlfn.IFNA(VLOOKUP($B1708,ref!$B$2:$C$34,2,FALSE),"NA")</f>
        <v>Spot</v>
      </c>
      <c r="D1708" s="5" t="s">
        <v>34</v>
      </c>
      <c r="E1708">
        <v>1</v>
      </c>
      <c r="F1708" s="1">
        <v>0.3</v>
      </c>
      <c r="G1708" s="1">
        <v>0.26300000000000001</v>
      </c>
      <c r="H1708" s="10">
        <f t="shared" si="26"/>
        <v>0.12333333333333329</v>
      </c>
    </row>
    <row r="1709" spans="1:8" x14ac:dyDescent="0.25">
      <c r="A1709" s="4">
        <v>45848</v>
      </c>
      <c r="B1709" t="s">
        <v>29</v>
      </c>
      <c r="C1709" t="str">
        <f>_xlfn.IFNA(VLOOKUP($B1709,ref!$B$2:$C$34,2,FALSE),"NA")</f>
        <v>Spot</v>
      </c>
      <c r="D1709" s="5" t="s">
        <v>34</v>
      </c>
      <c r="E1709">
        <v>1</v>
      </c>
      <c r="F1709" s="1">
        <v>0.3</v>
      </c>
      <c r="G1709" s="1">
        <v>0.26300000000000001</v>
      </c>
      <c r="H1709" s="10">
        <f t="shared" si="26"/>
        <v>0.12333333333333329</v>
      </c>
    </row>
    <row r="1710" spans="1:8" x14ac:dyDescent="0.25">
      <c r="A1710" s="4">
        <v>45848</v>
      </c>
      <c r="B1710" t="s">
        <v>29</v>
      </c>
      <c r="C1710" t="str">
        <f>_xlfn.IFNA(VLOOKUP($B1710,ref!$B$2:$C$34,2,FALSE),"NA")</f>
        <v>Spot</v>
      </c>
      <c r="D1710" s="5" t="s">
        <v>34</v>
      </c>
      <c r="E1710">
        <v>1</v>
      </c>
      <c r="F1710" s="1">
        <v>0.3</v>
      </c>
      <c r="G1710" s="1">
        <v>0.26300000000000001</v>
      </c>
      <c r="H1710" s="10">
        <f t="shared" si="26"/>
        <v>0.12333333333333329</v>
      </c>
    </row>
    <row r="1711" spans="1:8" x14ac:dyDescent="0.25">
      <c r="A1711" s="4">
        <v>45848</v>
      </c>
      <c r="B1711" t="s">
        <v>29</v>
      </c>
      <c r="C1711" t="str">
        <f>_xlfn.IFNA(VLOOKUP($B1711,ref!$B$2:$C$34,2,FALSE),"NA")</f>
        <v>Spot</v>
      </c>
      <c r="D1711" s="5" t="s">
        <v>34</v>
      </c>
      <c r="E1711">
        <v>1</v>
      </c>
      <c r="F1711" s="1">
        <v>0.3</v>
      </c>
      <c r="G1711" s="1">
        <v>0.26300000000000001</v>
      </c>
      <c r="H1711" s="10">
        <f t="shared" si="26"/>
        <v>0.12333333333333329</v>
      </c>
    </row>
    <row r="1712" spans="1:8" x14ac:dyDescent="0.25">
      <c r="A1712" s="4">
        <v>45848</v>
      </c>
      <c r="B1712" t="s">
        <v>29</v>
      </c>
      <c r="C1712" t="str">
        <f>_xlfn.IFNA(VLOOKUP($B1712,ref!$B$2:$C$34,2,FALSE),"NA")</f>
        <v>Spot</v>
      </c>
      <c r="D1712" s="5" t="s">
        <v>34</v>
      </c>
      <c r="E1712">
        <v>1</v>
      </c>
      <c r="F1712" s="1">
        <v>0.3</v>
      </c>
      <c r="G1712" s="1">
        <v>0.26300000000000001</v>
      </c>
      <c r="H1712" s="10">
        <f t="shared" si="26"/>
        <v>0.12333333333333329</v>
      </c>
    </row>
    <row r="1713" spans="1:8" x14ac:dyDescent="0.25">
      <c r="A1713" s="4">
        <v>45848</v>
      </c>
      <c r="B1713" t="s">
        <v>29</v>
      </c>
      <c r="C1713" t="str">
        <f>_xlfn.IFNA(VLOOKUP($B1713,ref!$B$2:$C$34,2,FALSE),"NA")</f>
        <v>Spot</v>
      </c>
      <c r="D1713" s="5" t="s">
        <v>34</v>
      </c>
      <c r="E1713">
        <v>1</v>
      </c>
      <c r="F1713" s="1">
        <v>0.3</v>
      </c>
      <c r="G1713" s="1">
        <v>0.26300000000000001</v>
      </c>
      <c r="H1713" s="10">
        <f t="shared" si="26"/>
        <v>0.12333333333333329</v>
      </c>
    </row>
    <row r="1714" spans="1:8" x14ac:dyDescent="0.25">
      <c r="A1714" s="4">
        <v>45848</v>
      </c>
      <c r="B1714" t="s">
        <v>29</v>
      </c>
      <c r="C1714" t="str">
        <f>_xlfn.IFNA(VLOOKUP($B1714,ref!$B$2:$C$34,2,FALSE),"NA")</f>
        <v>Spot</v>
      </c>
      <c r="D1714" s="5" t="s">
        <v>34</v>
      </c>
      <c r="E1714">
        <v>1</v>
      </c>
      <c r="F1714" s="1">
        <v>0.3</v>
      </c>
      <c r="G1714" s="1">
        <v>0.26300000000000001</v>
      </c>
      <c r="H1714" s="10">
        <f t="shared" si="26"/>
        <v>0.12333333333333329</v>
      </c>
    </row>
    <row r="1715" spans="1:8" x14ac:dyDescent="0.25">
      <c r="A1715" s="4">
        <v>45848</v>
      </c>
      <c r="B1715" t="s">
        <v>29</v>
      </c>
      <c r="C1715" t="str">
        <f>_xlfn.IFNA(VLOOKUP($B1715,ref!$B$2:$C$34,2,FALSE),"NA")</f>
        <v>Spot</v>
      </c>
      <c r="D1715" s="5" t="s">
        <v>34</v>
      </c>
      <c r="E1715">
        <v>1</v>
      </c>
      <c r="F1715" s="1">
        <v>0.3</v>
      </c>
      <c r="G1715" s="1">
        <v>0.26300000000000001</v>
      </c>
      <c r="H1715" s="10">
        <f t="shared" si="26"/>
        <v>0.12333333333333329</v>
      </c>
    </row>
    <row r="1716" spans="1:8" x14ac:dyDescent="0.25">
      <c r="A1716" s="4">
        <v>45848</v>
      </c>
      <c r="B1716" t="s">
        <v>29</v>
      </c>
      <c r="C1716" t="str">
        <f>_xlfn.IFNA(VLOOKUP($B1716,ref!$B$2:$C$34,2,FALSE),"NA")</f>
        <v>Spot</v>
      </c>
      <c r="D1716" s="5" t="s">
        <v>34</v>
      </c>
      <c r="E1716">
        <v>1</v>
      </c>
      <c r="F1716" s="1">
        <v>0.3</v>
      </c>
      <c r="G1716" s="1">
        <v>0.26300000000000001</v>
      </c>
      <c r="H1716" s="10">
        <f t="shared" si="26"/>
        <v>0.12333333333333329</v>
      </c>
    </row>
    <row r="1717" spans="1:8" x14ac:dyDescent="0.25">
      <c r="A1717" s="4">
        <v>45848</v>
      </c>
      <c r="B1717" t="s">
        <v>29</v>
      </c>
      <c r="C1717" t="str">
        <f>_xlfn.IFNA(VLOOKUP($B1717,ref!$B$2:$C$34,2,FALSE),"NA")</f>
        <v>Spot</v>
      </c>
      <c r="D1717" s="5" t="s">
        <v>34</v>
      </c>
      <c r="E1717">
        <v>1</v>
      </c>
      <c r="F1717" s="1">
        <v>0.3</v>
      </c>
      <c r="G1717" s="1">
        <v>0.26300000000000001</v>
      </c>
      <c r="H1717" s="10">
        <f t="shared" si="26"/>
        <v>0.12333333333333329</v>
      </c>
    </row>
    <row r="1718" spans="1:8" x14ac:dyDescent="0.25">
      <c r="A1718" s="4">
        <v>45848</v>
      </c>
      <c r="B1718" t="s">
        <v>29</v>
      </c>
      <c r="C1718" t="str">
        <f>_xlfn.IFNA(VLOOKUP($B1718,ref!$B$2:$C$34,2,FALSE),"NA")</f>
        <v>Spot</v>
      </c>
      <c r="D1718" s="5" t="s">
        <v>34</v>
      </c>
      <c r="E1718">
        <v>1</v>
      </c>
      <c r="F1718" s="1">
        <v>0.3</v>
      </c>
      <c r="G1718" s="1">
        <v>0.26300000000000001</v>
      </c>
      <c r="H1718" s="10">
        <f t="shared" si="26"/>
        <v>0.12333333333333329</v>
      </c>
    </row>
    <row r="1719" spans="1:8" x14ac:dyDescent="0.25">
      <c r="A1719" s="4">
        <v>45848</v>
      </c>
      <c r="B1719" t="s">
        <v>29</v>
      </c>
      <c r="C1719" t="str">
        <f>_xlfn.IFNA(VLOOKUP($B1719,ref!$B$2:$C$34,2,FALSE),"NA")</f>
        <v>Spot</v>
      </c>
      <c r="D1719" s="5" t="s">
        <v>34</v>
      </c>
      <c r="E1719">
        <v>1</v>
      </c>
      <c r="F1719" s="1">
        <v>0.3</v>
      </c>
      <c r="G1719" s="1">
        <v>0.26300000000000001</v>
      </c>
      <c r="H1719" s="10">
        <f t="shared" si="26"/>
        <v>0.12333333333333329</v>
      </c>
    </row>
    <row r="1720" spans="1:8" x14ac:dyDescent="0.25">
      <c r="A1720" s="4">
        <v>45848</v>
      </c>
      <c r="B1720" t="s">
        <v>29</v>
      </c>
      <c r="C1720" t="str">
        <f>_xlfn.IFNA(VLOOKUP($B1720,ref!$B$2:$C$34,2,FALSE),"NA")</f>
        <v>Spot</v>
      </c>
      <c r="D1720" s="5" t="s">
        <v>34</v>
      </c>
      <c r="E1720">
        <v>1</v>
      </c>
      <c r="F1720" s="1">
        <v>0.3</v>
      </c>
      <c r="G1720" s="1">
        <v>0.26300000000000001</v>
      </c>
      <c r="H1720" s="10">
        <f t="shared" si="26"/>
        <v>0.12333333333333329</v>
      </c>
    </row>
    <row r="1721" spans="1:8" x14ac:dyDescent="0.25">
      <c r="A1721" s="4">
        <v>45848</v>
      </c>
      <c r="B1721" t="s">
        <v>29</v>
      </c>
      <c r="C1721" t="str">
        <f>_xlfn.IFNA(VLOOKUP($B1721,ref!$B$2:$C$34,2,FALSE),"NA")</f>
        <v>Spot</v>
      </c>
      <c r="D1721" s="5" t="s">
        <v>34</v>
      </c>
      <c r="E1721">
        <v>1</v>
      </c>
      <c r="F1721" s="1">
        <v>0.3</v>
      </c>
      <c r="G1721" s="1">
        <v>0.26300000000000001</v>
      </c>
      <c r="H1721" s="10">
        <f t="shared" si="26"/>
        <v>0.12333333333333329</v>
      </c>
    </row>
    <row r="1722" spans="1:8" x14ac:dyDescent="0.25">
      <c r="A1722" s="4">
        <v>45848</v>
      </c>
      <c r="B1722" t="s">
        <v>29</v>
      </c>
      <c r="C1722" t="str">
        <f>_xlfn.IFNA(VLOOKUP($B1722,ref!$B$2:$C$34,2,FALSE),"NA")</f>
        <v>Spot</v>
      </c>
      <c r="D1722" s="5" t="s">
        <v>34</v>
      </c>
      <c r="E1722">
        <v>1</v>
      </c>
      <c r="F1722" s="1">
        <v>0.3</v>
      </c>
      <c r="G1722" s="1">
        <v>0.26300000000000001</v>
      </c>
      <c r="H1722" s="10">
        <f t="shared" si="26"/>
        <v>0.12333333333333329</v>
      </c>
    </row>
    <row r="1723" spans="1:8" x14ac:dyDescent="0.25">
      <c r="A1723" s="4">
        <v>45848</v>
      </c>
      <c r="B1723" t="s">
        <v>29</v>
      </c>
      <c r="C1723" t="str">
        <f>_xlfn.IFNA(VLOOKUP($B1723,ref!$B$2:$C$34,2,FALSE),"NA")</f>
        <v>Spot</v>
      </c>
      <c r="D1723" s="5" t="s">
        <v>34</v>
      </c>
      <c r="E1723">
        <v>1</v>
      </c>
      <c r="F1723" s="1">
        <v>0.3</v>
      </c>
      <c r="G1723" s="1">
        <v>0.26300000000000001</v>
      </c>
      <c r="H1723" s="10">
        <f t="shared" si="26"/>
        <v>0.12333333333333329</v>
      </c>
    </row>
    <row r="1724" spans="1:8" x14ac:dyDescent="0.25">
      <c r="A1724" s="4">
        <v>45848</v>
      </c>
      <c r="B1724" t="s">
        <v>29</v>
      </c>
      <c r="C1724" t="str">
        <f>_xlfn.IFNA(VLOOKUP($B1724,ref!$B$2:$C$34,2,FALSE),"NA")</f>
        <v>Spot</v>
      </c>
      <c r="D1724" s="5" t="s">
        <v>34</v>
      </c>
      <c r="E1724">
        <v>1</v>
      </c>
      <c r="F1724" s="1">
        <v>0.3</v>
      </c>
      <c r="G1724" s="1">
        <v>0.26300000000000001</v>
      </c>
      <c r="H1724" s="10">
        <f t="shared" si="26"/>
        <v>0.12333333333333329</v>
      </c>
    </row>
    <row r="1725" spans="1:8" x14ac:dyDescent="0.25">
      <c r="A1725" s="4">
        <v>45848</v>
      </c>
      <c r="B1725" t="s">
        <v>29</v>
      </c>
      <c r="C1725" t="str">
        <f>_xlfn.IFNA(VLOOKUP($B1725,ref!$B$2:$C$34,2,FALSE),"NA")</f>
        <v>Spot</v>
      </c>
      <c r="D1725" s="5" t="s">
        <v>34</v>
      </c>
      <c r="E1725">
        <v>1</v>
      </c>
      <c r="F1725" s="1">
        <v>0.3</v>
      </c>
      <c r="G1725" s="1">
        <v>0.26300000000000001</v>
      </c>
      <c r="H1725" s="10">
        <f t="shared" si="26"/>
        <v>0.12333333333333329</v>
      </c>
    </row>
    <row r="1726" spans="1:8" x14ac:dyDescent="0.25">
      <c r="A1726" s="4">
        <v>45848</v>
      </c>
      <c r="B1726" t="s">
        <v>29</v>
      </c>
      <c r="C1726" t="str">
        <f>_xlfn.IFNA(VLOOKUP($B1726,ref!$B$2:$C$34,2,FALSE),"NA")</f>
        <v>Spot</v>
      </c>
      <c r="D1726" s="5" t="s">
        <v>34</v>
      </c>
      <c r="E1726">
        <v>1</v>
      </c>
      <c r="F1726" s="1">
        <v>0.3</v>
      </c>
      <c r="G1726" s="1">
        <v>0.26300000000000001</v>
      </c>
      <c r="H1726" s="10">
        <f t="shared" si="26"/>
        <v>0.12333333333333329</v>
      </c>
    </row>
    <row r="1727" spans="1:8" x14ac:dyDescent="0.25">
      <c r="A1727" s="4">
        <v>45848</v>
      </c>
      <c r="B1727" t="s">
        <v>29</v>
      </c>
      <c r="C1727" t="str">
        <f>_xlfn.IFNA(VLOOKUP($B1727,ref!$B$2:$C$34,2,FALSE),"NA")</f>
        <v>Spot</v>
      </c>
      <c r="D1727" s="5" t="s">
        <v>34</v>
      </c>
      <c r="E1727">
        <v>1</v>
      </c>
      <c r="F1727" s="1">
        <v>0.3</v>
      </c>
      <c r="G1727" s="1">
        <v>0.26300000000000001</v>
      </c>
      <c r="H1727" s="10">
        <f t="shared" si="26"/>
        <v>0.12333333333333329</v>
      </c>
    </row>
    <row r="1728" spans="1:8" x14ac:dyDescent="0.25">
      <c r="A1728" s="4">
        <v>45844</v>
      </c>
      <c r="B1728" t="s">
        <v>29</v>
      </c>
      <c r="C1728" t="str">
        <f>_xlfn.IFNA(VLOOKUP($B1728,ref!$B$2:$C$34,2,FALSE),"NA")</f>
        <v>Spot</v>
      </c>
      <c r="D1728" s="5" t="s">
        <v>34</v>
      </c>
      <c r="E1728">
        <v>1</v>
      </c>
      <c r="F1728" s="1">
        <v>0.3</v>
      </c>
      <c r="G1728" s="1">
        <v>0.26300000000000001</v>
      </c>
      <c r="H1728" s="10">
        <f t="shared" si="26"/>
        <v>0.12333333333333329</v>
      </c>
    </row>
    <row r="1729" spans="1:8" x14ac:dyDescent="0.25">
      <c r="A1729" s="4">
        <v>45844</v>
      </c>
      <c r="B1729" t="s">
        <v>29</v>
      </c>
      <c r="C1729" t="str">
        <f>_xlfn.IFNA(VLOOKUP($B1729,ref!$B$2:$C$34,2,FALSE),"NA")</f>
        <v>Spot</v>
      </c>
      <c r="D1729" s="5" t="s">
        <v>34</v>
      </c>
      <c r="E1729">
        <v>1</v>
      </c>
      <c r="F1729" s="1">
        <v>0.3</v>
      </c>
      <c r="G1729" s="1">
        <v>0.26300000000000001</v>
      </c>
      <c r="H1729" s="10">
        <f t="shared" si="26"/>
        <v>0.12333333333333329</v>
      </c>
    </row>
    <row r="1730" spans="1:8" x14ac:dyDescent="0.25">
      <c r="A1730" s="4">
        <v>45841</v>
      </c>
      <c r="B1730" t="s">
        <v>29</v>
      </c>
      <c r="C1730" t="str">
        <f>_xlfn.IFNA(VLOOKUP($B1730,ref!$B$2:$C$34,2,FALSE),"NA")</f>
        <v>Spot</v>
      </c>
      <c r="D1730" s="5" t="s">
        <v>34</v>
      </c>
      <c r="E1730">
        <v>1</v>
      </c>
      <c r="F1730" s="1">
        <v>0.34</v>
      </c>
      <c r="G1730" s="1">
        <v>0.29799999999999999</v>
      </c>
      <c r="H1730" s="10">
        <f t="shared" si="26"/>
        <v>0.123529411764706</v>
      </c>
    </row>
    <row r="1731" spans="1:8" x14ac:dyDescent="0.25">
      <c r="A1731" s="4">
        <v>45834</v>
      </c>
      <c r="B1731" t="s">
        <v>29</v>
      </c>
      <c r="C1731" t="str">
        <f>_xlfn.IFNA(VLOOKUP($B1731,ref!$B$2:$C$34,2,FALSE),"NA")</f>
        <v>Spot</v>
      </c>
      <c r="D1731" s="5" t="s">
        <v>34</v>
      </c>
      <c r="E1731">
        <v>1</v>
      </c>
      <c r="F1731" s="1">
        <v>0.34</v>
      </c>
      <c r="G1731" s="1">
        <v>0.29799999999999999</v>
      </c>
      <c r="H1731" s="10">
        <f t="shared" ref="H1731:H1794" si="27">1-(G1731/F1731)</f>
        <v>0.123529411764706</v>
      </c>
    </row>
    <row r="1732" spans="1:8" x14ac:dyDescent="0.25">
      <c r="A1732" s="4">
        <v>45833</v>
      </c>
      <c r="B1732" t="s">
        <v>29</v>
      </c>
      <c r="C1732" t="str">
        <f>_xlfn.IFNA(VLOOKUP($B1732,ref!$B$2:$C$34,2,FALSE),"NA")</f>
        <v>Spot</v>
      </c>
      <c r="D1732" s="5" t="s">
        <v>34</v>
      </c>
      <c r="E1732">
        <v>1</v>
      </c>
      <c r="F1732" s="1">
        <v>0.3</v>
      </c>
      <c r="G1732" s="1">
        <v>0.26300000000000001</v>
      </c>
      <c r="H1732" s="10">
        <f t="shared" si="27"/>
        <v>0.12333333333333329</v>
      </c>
    </row>
    <row r="1733" spans="1:8" x14ac:dyDescent="0.25">
      <c r="A1733" s="4">
        <v>45833</v>
      </c>
      <c r="B1733" t="s">
        <v>29</v>
      </c>
      <c r="C1733" t="str">
        <f>_xlfn.IFNA(VLOOKUP($B1733,ref!$B$2:$C$34,2,FALSE),"NA")</f>
        <v>Spot</v>
      </c>
      <c r="D1733" s="5" t="s">
        <v>34</v>
      </c>
      <c r="E1733">
        <v>1</v>
      </c>
      <c r="F1733" s="1">
        <v>0.3</v>
      </c>
      <c r="G1733" s="1">
        <v>0.26300000000000001</v>
      </c>
      <c r="H1733" s="10">
        <f t="shared" si="27"/>
        <v>0.12333333333333329</v>
      </c>
    </row>
    <row r="1734" spans="1:8" x14ac:dyDescent="0.25">
      <c r="A1734" s="4">
        <v>45833</v>
      </c>
      <c r="B1734" t="s">
        <v>29</v>
      </c>
      <c r="C1734" t="str">
        <f>_xlfn.IFNA(VLOOKUP($B1734,ref!$B$2:$C$34,2,FALSE),"NA")</f>
        <v>Spot</v>
      </c>
      <c r="D1734" s="5" t="s">
        <v>34</v>
      </c>
      <c r="E1734">
        <v>1</v>
      </c>
      <c r="F1734" s="1">
        <v>0.3</v>
      </c>
      <c r="G1734" s="1">
        <v>0.26300000000000001</v>
      </c>
      <c r="H1734" s="10">
        <f t="shared" si="27"/>
        <v>0.12333333333333329</v>
      </c>
    </row>
    <row r="1735" spans="1:8" x14ac:dyDescent="0.25">
      <c r="A1735" s="4">
        <v>45833</v>
      </c>
      <c r="B1735" t="s">
        <v>29</v>
      </c>
      <c r="C1735" t="str">
        <f>_xlfn.IFNA(VLOOKUP($B1735,ref!$B$2:$C$34,2,FALSE),"NA")</f>
        <v>Spot</v>
      </c>
      <c r="D1735" s="5" t="s">
        <v>34</v>
      </c>
      <c r="E1735">
        <v>1</v>
      </c>
      <c r="F1735" s="1">
        <v>0.3</v>
      </c>
      <c r="G1735" s="1">
        <v>0.26300000000000001</v>
      </c>
      <c r="H1735" s="10">
        <f t="shared" si="27"/>
        <v>0.12333333333333329</v>
      </c>
    </row>
    <row r="1736" spans="1:8" x14ac:dyDescent="0.25">
      <c r="A1736" s="4">
        <v>45833</v>
      </c>
      <c r="B1736" t="s">
        <v>29</v>
      </c>
      <c r="C1736" t="str">
        <f>_xlfn.IFNA(VLOOKUP($B1736,ref!$B$2:$C$34,2,FALSE),"NA")</f>
        <v>Spot</v>
      </c>
      <c r="D1736" s="5" t="s">
        <v>34</v>
      </c>
      <c r="E1736">
        <v>1</v>
      </c>
      <c r="F1736" s="1">
        <v>0.3</v>
      </c>
      <c r="G1736" s="1">
        <v>0.26300000000000001</v>
      </c>
      <c r="H1736" s="10">
        <f t="shared" si="27"/>
        <v>0.12333333333333329</v>
      </c>
    </row>
    <row r="1737" spans="1:8" x14ac:dyDescent="0.25">
      <c r="A1737" s="4">
        <v>45833</v>
      </c>
      <c r="B1737" t="s">
        <v>29</v>
      </c>
      <c r="C1737" t="str">
        <f>_xlfn.IFNA(VLOOKUP($B1737,ref!$B$2:$C$34,2,FALSE),"NA")</f>
        <v>Spot</v>
      </c>
      <c r="D1737" s="5" t="s">
        <v>34</v>
      </c>
      <c r="E1737">
        <v>1</v>
      </c>
      <c r="F1737" s="1">
        <v>0.3</v>
      </c>
      <c r="G1737" s="1">
        <v>0.26300000000000001</v>
      </c>
      <c r="H1737" s="10">
        <f t="shared" si="27"/>
        <v>0.12333333333333329</v>
      </c>
    </row>
    <row r="1738" spans="1:8" x14ac:dyDescent="0.25">
      <c r="A1738" s="4">
        <v>45833</v>
      </c>
      <c r="B1738" t="s">
        <v>29</v>
      </c>
      <c r="C1738" t="str">
        <f>_xlfn.IFNA(VLOOKUP($B1738,ref!$B$2:$C$34,2,FALSE),"NA")</f>
        <v>Spot</v>
      </c>
      <c r="D1738" s="5" t="s">
        <v>34</v>
      </c>
      <c r="E1738">
        <v>1</v>
      </c>
      <c r="F1738" s="1">
        <v>0.3</v>
      </c>
      <c r="G1738" s="1">
        <v>0.26300000000000001</v>
      </c>
      <c r="H1738" s="10">
        <f t="shared" si="27"/>
        <v>0.12333333333333329</v>
      </c>
    </row>
    <row r="1739" spans="1:8" x14ac:dyDescent="0.25">
      <c r="A1739" s="4">
        <v>45833</v>
      </c>
      <c r="B1739" t="s">
        <v>29</v>
      </c>
      <c r="C1739" t="str">
        <f>_xlfn.IFNA(VLOOKUP($B1739,ref!$B$2:$C$34,2,FALSE),"NA")</f>
        <v>Spot</v>
      </c>
      <c r="D1739" s="5" t="s">
        <v>34</v>
      </c>
      <c r="E1739">
        <v>1</v>
      </c>
      <c r="F1739" s="1">
        <v>0.3</v>
      </c>
      <c r="G1739" s="1">
        <v>0.26300000000000001</v>
      </c>
      <c r="H1739" s="10">
        <f t="shared" si="27"/>
        <v>0.12333333333333329</v>
      </c>
    </row>
    <row r="1740" spans="1:8" x14ac:dyDescent="0.25">
      <c r="A1740" s="4">
        <v>45833</v>
      </c>
      <c r="B1740" t="s">
        <v>29</v>
      </c>
      <c r="C1740" t="str">
        <f>_xlfn.IFNA(VLOOKUP($B1740,ref!$B$2:$C$34,2,FALSE),"NA")</f>
        <v>Spot</v>
      </c>
      <c r="D1740" s="5" t="s">
        <v>34</v>
      </c>
      <c r="E1740">
        <v>1</v>
      </c>
      <c r="F1740" s="1">
        <v>0.3</v>
      </c>
      <c r="G1740" s="1">
        <v>0.26300000000000001</v>
      </c>
      <c r="H1740" s="10">
        <f t="shared" si="27"/>
        <v>0.12333333333333329</v>
      </c>
    </row>
    <row r="1741" spans="1:8" x14ac:dyDescent="0.25">
      <c r="A1741" s="4">
        <v>45833</v>
      </c>
      <c r="B1741" t="s">
        <v>29</v>
      </c>
      <c r="C1741" t="str">
        <f>_xlfn.IFNA(VLOOKUP($B1741,ref!$B$2:$C$34,2,FALSE),"NA")</f>
        <v>Spot</v>
      </c>
      <c r="D1741" s="5" t="s">
        <v>34</v>
      </c>
      <c r="E1741">
        <v>1</v>
      </c>
      <c r="F1741" s="1">
        <v>0.3</v>
      </c>
      <c r="G1741" s="1">
        <v>0.26300000000000001</v>
      </c>
      <c r="H1741" s="10">
        <f t="shared" si="27"/>
        <v>0.12333333333333329</v>
      </c>
    </row>
    <row r="1742" spans="1:8" x14ac:dyDescent="0.25">
      <c r="A1742" s="4">
        <v>45833</v>
      </c>
      <c r="B1742" t="s">
        <v>29</v>
      </c>
      <c r="C1742" t="str">
        <f>_xlfn.IFNA(VLOOKUP($B1742,ref!$B$2:$C$34,2,FALSE),"NA")</f>
        <v>Spot</v>
      </c>
      <c r="D1742" s="5" t="s">
        <v>34</v>
      </c>
      <c r="E1742">
        <v>1</v>
      </c>
      <c r="F1742" s="1">
        <v>0.3</v>
      </c>
      <c r="G1742" s="1">
        <v>0.26300000000000001</v>
      </c>
      <c r="H1742" s="10">
        <f t="shared" si="27"/>
        <v>0.12333333333333329</v>
      </c>
    </row>
    <row r="1743" spans="1:8" x14ac:dyDescent="0.25">
      <c r="A1743" s="4">
        <v>45833</v>
      </c>
      <c r="B1743" t="s">
        <v>29</v>
      </c>
      <c r="C1743" t="str">
        <f>_xlfn.IFNA(VLOOKUP($B1743,ref!$B$2:$C$34,2,FALSE),"NA")</f>
        <v>Spot</v>
      </c>
      <c r="D1743" s="5" t="s">
        <v>34</v>
      </c>
      <c r="E1743">
        <v>1</v>
      </c>
      <c r="F1743" s="1">
        <v>0.3</v>
      </c>
      <c r="G1743" s="1">
        <v>0.26300000000000001</v>
      </c>
      <c r="H1743" s="10">
        <f t="shared" si="27"/>
        <v>0.12333333333333329</v>
      </c>
    </row>
    <row r="1744" spans="1:8" x14ac:dyDescent="0.25">
      <c r="A1744" s="4">
        <v>45832</v>
      </c>
      <c r="B1744" t="s">
        <v>29</v>
      </c>
      <c r="C1744" t="str">
        <f>_xlfn.IFNA(VLOOKUP($B1744,ref!$B$2:$C$34,2,FALSE),"NA")</f>
        <v>Spot</v>
      </c>
      <c r="D1744" s="5" t="s">
        <v>34</v>
      </c>
      <c r="E1744">
        <v>1</v>
      </c>
      <c r="F1744" s="1">
        <v>0.3</v>
      </c>
      <c r="G1744" s="1">
        <v>0.26300000000000001</v>
      </c>
      <c r="H1744" s="10">
        <f t="shared" si="27"/>
        <v>0.12333333333333329</v>
      </c>
    </row>
    <row r="1745" spans="1:8" x14ac:dyDescent="0.25">
      <c r="A1745" s="4">
        <v>45823</v>
      </c>
      <c r="C1745" t="str">
        <f>_xlfn.IFNA(VLOOKUP($B1745,ref!$B$2:$C$34,2,FALSE),"NA")</f>
        <v>NA</v>
      </c>
      <c r="D1745" s="5" t="s">
        <v>34</v>
      </c>
      <c r="E1745">
        <v>1</v>
      </c>
      <c r="F1745" s="1">
        <v>0.3</v>
      </c>
      <c r="G1745" s="1">
        <v>0.26300000000000001</v>
      </c>
      <c r="H1745" s="10">
        <f t="shared" si="27"/>
        <v>0.12333333333333329</v>
      </c>
    </row>
    <row r="1746" spans="1:8" x14ac:dyDescent="0.25">
      <c r="A1746" s="4">
        <v>45822</v>
      </c>
      <c r="B1746" t="s">
        <v>29</v>
      </c>
      <c r="C1746" t="str">
        <f>_xlfn.IFNA(VLOOKUP($B1746,ref!$B$2:$C$34,2,FALSE),"NA")</f>
        <v>Spot</v>
      </c>
      <c r="D1746" s="5" t="s">
        <v>34</v>
      </c>
      <c r="E1746">
        <v>1</v>
      </c>
      <c r="F1746" s="1">
        <v>0.3</v>
      </c>
      <c r="G1746" s="1">
        <v>0.26300000000000001</v>
      </c>
      <c r="H1746" s="10">
        <f t="shared" si="27"/>
        <v>0.12333333333333329</v>
      </c>
    </row>
    <row r="1747" spans="1:8" x14ac:dyDescent="0.25">
      <c r="A1747" s="4">
        <v>45822</v>
      </c>
      <c r="B1747" t="s">
        <v>29</v>
      </c>
      <c r="C1747" t="str">
        <f>_xlfn.IFNA(VLOOKUP($B1747,ref!$B$2:$C$34,2,FALSE),"NA")</f>
        <v>Spot</v>
      </c>
      <c r="D1747" s="5" t="s">
        <v>34</v>
      </c>
      <c r="E1747">
        <v>1</v>
      </c>
      <c r="F1747" s="1">
        <v>0.3</v>
      </c>
      <c r="G1747" s="1">
        <v>0.26300000000000001</v>
      </c>
      <c r="H1747" s="10">
        <f t="shared" si="27"/>
        <v>0.12333333333333329</v>
      </c>
    </row>
    <row r="1748" spans="1:8" x14ac:dyDescent="0.25">
      <c r="A1748" s="4">
        <v>45822</v>
      </c>
      <c r="B1748" t="s">
        <v>29</v>
      </c>
      <c r="C1748" t="str">
        <f>_xlfn.IFNA(VLOOKUP($B1748,ref!$B$2:$C$34,2,FALSE),"NA")</f>
        <v>Spot</v>
      </c>
      <c r="D1748" s="5" t="s">
        <v>34</v>
      </c>
      <c r="E1748">
        <v>1</v>
      </c>
      <c r="F1748" s="1">
        <v>0.3</v>
      </c>
      <c r="G1748" s="1">
        <v>0.26300000000000001</v>
      </c>
      <c r="H1748" s="10">
        <f t="shared" si="27"/>
        <v>0.12333333333333329</v>
      </c>
    </row>
    <row r="1749" spans="1:8" x14ac:dyDescent="0.25">
      <c r="A1749" s="4">
        <v>45822</v>
      </c>
      <c r="B1749" t="s">
        <v>29</v>
      </c>
      <c r="C1749" t="str">
        <f>_xlfn.IFNA(VLOOKUP($B1749,ref!$B$2:$C$34,2,FALSE),"NA")</f>
        <v>Spot</v>
      </c>
      <c r="D1749" s="5" t="s">
        <v>34</v>
      </c>
      <c r="E1749">
        <v>1</v>
      </c>
      <c r="F1749" s="1">
        <v>0.3</v>
      </c>
      <c r="G1749" s="1">
        <v>0.26300000000000001</v>
      </c>
      <c r="H1749" s="10">
        <f t="shared" si="27"/>
        <v>0.12333333333333329</v>
      </c>
    </row>
    <row r="1750" spans="1:8" x14ac:dyDescent="0.25">
      <c r="A1750" s="4">
        <v>45822</v>
      </c>
      <c r="B1750" t="s">
        <v>29</v>
      </c>
      <c r="C1750" t="str">
        <f>_xlfn.IFNA(VLOOKUP($B1750,ref!$B$2:$C$34,2,FALSE),"NA")</f>
        <v>Spot</v>
      </c>
      <c r="D1750" s="5" t="s">
        <v>34</v>
      </c>
      <c r="E1750">
        <v>1</v>
      </c>
      <c r="F1750" s="1">
        <v>0.3</v>
      </c>
      <c r="G1750" s="1">
        <v>0.26300000000000001</v>
      </c>
      <c r="H1750" s="10">
        <f t="shared" si="27"/>
        <v>0.12333333333333329</v>
      </c>
    </row>
    <row r="1751" spans="1:8" x14ac:dyDescent="0.25">
      <c r="A1751" s="4">
        <v>45822</v>
      </c>
      <c r="B1751" t="s">
        <v>29</v>
      </c>
      <c r="C1751" t="str">
        <f>_xlfn.IFNA(VLOOKUP($B1751,ref!$B$2:$C$34,2,FALSE),"NA")</f>
        <v>Spot</v>
      </c>
      <c r="D1751" s="5" t="s">
        <v>34</v>
      </c>
      <c r="E1751">
        <v>1</v>
      </c>
      <c r="F1751" s="1">
        <v>0.3</v>
      </c>
      <c r="G1751" s="1">
        <v>0.26300000000000001</v>
      </c>
      <c r="H1751" s="10">
        <f t="shared" si="27"/>
        <v>0.12333333333333329</v>
      </c>
    </row>
    <row r="1752" spans="1:8" x14ac:dyDescent="0.25">
      <c r="A1752" s="4">
        <v>45822</v>
      </c>
      <c r="B1752" t="s">
        <v>29</v>
      </c>
      <c r="C1752" t="str">
        <f>_xlfn.IFNA(VLOOKUP($B1752,ref!$B$2:$C$34,2,FALSE),"NA")</f>
        <v>Spot</v>
      </c>
      <c r="D1752" s="5" t="s">
        <v>34</v>
      </c>
      <c r="E1752">
        <v>1</v>
      </c>
      <c r="F1752" s="1">
        <v>0.3</v>
      </c>
      <c r="G1752" s="1">
        <v>0.26300000000000001</v>
      </c>
      <c r="H1752" s="10">
        <f t="shared" si="27"/>
        <v>0.12333333333333329</v>
      </c>
    </row>
    <row r="1753" spans="1:8" x14ac:dyDescent="0.25">
      <c r="A1753" s="4">
        <v>45822</v>
      </c>
      <c r="B1753" t="s">
        <v>29</v>
      </c>
      <c r="C1753" t="str">
        <f>_xlfn.IFNA(VLOOKUP($B1753,ref!$B$2:$C$34,2,FALSE),"NA")</f>
        <v>Spot</v>
      </c>
      <c r="D1753" s="5" t="s">
        <v>34</v>
      </c>
      <c r="E1753">
        <v>1</v>
      </c>
      <c r="F1753" s="1">
        <v>0.3</v>
      </c>
      <c r="G1753" s="1">
        <v>0.26300000000000001</v>
      </c>
      <c r="H1753" s="10">
        <f t="shared" si="27"/>
        <v>0.12333333333333329</v>
      </c>
    </row>
    <row r="1754" spans="1:8" x14ac:dyDescent="0.25">
      <c r="A1754" s="4">
        <v>45817</v>
      </c>
      <c r="B1754" t="s">
        <v>29</v>
      </c>
      <c r="C1754" t="str">
        <f>_xlfn.IFNA(VLOOKUP($B1754,ref!$B$2:$C$34,2,FALSE),"NA")</f>
        <v>Spot</v>
      </c>
      <c r="D1754" s="5" t="s">
        <v>34</v>
      </c>
      <c r="E1754">
        <v>1</v>
      </c>
      <c r="F1754" s="1">
        <v>0.3</v>
      </c>
      <c r="G1754" s="1">
        <v>0.26300000000000001</v>
      </c>
      <c r="H1754" s="10">
        <f t="shared" si="27"/>
        <v>0.12333333333333329</v>
      </c>
    </row>
    <row r="1755" spans="1:8" x14ac:dyDescent="0.25">
      <c r="A1755" s="4">
        <v>45799</v>
      </c>
      <c r="C1755" t="str">
        <f>_xlfn.IFNA(VLOOKUP($B1755,ref!$B$2:$C$34,2,FALSE),"NA")</f>
        <v>NA</v>
      </c>
      <c r="D1755" s="5">
        <v>3090</v>
      </c>
      <c r="E1755">
        <v>1</v>
      </c>
      <c r="F1755" s="1">
        <v>0.3</v>
      </c>
      <c r="G1755" s="1">
        <v>0.26300000000000001</v>
      </c>
      <c r="H1755" s="10">
        <f t="shared" si="27"/>
        <v>0.12333333333333329</v>
      </c>
    </row>
    <row r="1756" spans="1:8" x14ac:dyDescent="0.25">
      <c r="A1756" s="4">
        <v>45799</v>
      </c>
      <c r="C1756" t="str">
        <f>_xlfn.IFNA(VLOOKUP($B1756,ref!$B$2:$C$34,2,FALSE),"NA")</f>
        <v>NA</v>
      </c>
      <c r="D1756" s="5">
        <v>3090</v>
      </c>
      <c r="E1756">
        <v>1</v>
      </c>
      <c r="F1756" s="1">
        <v>0.3</v>
      </c>
      <c r="G1756" s="1">
        <v>0.26300000000000001</v>
      </c>
      <c r="H1756" s="10">
        <f t="shared" si="27"/>
        <v>0.12333333333333329</v>
      </c>
    </row>
    <row r="1757" spans="1:8" x14ac:dyDescent="0.25">
      <c r="A1757" s="4">
        <v>45795</v>
      </c>
      <c r="B1757" t="s">
        <v>29</v>
      </c>
      <c r="C1757" t="str">
        <f>_xlfn.IFNA(VLOOKUP($B1757,ref!$B$2:$C$34,2,FALSE),"NA")</f>
        <v>Spot</v>
      </c>
      <c r="D1757" s="5" t="s">
        <v>34</v>
      </c>
      <c r="E1757">
        <v>1</v>
      </c>
      <c r="F1757" s="1">
        <v>0.3</v>
      </c>
      <c r="G1757" s="1">
        <v>0.26300000000000001</v>
      </c>
      <c r="H1757" s="10">
        <f t="shared" si="27"/>
        <v>0.12333333333333329</v>
      </c>
    </row>
    <row r="1758" spans="1:8" x14ac:dyDescent="0.25">
      <c r="A1758" s="4">
        <v>45795</v>
      </c>
      <c r="B1758" t="s">
        <v>29</v>
      </c>
      <c r="C1758" t="str">
        <f>_xlfn.IFNA(VLOOKUP($B1758,ref!$B$2:$C$34,2,FALSE),"NA")</f>
        <v>Spot</v>
      </c>
      <c r="D1758" s="5" t="s">
        <v>34</v>
      </c>
      <c r="E1758">
        <v>1</v>
      </c>
      <c r="F1758" s="1">
        <v>0.3</v>
      </c>
      <c r="G1758" s="1">
        <v>0.26300000000000001</v>
      </c>
      <c r="H1758" s="10">
        <f t="shared" si="27"/>
        <v>0.12333333333333329</v>
      </c>
    </row>
    <row r="1759" spans="1:8" x14ac:dyDescent="0.25">
      <c r="A1759" s="4">
        <v>45795</v>
      </c>
      <c r="B1759" t="s">
        <v>29</v>
      </c>
      <c r="C1759" t="str">
        <f>_xlfn.IFNA(VLOOKUP($B1759,ref!$B$2:$C$34,2,FALSE),"NA")</f>
        <v>Spot</v>
      </c>
      <c r="D1759" s="5" t="s">
        <v>34</v>
      </c>
      <c r="E1759">
        <v>1</v>
      </c>
      <c r="F1759" s="1">
        <v>0.3</v>
      </c>
      <c r="G1759" s="1">
        <v>0.26300000000000001</v>
      </c>
      <c r="H1759" s="10">
        <f t="shared" si="27"/>
        <v>0.12333333333333329</v>
      </c>
    </row>
    <row r="1760" spans="1:8" x14ac:dyDescent="0.25">
      <c r="A1760" s="4">
        <v>45795</v>
      </c>
      <c r="B1760" t="s">
        <v>29</v>
      </c>
      <c r="C1760" t="str">
        <f>_xlfn.IFNA(VLOOKUP($B1760,ref!$B$2:$C$34,2,FALSE),"NA")</f>
        <v>Spot</v>
      </c>
      <c r="D1760" s="5" t="s">
        <v>34</v>
      </c>
      <c r="E1760">
        <v>1</v>
      </c>
      <c r="F1760" s="1">
        <v>0.3</v>
      </c>
      <c r="G1760" s="1">
        <v>0.26300000000000001</v>
      </c>
      <c r="H1760" s="10">
        <f t="shared" si="27"/>
        <v>0.12333333333333329</v>
      </c>
    </row>
    <row r="1761" spans="1:8" x14ac:dyDescent="0.25">
      <c r="A1761" s="4">
        <v>45795</v>
      </c>
      <c r="B1761" t="s">
        <v>29</v>
      </c>
      <c r="C1761" t="str">
        <f>_xlfn.IFNA(VLOOKUP($B1761,ref!$B$2:$C$34,2,FALSE),"NA")</f>
        <v>Spot</v>
      </c>
      <c r="D1761" s="5" t="s">
        <v>34</v>
      </c>
      <c r="E1761">
        <v>1</v>
      </c>
      <c r="F1761" s="1">
        <v>0.3</v>
      </c>
      <c r="G1761" s="1">
        <v>0.26300000000000001</v>
      </c>
      <c r="H1761" s="10">
        <f t="shared" si="27"/>
        <v>0.12333333333333329</v>
      </c>
    </row>
    <row r="1762" spans="1:8" x14ac:dyDescent="0.25">
      <c r="A1762" s="4">
        <v>45795</v>
      </c>
      <c r="B1762" t="s">
        <v>29</v>
      </c>
      <c r="C1762" t="str">
        <f>_xlfn.IFNA(VLOOKUP($B1762,ref!$B$2:$C$34,2,FALSE),"NA")</f>
        <v>Spot</v>
      </c>
      <c r="D1762" s="5" t="s">
        <v>34</v>
      </c>
      <c r="E1762">
        <v>1</v>
      </c>
      <c r="F1762" s="1">
        <v>0.3</v>
      </c>
      <c r="G1762" s="1">
        <v>0.26300000000000001</v>
      </c>
      <c r="H1762" s="10">
        <f t="shared" si="27"/>
        <v>0.12333333333333329</v>
      </c>
    </row>
    <row r="1763" spans="1:8" x14ac:dyDescent="0.25">
      <c r="A1763" s="4">
        <v>45795</v>
      </c>
      <c r="B1763" t="s">
        <v>29</v>
      </c>
      <c r="C1763" t="str">
        <f>_xlfn.IFNA(VLOOKUP($B1763,ref!$B$2:$C$34,2,FALSE),"NA")</f>
        <v>Spot</v>
      </c>
      <c r="D1763" s="5" t="s">
        <v>34</v>
      </c>
      <c r="E1763">
        <v>1</v>
      </c>
      <c r="F1763" s="1">
        <v>0.3</v>
      </c>
      <c r="G1763" s="1">
        <v>0.26300000000000001</v>
      </c>
      <c r="H1763" s="10">
        <f t="shared" si="27"/>
        <v>0.12333333333333329</v>
      </c>
    </row>
    <row r="1764" spans="1:8" x14ac:dyDescent="0.25">
      <c r="A1764" s="4">
        <v>45795</v>
      </c>
      <c r="B1764" t="s">
        <v>29</v>
      </c>
      <c r="C1764" t="str">
        <f>_xlfn.IFNA(VLOOKUP($B1764,ref!$B$2:$C$34,2,FALSE),"NA")</f>
        <v>Spot</v>
      </c>
      <c r="D1764" s="5" t="s">
        <v>34</v>
      </c>
      <c r="E1764">
        <v>1</v>
      </c>
      <c r="F1764" s="1">
        <v>0.3</v>
      </c>
      <c r="G1764" s="1">
        <v>0.26300000000000001</v>
      </c>
      <c r="H1764" s="10">
        <f t="shared" si="27"/>
        <v>0.12333333333333329</v>
      </c>
    </row>
    <row r="1765" spans="1:8" x14ac:dyDescent="0.25">
      <c r="A1765" s="4">
        <v>45795</v>
      </c>
      <c r="B1765" t="s">
        <v>29</v>
      </c>
      <c r="C1765" t="str">
        <f>_xlfn.IFNA(VLOOKUP($B1765,ref!$B$2:$C$34,2,FALSE),"NA")</f>
        <v>Spot</v>
      </c>
      <c r="D1765" s="5" t="s">
        <v>34</v>
      </c>
      <c r="E1765">
        <v>1</v>
      </c>
      <c r="F1765" s="1">
        <v>0.3</v>
      </c>
      <c r="G1765" s="1">
        <v>0.26300000000000001</v>
      </c>
      <c r="H1765" s="10">
        <f t="shared" si="27"/>
        <v>0.12333333333333329</v>
      </c>
    </row>
    <row r="1766" spans="1:8" x14ac:dyDescent="0.25">
      <c r="A1766" s="4">
        <v>45795</v>
      </c>
      <c r="B1766" t="s">
        <v>29</v>
      </c>
      <c r="C1766" t="str">
        <f>_xlfn.IFNA(VLOOKUP($B1766,ref!$B$2:$C$34,2,FALSE),"NA")</f>
        <v>Spot</v>
      </c>
      <c r="D1766" s="5" t="s">
        <v>34</v>
      </c>
      <c r="E1766">
        <v>1</v>
      </c>
      <c r="F1766" s="1">
        <v>0.3</v>
      </c>
      <c r="G1766" s="1">
        <v>0.26300000000000001</v>
      </c>
      <c r="H1766" s="10">
        <f t="shared" si="27"/>
        <v>0.12333333333333329</v>
      </c>
    </row>
    <row r="1767" spans="1:8" x14ac:dyDescent="0.25">
      <c r="A1767" s="4">
        <v>45795</v>
      </c>
      <c r="B1767" t="s">
        <v>29</v>
      </c>
      <c r="C1767" t="str">
        <f>_xlfn.IFNA(VLOOKUP($B1767,ref!$B$2:$C$34,2,FALSE),"NA")</f>
        <v>Spot</v>
      </c>
      <c r="D1767" s="5" t="s">
        <v>34</v>
      </c>
      <c r="E1767">
        <v>1</v>
      </c>
      <c r="F1767" s="1">
        <v>0.3</v>
      </c>
      <c r="G1767" s="1">
        <v>0.26300000000000001</v>
      </c>
      <c r="H1767" s="10">
        <f t="shared" si="27"/>
        <v>0.12333333333333329</v>
      </c>
    </row>
    <row r="1768" spans="1:8" x14ac:dyDescent="0.25">
      <c r="A1768" s="4">
        <v>45795</v>
      </c>
      <c r="B1768" t="s">
        <v>29</v>
      </c>
      <c r="C1768" t="str">
        <f>_xlfn.IFNA(VLOOKUP($B1768,ref!$B$2:$C$34,2,FALSE),"NA")</f>
        <v>Spot</v>
      </c>
      <c r="D1768" s="5" t="s">
        <v>34</v>
      </c>
      <c r="E1768">
        <v>1</v>
      </c>
      <c r="F1768" s="1">
        <v>0.3</v>
      </c>
      <c r="G1768" s="1">
        <v>0.26300000000000001</v>
      </c>
      <c r="H1768" s="10">
        <f t="shared" si="27"/>
        <v>0.12333333333333329</v>
      </c>
    </row>
    <row r="1769" spans="1:8" x14ac:dyDescent="0.25">
      <c r="A1769" s="4">
        <v>45795</v>
      </c>
      <c r="B1769" t="s">
        <v>29</v>
      </c>
      <c r="C1769" t="str">
        <f>_xlfn.IFNA(VLOOKUP($B1769,ref!$B$2:$C$34,2,FALSE),"NA")</f>
        <v>Spot</v>
      </c>
      <c r="D1769" s="5" t="s">
        <v>34</v>
      </c>
      <c r="E1769">
        <v>1</v>
      </c>
      <c r="F1769" s="1">
        <v>0.3</v>
      </c>
      <c r="G1769" s="1">
        <v>0.26300000000000001</v>
      </c>
      <c r="H1769" s="10">
        <f t="shared" si="27"/>
        <v>0.12333333333333329</v>
      </c>
    </row>
    <row r="1770" spans="1:8" x14ac:dyDescent="0.25">
      <c r="A1770" s="4">
        <v>45795</v>
      </c>
      <c r="B1770" t="s">
        <v>29</v>
      </c>
      <c r="C1770" t="str">
        <f>_xlfn.IFNA(VLOOKUP($B1770,ref!$B$2:$C$34,2,FALSE),"NA")</f>
        <v>Spot</v>
      </c>
      <c r="D1770" s="5" t="s">
        <v>34</v>
      </c>
      <c r="E1770">
        <v>1</v>
      </c>
      <c r="F1770" s="1">
        <v>0.3</v>
      </c>
      <c r="G1770" s="1">
        <v>0.26300000000000001</v>
      </c>
      <c r="H1770" s="10">
        <f t="shared" si="27"/>
        <v>0.12333333333333329</v>
      </c>
    </row>
    <row r="1771" spans="1:8" x14ac:dyDescent="0.25">
      <c r="A1771" s="4">
        <v>45795</v>
      </c>
      <c r="B1771" t="s">
        <v>29</v>
      </c>
      <c r="C1771" t="str">
        <f>_xlfn.IFNA(VLOOKUP($B1771,ref!$B$2:$C$34,2,FALSE),"NA")</f>
        <v>Spot</v>
      </c>
      <c r="D1771" s="5" t="s">
        <v>34</v>
      </c>
      <c r="E1771">
        <v>1</v>
      </c>
      <c r="F1771" s="1">
        <v>0.3</v>
      </c>
      <c r="G1771" s="1">
        <v>0.26300000000000001</v>
      </c>
      <c r="H1771" s="10">
        <f t="shared" si="27"/>
        <v>0.12333333333333329</v>
      </c>
    </row>
    <row r="1772" spans="1:8" x14ac:dyDescent="0.25">
      <c r="A1772" s="4">
        <v>45795</v>
      </c>
      <c r="B1772" t="s">
        <v>29</v>
      </c>
      <c r="C1772" t="str">
        <f>_xlfn.IFNA(VLOOKUP($B1772,ref!$B$2:$C$34,2,FALSE),"NA")</f>
        <v>Spot</v>
      </c>
      <c r="D1772" s="5" t="s">
        <v>34</v>
      </c>
      <c r="E1772">
        <v>1</v>
      </c>
      <c r="F1772" s="1">
        <v>0.3</v>
      </c>
      <c r="G1772" s="1">
        <v>0.26300000000000001</v>
      </c>
      <c r="H1772" s="10">
        <f t="shared" si="27"/>
        <v>0.12333333333333329</v>
      </c>
    </row>
    <row r="1773" spans="1:8" x14ac:dyDescent="0.25">
      <c r="A1773" s="4">
        <v>45795</v>
      </c>
      <c r="B1773" t="s">
        <v>29</v>
      </c>
      <c r="C1773" t="str">
        <f>_xlfn.IFNA(VLOOKUP($B1773,ref!$B$2:$C$34,2,FALSE),"NA")</f>
        <v>Spot</v>
      </c>
      <c r="D1773" s="5">
        <v>3090</v>
      </c>
      <c r="E1773">
        <v>1</v>
      </c>
      <c r="F1773" s="1">
        <v>0.3</v>
      </c>
      <c r="G1773" s="1">
        <v>0.26300000000000001</v>
      </c>
      <c r="H1773" s="10">
        <f t="shared" si="27"/>
        <v>0.12333333333333329</v>
      </c>
    </row>
    <row r="1774" spans="1:8" x14ac:dyDescent="0.25">
      <c r="A1774" s="4">
        <v>45795</v>
      </c>
      <c r="B1774" t="s">
        <v>29</v>
      </c>
      <c r="C1774" t="str">
        <f>_xlfn.IFNA(VLOOKUP($B1774,ref!$B$2:$C$34,2,FALSE),"NA")</f>
        <v>Spot</v>
      </c>
      <c r="D1774" s="5">
        <v>3090</v>
      </c>
      <c r="E1774">
        <v>1</v>
      </c>
      <c r="F1774" s="1">
        <v>0.3</v>
      </c>
      <c r="G1774" s="1">
        <v>0.26300000000000001</v>
      </c>
      <c r="H1774" s="10">
        <f t="shared" si="27"/>
        <v>0.12333333333333329</v>
      </c>
    </row>
    <row r="1775" spans="1:8" x14ac:dyDescent="0.25">
      <c r="A1775" s="4">
        <v>45795</v>
      </c>
      <c r="B1775" t="s">
        <v>29</v>
      </c>
      <c r="C1775" t="str">
        <f>_xlfn.IFNA(VLOOKUP($B1775,ref!$B$2:$C$34,2,FALSE),"NA")</f>
        <v>Spot</v>
      </c>
      <c r="D1775" s="5">
        <v>3090</v>
      </c>
      <c r="E1775">
        <v>1</v>
      </c>
      <c r="F1775" s="1">
        <v>0.3</v>
      </c>
      <c r="G1775" s="1">
        <v>0.26300000000000001</v>
      </c>
      <c r="H1775" s="10">
        <f t="shared" si="27"/>
        <v>0.12333333333333329</v>
      </c>
    </row>
    <row r="1776" spans="1:8" x14ac:dyDescent="0.25">
      <c r="A1776" s="4">
        <v>45793</v>
      </c>
      <c r="B1776" t="s">
        <v>29</v>
      </c>
      <c r="C1776" t="str">
        <f>_xlfn.IFNA(VLOOKUP($B1776,ref!$B$2:$C$34,2,FALSE),"NA")</f>
        <v>Spot</v>
      </c>
      <c r="D1776" s="5">
        <v>3090</v>
      </c>
      <c r="E1776">
        <v>1</v>
      </c>
      <c r="F1776" s="1">
        <v>0.3</v>
      </c>
      <c r="G1776" s="1">
        <v>0.26300000000000001</v>
      </c>
      <c r="H1776" s="10">
        <f t="shared" si="27"/>
        <v>0.12333333333333329</v>
      </c>
    </row>
    <row r="1777" spans="1:8" x14ac:dyDescent="0.25">
      <c r="A1777" s="4">
        <v>45793</v>
      </c>
      <c r="B1777" t="s">
        <v>29</v>
      </c>
      <c r="C1777" t="str">
        <f>_xlfn.IFNA(VLOOKUP($B1777,ref!$B$2:$C$34,2,FALSE),"NA")</f>
        <v>Spot</v>
      </c>
      <c r="D1777" s="5">
        <v>3090</v>
      </c>
      <c r="E1777">
        <v>1</v>
      </c>
      <c r="F1777" s="1">
        <v>0.3</v>
      </c>
      <c r="G1777" s="1">
        <v>0.26300000000000001</v>
      </c>
      <c r="H1777" s="10">
        <f t="shared" si="27"/>
        <v>0.12333333333333329</v>
      </c>
    </row>
    <row r="1778" spans="1:8" x14ac:dyDescent="0.25">
      <c r="A1778" s="4">
        <v>45778</v>
      </c>
      <c r="B1778" t="s">
        <v>29</v>
      </c>
      <c r="C1778" t="str">
        <f>_xlfn.IFNA(VLOOKUP($B1778,ref!$B$2:$C$34,2,FALSE),"NA")</f>
        <v>Spot</v>
      </c>
      <c r="D1778" s="5">
        <v>3090</v>
      </c>
      <c r="E1778">
        <v>1</v>
      </c>
      <c r="F1778" s="1">
        <v>0.3</v>
      </c>
      <c r="G1778" s="1">
        <v>0.26300000000000001</v>
      </c>
      <c r="H1778" s="10">
        <f t="shared" si="27"/>
        <v>0.12333333333333329</v>
      </c>
    </row>
    <row r="1779" spans="1:8" x14ac:dyDescent="0.25">
      <c r="A1779" s="4">
        <v>45773</v>
      </c>
      <c r="C1779" t="str">
        <f>_xlfn.IFNA(VLOOKUP($B1779,ref!$B$2:$C$34,2,FALSE),"NA")</f>
        <v>NA</v>
      </c>
      <c r="D1779" s="5" t="s">
        <v>25</v>
      </c>
      <c r="E1779">
        <v>1</v>
      </c>
      <c r="F1779" s="1">
        <v>2.0499999999999998</v>
      </c>
      <c r="G1779" s="1">
        <v>1.8</v>
      </c>
      <c r="H1779" s="10">
        <f t="shared" si="27"/>
        <v>0.12195121951219501</v>
      </c>
    </row>
    <row r="1780" spans="1:8" x14ac:dyDescent="0.25">
      <c r="A1780" s="4">
        <v>45773</v>
      </c>
      <c r="C1780" t="str">
        <f>_xlfn.IFNA(VLOOKUP($B1780,ref!$B$2:$C$34,2,FALSE),"NA")</f>
        <v>NA</v>
      </c>
      <c r="D1780" s="5" t="s">
        <v>25</v>
      </c>
      <c r="E1780">
        <v>1</v>
      </c>
      <c r="F1780" s="1">
        <v>2.0499999999999998</v>
      </c>
      <c r="G1780" s="1">
        <v>1.79</v>
      </c>
      <c r="H1780" s="10">
        <f t="shared" si="27"/>
        <v>0.12682926829268282</v>
      </c>
    </row>
    <row r="1781" spans="1:8" x14ac:dyDescent="0.25">
      <c r="A1781" s="4">
        <v>45770</v>
      </c>
      <c r="B1781" t="s">
        <v>29</v>
      </c>
      <c r="C1781" t="str">
        <f>_xlfn.IFNA(VLOOKUP($B1781,ref!$B$2:$C$34,2,FALSE),"NA")</f>
        <v>Spot</v>
      </c>
      <c r="D1781" s="5" t="s">
        <v>23</v>
      </c>
      <c r="E1781">
        <v>1</v>
      </c>
      <c r="F1781" s="1">
        <v>0.41</v>
      </c>
      <c r="G1781" s="1">
        <v>0.36</v>
      </c>
      <c r="H1781" s="10">
        <f t="shared" si="27"/>
        <v>0.12195121951219512</v>
      </c>
    </row>
    <row r="1782" spans="1:8" x14ac:dyDescent="0.25">
      <c r="A1782" s="4">
        <v>45770</v>
      </c>
      <c r="B1782" t="s">
        <v>29</v>
      </c>
      <c r="C1782" t="str">
        <f>_xlfn.IFNA(VLOOKUP($B1782,ref!$B$2:$C$34,2,FALSE),"NA")</f>
        <v>Spot</v>
      </c>
      <c r="D1782" s="5" t="s">
        <v>23</v>
      </c>
      <c r="E1782">
        <v>1</v>
      </c>
      <c r="F1782" s="1">
        <v>0.41</v>
      </c>
      <c r="G1782" s="1">
        <v>0.36</v>
      </c>
      <c r="H1782" s="10">
        <f t="shared" si="27"/>
        <v>0.12195121951219512</v>
      </c>
    </row>
    <row r="1783" spans="1:8" x14ac:dyDescent="0.25">
      <c r="A1783" s="4">
        <v>45768</v>
      </c>
      <c r="C1783" t="str">
        <f>_xlfn.IFNA(VLOOKUP($B1783,ref!$B$2:$C$34,2,FALSE),"NA")</f>
        <v>NA</v>
      </c>
      <c r="E1783">
        <v>1</v>
      </c>
      <c r="F1783" s="1">
        <v>0.22</v>
      </c>
      <c r="G1783" s="1">
        <v>0.2</v>
      </c>
      <c r="H1783" s="10">
        <f t="shared" si="27"/>
        <v>9.0909090909090828E-2</v>
      </c>
    </row>
    <row r="1784" spans="1:8" x14ac:dyDescent="0.25">
      <c r="A1784" s="4">
        <v>45768</v>
      </c>
      <c r="C1784" t="str">
        <f>_xlfn.IFNA(VLOOKUP($B1784,ref!$B$2:$C$34,2,FALSE),"NA")</f>
        <v>NA</v>
      </c>
      <c r="E1784">
        <v>1</v>
      </c>
      <c r="F1784" s="1">
        <v>0.22</v>
      </c>
      <c r="G1784" s="1">
        <v>0.2</v>
      </c>
      <c r="H1784" s="10">
        <f t="shared" si="27"/>
        <v>9.0909090909090828E-2</v>
      </c>
    </row>
    <row r="1785" spans="1:8" x14ac:dyDescent="0.25">
      <c r="A1785" s="4">
        <v>45768</v>
      </c>
      <c r="C1785" t="str">
        <f>_xlfn.IFNA(VLOOKUP($B1785,ref!$B$2:$C$34,2,FALSE),"NA")</f>
        <v>NA</v>
      </c>
      <c r="E1785">
        <v>1</v>
      </c>
      <c r="F1785" s="1">
        <v>0.22</v>
      </c>
      <c r="G1785" s="1">
        <v>0.2</v>
      </c>
      <c r="H1785" s="10">
        <f t="shared" si="27"/>
        <v>9.0909090909090828E-2</v>
      </c>
    </row>
    <row r="1786" spans="1:8" x14ac:dyDescent="0.25">
      <c r="A1786" s="4">
        <v>45768</v>
      </c>
      <c r="C1786" t="str">
        <f>_xlfn.IFNA(VLOOKUP($B1786,ref!$B$2:$C$34,2,FALSE),"NA")</f>
        <v>NA</v>
      </c>
      <c r="E1786">
        <v>1</v>
      </c>
      <c r="F1786" s="1">
        <v>0.22</v>
      </c>
      <c r="G1786" s="1">
        <v>0.2</v>
      </c>
      <c r="H1786" s="10">
        <f t="shared" si="27"/>
        <v>9.0909090909090828E-2</v>
      </c>
    </row>
    <row r="1787" spans="1:8" x14ac:dyDescent="0.25">
      <c r="A1787" s="4">
        <v>45768</v>
      </c>
      <c r="C1787" t="str">
        <f>_xlfn.IFNA(VLOOKUP($B1787,ref!$B$2:$C$34,2,FALSE),"NA")</f>
        <v>NA</v>
      </c>
      <c r="E1787">
        <v>1</v>
      </c>
      <c r="F1787" s="1">
        <v>0.22</v>
      </c>
      <c r="G1787" s="1">
        <v>0.2</v>
      </c>
      <c r="H1787" s="10">
        <f t="shared" si="27"/>
        <v>9.0909090909090828E-2</v>
      </c>
    </row>
    <row r="1788" spans="1:8" x14ac:dyDescent="0.25">
      <c r="A1788" s="4">
        <v>45768</v>
      </c>
      <c r="C1788" t="str">
        <f>_xlfn.IFNA(VLOOKUP($B1788,ref!$B$2:$C$34,2,FALSE),"NA")</f>
        <v>NA</v>
      </c>
      <c r="E1788">
        <v>1</v>
      </c>
      <c r="F1788" s="1">
        <v>0.22</v>
      </c>
      <c r="G1788" s="1">
        <v>0.2</v>
      </c>
      <c r="H1788" s="10">
        <f t="shared" si="27"/>
        <v>9.0909090909090828E-2</v>
      </c>
    </row>
    <row r="1789" spans="1:8" x14ac:dyDescent="0.25">
      <c r="A1789" s="4">
        <v>45768</v>
      </c>
      <c r="C1789" t="str">
        <f>_xlfn.IFNA(VLOOKUP($B1789,ref!$B$2:$C$34,2,FALSE),"NA")</f>
        <v>NA</v>
      </c>
      <c r="E1789">
        <v>1</v>
      </c>
      <c r="F1789" s="1">
        <v>0.22</v>
      </c>
      <c r="G1789" s="1">
        <v>0.2</v>
      </c>
      <c r="H1789" s="10">
        <f t="shared" si="27"/>
        <v>9.0909090909090828E-2</v>
      </c>
    </row>
    <row r="1790" spans="1:8" x14ac:dyDescent="0.25">
      <c r="A1790" s="4">
        <v>45768</v>
      </c>
      <c r="C1790" t="str">
        <f>_xlfn.IFNA(VLOOKUP($B1790,ref!$B$2:$C$34,2,FALSE),"NA")</f>
        <v>NA</v>
      </c>
      <c r="E1790">
        <v>1</v>
      </c>
      <c r="F1790" s="1">
        <v>0.22</v>
      </c>
      <c r="G1790" s="1">
        <v>0.2</v>
      </c>
      <c r="H1790" s="10">
        <f t="shared" si="27"/>
        <v>9.0909090909090828E-2</v>
      </c>
    </row>
    <row r="1791" spans="1:8" x14ac:dyDescent="0.25">
      <c r="A1791" s="4">
        <v>45768</v>
      </c>
      <c r="C1791" t="str">
        <f>_xlfn.IFNA(VLOOKUP($B1791,ref!$B$2:$C$34,2,FALSE),"NA")</f>
        <v>NA</v>
      </c>
      <c r="E1791">
        <v>1</v>
      </c>
      <c r="F1791" s="1">
        <v>0.22</v>
      </c>
      <c r="G1791" s="1">
        <v>0.2</v>
      </c>
      <c r="H1791" s="10">
        <f t="shared" si="27"/>
        <v>9.0909090909090828E-2</v>
      </c>
    </row>
    <row r="1792" spans="1:8" x14ac:dyDescent="0.25">
      <c r="A1792" s="4">
        <v>45768</v>
      </c>
      <c r="C1792" t="str">
        <f>_xlfn.IFNA(VLOOKUP($B1792,ref!$B$2:$C$34,2,FALSE),"NA")</f>
        <v>NA</v>
      </c>
      <c r="D1792" s="5">
        <v>3090</v>
      </c>
      <c r="E1792">
        <v>1</v>
      </c>
      <c r="F1792" s="1">
        <v>0.22</v>
      </c>
      <c r="G1792" s="1">
        <v>0.2</v>
      </c>
      <c r="H1792" s="10">
        <f t="shared" si="27"/>
        <v>9.0909090909090828E-2</v>
      </c>
    </row>
    <row r="1793" spans="1:8" x14ac:dyDescent="0.25">
      <c r="A1793" s="4">
        <v>45765</v>
      </c>
      <c r="B1793" t="s">
        <v>14</v>
      </c>
      <c r="C1793" t="str">
        <f>_xlfn.IFNA(VLOOKUP($B1793,ref!$B$2:$C$34,2,FALSE),"NA")</f>
        <v>Spot</v>
      </c>
      <c r="D1793" s="5" t="s">
        <v>23</v>
      </c>
      <c r="E1793">
        <v>1</v>
      </c>
      <c r="F1793" s="1">
        <v>125</v>
      </c>
      <c r="G1793" s="1">
        <v>109</v>
      </c>
      <c r="H1793" s="10">
        <f t="shared" si="27"/>
        <v>0.128</v>
      </c>
    </row>
    <row r="1794" spans="1:8" x14ac:dyDescent="0.25">
      <c r="A1794" s="4">
        <v>45765</v>
      </c>
      <c r="B1794" t="s">
        <v>14</v>
      </c>
      <c r="C1794" t="str">
        <f>_xlfn.IFNA(VLOOKUP($B1794,ref!$B$2:$C$34,2,FALSE),"NA")</f>
        <v>Spot</v>
      </c>
      <c r="D1794" s="5" t="s">
        <v>23</v>
      </c>
      <c r="E1794">
        <v>1</v>
      </c>
      <c r="F1794" s="1">
        <v>125</v>
      </c>
      <c r="G1794" s="1">
        <v>109</v>
      </c>
      <c r="H1794" s="10">
        <f t="shared" si="27"/>
        <v>0.128</v>
      </c>
    </row>
    <row r="1795" spans="1:8" x14ac:dyDescent="0.25">
      <c r="A1795" s="4">
        <v>45763</v>
      </c>
      <c r="C1795" t="str">
        <f>_xlfn.IFNA(VLOOKUP($B1795,ref!$B$2:$C$34,2,FALSE),"NA")</f>
        <v>NA</v>
      </c>
      <c r="D1795" s="5" t="s">
        <v>7</v>
      </c>
      <c r="E1795">
        <v>1</v>
      </c>
      <c r="F1795" s="1">
        <v>9.64</v>
      </c>
      <c r="H1795" s="10">
        <f t="shared" ref="H1795:H1818" si="28">1-(G1795/F1795)</f>
        <v>1</v>
      </c>
    </row>
    <row r="1796" spans="1:8" x14ac:dyDescent="0.25">
      <c r="A1796" s="4">
        <v>45761</v>
      </c>
      <c r="B1796" t="s">
        <v>29</v>
      </c>
      <c r="C1796" t="str">
        <f>_xlfn.IFNA(VLOOKUP($B1796,ref!$B$2:$C$34,2,FALSE),"NA")</f>
        <v>Spot</v>
      </c>
      <c r="D1796" s="5">
        <v>3090</v>
      </c>
      <c r="E1796">
        <v>1</v>
      </c>
      <c r="F1796" s="1">
        <v>0.3</v>
      </c>
      <c r="G1796" s="1">
        <v>0.26300000000000001</v>
      </c>
      <c r="H1796" s="10">
        <f t="shared" si="28"/>
        <v>0.12333333333333329</v>
      </c>
    </row>
    <row r="1797" spans="1:8" x14ac:dyDescent="0.25">
      <c r="A1797" s="4">
        <v>45755</v>
      </c>
      <c r="C1797" t="str">
        <f>_xlfn.IFNA(VLOOKUP($B1797,ref!$B$2:$C$34,2,FALSE),"NA")</f>
        <v>NA</v>
      </c>
      <c r="D1797" s="5">
        <v>3090</v>
      </c>
      <c r="E1797">
        <v>1</v>
      </c>
      <c r="F1797" s="1">
        <v>0.3</v>
      </c>
      <c r="G1797" s="1">
        <v>0.27</v>
      </c>
      <c r="H1797" s="10">
        <f t="shared" si="28"/>
        <v>9.9999999999999867E-2</v>
      </c>
    </row>
    <row r="1798" spans="1:8" x14ac:dyDescent="0.25">
      <c r="A1798" s="4">
        <v>45753</v>
      </c>
      <c r="C1798" t="str">
        <f>_xlfn.IFNA(VLOOKUP($B1798,ref!$B$2:$C$34,2,FALSE),"NA")</f>
        <v>NA</v>
      </c>
      <c r="D1798" s="5" t="s">
        <v>7</v>
      </c>
      <c r="E1798">
        <v>1</v>
      </c>
      <c r="F1798" s="1">
        <v>32</v>
      </c>
      <c r="H1798" s="10">
        <f t="shared" si="28"/>
        <v>1</v>
      </c>
    </row>
    <row r="1799" spans="1:8" x14ac:dyDescent="0.25">
      <c r="A1799" s="4">
        <v>45750</v>
      </c>
      <c r="C1799" t="str">
        <f>_xlfn.IFNA(VLOOKUP($B1799,ref!$B$2:$C$34,2,FALSE),"NA")</f>
        <v>NA</v>
      </c>
      <c r="D1799" s="5" t="s">
        <v>23</v>
      </c>
      <c r="E1799">
        <v>1</v>
      </c>
      <c r="F1799" s="1">
        <v>1700</v>
      </c>
      <c r="G1799" s="1">
        <v>1500</v>
      </c>
      <c r="H1799" s="10">
        <f t="shared" si="28"/>
        <v>0.11764705882352944</v>
      </c>
    </row>
    <row r="1800" spans="1:8" x14ac:dyDescent="0.25">
      <c r="A1800" s="4">
        <v>45750</v>
      </c>
      <c r="C1800" t="str">
        <f>_xlfn.IFNA(VLOOKUP($B1800,ref!$B$2:$C$34,2,FALSE),"NA")</f>
        <v>NA</v>
      </c>
      <c r="D1800" s="5" t="s">
        <v>23</v>
      </c>
      <c r="E1800">
        <v>1</v>
      </c>
      <c r="F1800" s="1">
        <v>1700</v>
      </c>
      <c r="G1800" s="1">
        <v>1500</v>
      </c>
      <c r="H1800" s="10">
        <f t="shared" si="28"/>
        <v>0.11764705882352944</v>
      </c>
    </row>
    <row r="1801" spans="1:8" x14ac:dyDescent="0.25">
      <c r="A1801" s="4">
        <v>45750</v>
      </c>
      <c r="B1801" t="s">
        <v>12</v>
      </c>
      <c r="C1801" t="str">
        <f>_xlfn.IFNA(VLOOKUP($B1801,ref!$B$2:$C$34,2,FALSE),"NA")</f>
        <v>Spot</v>
      </c>
      <c r="D1801" s="5" t="s">
        <v>23</v>
      </c>
      <c r="E1801">
        <v>1</v>
      </c>
      <c r="F1801" s="1">
        <v>1700</v>
      </c>
      <c r="G1801" s="1">
        <v>1500</v>
      </c>
      <c r="H1801" s="10">
        <f t="shared" si="28"/>
        <v>0.11764705882352944</v>
      </c>
    </row>
    <row r="1802" spans="1:8" x14ac:dyDescent="0.25">
      <c r="A1802" s="4">
        <v>45750</v>
      </c>
      <c r="C1802" t="str">
        <f>_xlfn.IFNA(VLOOKUP($B1802,ref!$B$2:$C$34,2,FALSE),"NA")</f>
        <v>NA</v>
      </c>
      <c r="D1802" s="5" t="s">
        <v>23</v>
      </c>
      <c r="E1802">
        <v>1</v>
      </c>
      <c r="F1802" s="1">
        <v>2.33</v>
      </c>
      <c r="G1802" s="1">
        <v>2.0550000000000002</v>
      </c>
      <c r="H1802" s="10">
        <f t="shared" si="28"/>
        <v>0.11802575107296132</v>
      </c>
    </row>
    <row r="1803" spans="1:8" x14ac:dyDescent="0.25">
      <c r="A1803" s="4">
        <v>45750</v>
      </c>
      <c r="C1803" t="str">
        <f>_xlfn.IFNA(VLOOKUP($B1803,ref!$B$2:$C$34,2,FALSE),"NA")</f>
        <v>NA</v>
      </c>
      <c r="D1803" s="5" t="s">
        <v>23</v>
      </c>
      <c r="E1803">
        <v>1</v>
      </c>
      <c r="F1803" s="1">
        <v>2.3290000000000002</v>
      </c>
      <c r="G1803" s="1">
        <v>2.0550000000000002</v>
      </c>
      <c r="H1803" s="10">
        <f t="shared" si="28"/>
        <v>0.11764705882352944</v>
      </c>
    </row>
    <row r="1804" spans="1:8" x14ac:dyDescent="0.25">
      <c r="A1804" s="4">
        <v>45750</v>
      </c>
      <c r="C1804" t="str">
        <f>_xlfn.IFNA(VLOOKUP($B1804,ref!$B$2:$C$34,2,FALSE),"NA")</f>
        <v>NA</v>
      </c>
      <c r="D1804" s="5">
        <v>3090</v>
      </c>
      <c r="E1804">
        <v>1</v>
      </c>
      <c r="F1804" s="1">
        <v>0.3</v>
      </c>
      <c r="G1804" s="1">
        <v>0.26300000000000001</v>
      </c>
      <c r="H1804" s="10">
        <f t="shared" si="28"/>
        <v>0.12333333333333329</v>
      </c>
    </row>
    <row r="1805" spans="1:8" x14ac:dyDescent="0.25">
      <c r="A1805" s="4">
        <v>45727</v>
      </c>
      <c r="C1805" t="str">
        <f>_xlfn.IFNA(VLOOKUP($B1805,ref!$B$2:$C$34,2,FALSE),"NA")</f>
        <v>NA</v>
      </c>
      <c r="D1805" s="5" t="s">
        <v>25</v>
      </c>
      <c r="E1805">
        <v>1</v>
      </c>
      <c r="F1805" s="1">
        <v>2.33</v>
      </c>
      <c r="H1805" s="10">
        <f t="shared" si="28"/>
        <v>1</v>
      </c>
    </row>
    <row r="1806" spans="1:8" x14ac:dyDescent="0.25">
      <c r="A1806" s="4">
        <v>45717</v>
      </c>
      <c r="B1806" t="s">
        <v>12</v>
      </c>
      <c r="C1806" t="str">
        <f>_xlfn.IFNA(VLOOKUP($B1806,ref!$B$2:$C$34,2,FALSE),"NA")</f>
        <v>Spot</v>
      </c>
      <c r="D1806" s="5">
        <v>3090</v>
      </c>
      <c r="E1806">
        <v>1</v>
      </c>
      <c r="F1806" s="1">
        <v>0.32</v>
      </c>
      <c r="G1806" s="1">
        <v>0.28000000000000003</v>
      </c>
      <c r="H1806" s="10">
        <f t="shared" si="28"/>
        <v>0.12499999999999989</v>
      </c>
    </row>
    <row r="1807" spans="1:8" x14ac:dyDescent="0.25">
      <c r="A1807" s="4">
        <v>45716</v>
      </c>
      <c r="C1807" t="str">
        <f>_xlfn.IFNA(VLOOKUP($B1807,ref!$B$2:$C$34,2,FALSE),"NA")</f>
        <v>NA</v>
      </c>
      <c r="D1807" s="5" t="s">
        <v>23</v>
      </c>
      <c r="E1807">
        <v>1</v>
      </c>
      <c r="F1807" s="1">
        <v>1700</v>
      </c>
      <c r="G1807" s="1">
        <v>1500</v>
      </c>
      <c r="H1807" s="10">
        <f t="shared" si="28"/>
        <v>0.11764705882352944</v>
      </c>
    </row>
    <row r="1808" spans="1:8" x14ac:dyDescent="0.25">
      <c r="A1808" s="4">
        <v>45709</v>
      </c>
      <c r="B1808" t="s">
        <v>12</v>
      </c>
      <c r="C1808" t="str">
        <f>_xlfn.IFNA(VLOOKUP($B1808,ref!$B$2:$C$34,2,FALSE),"NA")</f>
        <v>Spot</v>
      </c>
      <c r="E1808">
        <v>1</v>
      </c>
      <c r="F1808" s="1">
        <v>0.22</v>
      </c>
      <c r="G1808" s="1">
        <v>0.2</v>
      </c>
      <c r="H1808" s="10">
        <f t="shared" si="28"/>
        <v>9.0909090909090828E-2</v>
      </c>
    </row>
    <row r="1809" spans="1:8" x14ac:dyDescent="0.25">
      <c r="A1809" s="4">
        <v>46007</v>
      </c>
      <c r="C1809" t="str">
        <f>_xlfn.IFNA(VLOOKUP($B1809,ref!$B$2:$C$34,2,FALSE),"NA")</f>
        <v>NA</v>
      </c>
      <c r="D1809" s="5" t="s">
        <v>46</v>
      </c>
      <c r="F1809" s="1">
        <v>2.8</v>
      </c>
      <c r="G1809" s="1">
        <v>2.6</v>
      </c>
      <c r="H1809" s="10">
        <f t="shared" si="28"/>
        <v>7.1428571428571286E-2</v>
      </c>
    </row>
    <row r="1810" spans="1:8" x14ac:dyDescent="0.25">
      <c r="A1810" s="4">
        <v>45979</v>
      </c>
      <c r="B1810" t="s">
        <v>29</v>
      </c>
      <c r="C1810" t="str">
        <f>_xlfn.IFNA(VLOOKUP($B1810,ref!$B$2:$C$34,2,FALSE),"NA")</f>
        <v>Spot</v>
      </c>
      <c r="F1810" s="1">
        <v>0.41</v>
      </c>
      <c r="G1810" s="1">
        <v>0.36</v>
      </c>
      <c r="H1810" s="10">
        <f t="shared" si="28"/>
        <v>0.12195121951219512</v>
      </c>
    </row>
    <row r="1811" spans="1:8" x14ac:dyDescent="0.25">
      <c r="A1811" s="4">
        <v>45882</v>
      </c>
      <c r="B1811" t="s">
        <v>17</v>
      </c>
      <c r="C1811" t="str">
        <f>_xlfn.IFNA(VLOOKUP($B1811,ref!$B$2:$C$34,2,FALSE),"NA")</f>
        <v>6 Month</v>
      </c>
      <c r="F1811" s="1">
        <v>40</v>
      </c>
      <c r="G1811" s="1">
        <v>30</v>
      </c>
      <c r="H1811" s="10">
        <f t="shared" si="28"/>
        <v>0.25</v>
      </c>
    </row>
    <row r="1812" spans="1:8" x14ac:dyDescent="0.25">
      <c r="A1812" s="4">
        <v>45770</v>
      </c>
      <c r="B1812" t="s">
        <v>29</v>
      </c>
      <c r="C1812" t="str">
        <f>_xlfn.IFNA(VLOOKUP($B1812,ref!$B$2:$C$34,2,FALSE),"NA")</f>
        <v>Spot</v>
      </c>
      <c r="F1812" s="1">
        <v>0.41</v>
      </c>
      <c r="G1812" s="1">
        <v>0.36</v>
      </c>
      <c r="H1812" s="10">
        <f t="shared" si="28"/>
        <v>0.12195121951219512</v>
      </c>
    </row>
    <row r="1813" spans="1:8" x14ac:dyDescent="0.25">
      <c r="A1813" s="4">
        <v>45765</v>
      </c>
      <c r="C1813" t="str">
        <f>_xlfn.IFNA(VLOOKUP($B1813,ref!$B$2:$C$34,2,FALSE),"NA")</f>
        <v>NA</v>
      </c>
      <c r="F1813" s="1">
        <v>35</v>
      </c>
      <c r="G1813" s="1">
        <v>30</v>
      </c>
      <c r="H1813" s="10">
        <f t="shared" si="28"/>
        <v>0.1428571428571429</v>
      </c>
    </row>
    <row r="1814" spans="1:8" x14ac:dyDescent="0.25">
      <c r="A1814" s="4">
        <v>45765</v>
      </c>
      <c r="C1814" t="str">
        <f>_xlfn.IFNA(VLOOKUP($B1814,ref!$B$2:$C$34,2,FALSE),"NA")</f>
        <v>NA</v>
      </c>
      <c r="F1814" s="1">
        <v>35</v>
      </c>
      <c r="G1814" s="1">
        <v>30</v>
      </c>
      <c r="H1814" s="10">
        <f t="shared" si="28"/>
        <v>0.1428571428571429</v>
      </c>
    </row>
    <row r="1815" spans="1:8" x14ac:dyDescent="0.25">
      <c r="A1815" s="4">
        <v>45765</v>
      </c>
      <c r="C1815" t="str">
        <f>_xlfn.IFNA(VLOOKUP($B1815,ref!$B$2:$C$34,2,FALSE),"NA")</f>
        <v>NA</v>
      </c>
      <c r="F1815" s="1">
        <v>35</v>
      </c>
      <c r="G1815" s="1">
        <v>30</v>
      </c>
      <c r="H1815" s="10">
        <f t="shared" si="28"/>
        <v>0.1428571428571429</v>
      </c>
    </row>
    <row r="1816" spans="1:8" x14ac:dyDescent="0.25">
      <c r="A1816" s="4">
        <v>45765</v>
      </c>
      <c r="C1816" t="str">
        <f>_xlfn.IFNA(VLOOKUP($B1816,ref!$B$2:$C$34,2,FALSE),"NA")</f>
        <v>NA</v>
      </c>
      <c r="F1816" s="1">
        <v>35</v>
      </c>
      <c r="G1816" s="1">
        <v>30</v>
      </c>
      <c r="H1816" s="10">
        <f t="shared" si="28"/>
        <v>0.1428571428571429</v>
      </c>
    </row>
    <row r="1817" spans="1:8" x14ac:dyDescent="0.25">
      <c r="A1817" s="4">
        <v>45765</v>
      </c>
      <c r="C1817" t="str">
        <f>_xlfn.IFNA(VLOOKUP($B1817,ref!$B$2:$C$34,2,FALSE),"NA")</f>
        <v>NA</v>
      </c>
      <c r="F1817" s="1">
        <v>35</v>
      </c>
      <c r="G1817" s="1">
        <v>30</v>
      </c>
      <c r="H1817" s="10">
        <f t="shared" si="28"/>
        <v>0.1428571428571429</v>
      </c>
    </row>
    <row r="1818" spans="1:8" x14ac:dyDescent="0.25">
      <c r="A1818" s="4">
        <v>45742</v>
      </c>
      <c r="C1818" t="str">
        <f>_xlfn.IFNA(VLOOKUP($B1818,ref!$B$2:$C$34,2,FALSE),"NA")</f>
        <v>NA</v>
      </c>
      <c r="F1818" s="1">
        <v>2.4500000000000002</v>
      </c>
      <c r="G1818" s="1">
        <v>2.33</v>
      </c>
      <c r="H1818" s="10">
        <f t="shared" si="28"/>
        <v>4.8979591836734726E-2</v>
      </c>
    </row>
    <row r="1819" spans="1:8" x14ac:dyDescent="0.25"/>
  </sheetData>
  <autoFilter ref="A1:G1818" xr:uid="{00000000-0001-0000-0000-000000000000}">
    <sortState xmlns:xlrd2="http://schemas.microsoft.com/office/spreadsheetml/2017/richdata2" ref="A2:G1818">
      <sortCondition descending="1" ref="E1:E181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922C0-09DF-40BA-8ACE-E9ECBD9EEF23}">
  <dimension ref="A3:G114"/>
  <sheetViews>
    <sheetView topLeftCell="D7" workbookViewId="0">
      <selection activeCell="F36" sqref="F36"/>
    </sheetView>
  </sheetViews>
  <sheetFormatPr defaultRowHeight="15" x14ac:dyDescent="0.25"/>
  <cols>
    <col min="1" max="1" width="45.42578125" bestFit="1" customWidth="1"/>
    <col min="2" max="2" width="19.85546875" bestFit="1" customWidth="1"/>
    <col min="3" max="3" width="27.42578125" bestFit="1" customWidth="1"/>
    <col min="4" max="4" width="22.28515625" bestFit="1" customWidth="1"/>
  </cols>
  <sheetData>
    <row r="3" spans="1:4" x14ac:dyDescent="0.25">
      <c r="A3" s="11" t="s">
        <v>85</v>
      </c>
      <c r="B3" t="s">
        <v>89</v>
      </c>
      <c r="C3" t="s">
        <v>90</v>
      </c>
      <c r="D3" t="s">
        <v>91</v>
      </c>
    </row>
    <row r="4" spans="1:4" x14ac:dyDescent="0.25">
      <c r="A4" s="5" t="s">
        <v>74</v>
      </c>
      <c r="B4">
        <v>167</v>
      </c>
      <c r="C4">
        <v>167</v>
      </c>
      <c r="D4">
        <v>167</v>
      </c>
    </row>
    <row r="5" spans="1:4" x14ac:dyDescent="0.25">
      <c r="A5" s="12">
        <v>3090</v>
      </c>
      <c r="B5">
        <v>13</v>
      </c>
      <c r="C5">
        <v>0.23230769230769227</v>
      </c>
      <c r="D5">
        <v>20.307692307692307</v>
      </c>
    </row>
    <row r="6" spans="1:4" x14ac:dyDescent="0.25">
      <c r="A6" s="12">
        <v>4090</v>
      </c>
      <c r="B6">
        <v>2</v>
      </c>
      <c r="C6">
        <v>0.35499999999999998</v>
      </c>
      <c r="D6">
        <v>16</v>
      </c>
    </row>
    <row r="7" spans="1:4" x14ac:dyDescent="0.25">
      <c r="A7" s="12">
        <v>5090</v>
      </c>
      <c r="B7">
        <v>4</v>
      </c>
      <c r="C7">
        <v>0.51</v>
      </c>
      <c r="D7">
        <v>40</v>
      </c>
    </row>
    <row r="8" spans="1:4" x14ac:dyDescent="0.25">
      <c r="A8" s="12" t="s">
        <v>13</v>
      </c>
      <c r="B8">
        <v>18</v>
      </c>
      <c r="C8">
        <v>1.1766666666666667</v>
      </c>
      <c r="D8">
        <v>12</v>
      </c>
    </row>
    <row r="9" spans="1:4" x14ac:dyDescent="0.25">
      <c r="A9" s="12" t="s">
        <v>21</v>
      </c>
      <c r="B9">
        <v>1</v>
      </c>
      <c r="C9">
        <v>0.52</v>
      </c>
      <c r="D9">
        <v>8</v>
      </c>
    </row>
    <row r="10" spans="1:4" x14ac:dyDescent="0.25">
      <c r="A10" s="12" t="s">
        <v>46</v>
      </c>
      <c r="B10">
        <v>16</v>
      </c>
      <c r="C10">
        <v>3.0296875000000005</v>
      </c>
      <c r="D10">
        <v>50.625</v>
      </c>
    </row>
    <row r="11" spans="1:4" x14ac:dyDescent="0.25">
      <c r="A11" s="12" t="s">
        <v>23</v>
      </c>
      <c r="B11">
        <v>8</v>
      </c>
      <c r="C11">
        <v>144.22275000000002</v>
      </c>
      <c r="D11">
        <v>4.125</v>
      </c>
    </row>
    <row r="12" spans="1:4" x14ac:dyDescent="0.25">
      <c r="A12" s="12" t="s">
        <v>25</v>
      </c>
      <c r="B12">
        <v>1</v>
      </c>
      <c r="C12">
        <v>1.8</v>
      </c>
      <c r="D12">
        <v>2</v>
      </c>
    </row>
    <row r="13" spans="1:4" x14ac:dyDescent="0.25">
      <c r="A13" s="12" t="s">
        <v>10</v>
      </c>
      <c r="B13">
        <v>33</v>
      </c>
      <c r="C13">
        <v>1.7715151515151515</v>
      </c>
      <c r="D13">
        <v>45</v>
      </c>
    </row>
    <row r="14" spans="1:4" x14ac:dyDescent="0.25">
      <c r="A14" s="12" t="s">
        <v>7</v>
      </c>
      <c r="B14">
        <v>54</v>
      </c>
      <c r="C14">
        <v>1.9509259259259253</v>
      </c>
      <c r="D14">
        <v>55.24074074074074</v>
      </c>
    </row>
    <row r="15" spans="1:4" x14ac:dyDescent="0.25">
      <c r="A15" s="12" t="s">
        <v>18</v>
      </c>
      <c r="B15">
        <v>9</v>
      </c>
      <c r="C15">
        <v>0.76333333333333331</v>
      </c>
      <c r="D15">
        <v>86.222222222222229</v>
      </c>
    </row>
    <row r="16" spans="1:4" x14ac:dyDescent="0.25">
      <c r="A16" s="12" t="s">
        <v>64</v>
      </c>
      <c r="B16">
        <v>1</v>
      </c>
      <c r="C16">
        <v>1.2</v>
      </c>
      <c r="D16">
        <v>24</v>
      </c>
    </row>
    <row r="17" spans="1:4" x14ac:dyDescent="0.25">
      <c r="A17" s="12" t="s">
        <v>16</v>
      </c>
      <c r="B17">
        <v>1</v>
      </c>
      <c r="C17">
        <v>40</v>
      </c>
      <c r="D17">
        <v>25</v>
      </c>
    </row>
    <row r="18" spans="1:4" x14ac:dyDescent="0.25">
      <c r="A18" s="12" t="s">
        <v>86</v>
      </c>
      <c r="B18">
        <v>6</v>
      </c>
      <c r="C18">
        <v>1.4816666666666667</v>
      </c>
      <c r="D18">
        <v>34.666666666666664</v>
      </c>
    </row>
    <row r="19" spans="1:4" x14ac:dyDescent="0.25">
      <c r="A19" s="5" t="s">
        <v>72</v>
      </c>
      <c r="B19">
        <v>102</v>
      </c>
      <c r="C19">
        <v>98</v>
      </c>
      <c r="D19">
        <v>102</v>
      </c>
    </row>
    <row r="20" spans="1:4" x14ac:dyDescent="0.25">
      <c r="A20" s="12">
        <v>4090</v>
      </c>
      <c r="B20">
        <v>23</v>
      </c>
      <c r="C20">
        <v>0.27826086956521723</v>
      </c>
      <c r="D20">
        <v>83.304347826086953</v>
      </c>
    </row>
    <row r="21" spans="1:4" x14ac:dyDescent="0.25">
      <c r="A21" s="12">
        <v>5090</v>
      </c>
      <c r="B21">
        <v>2</v>
      </c>
      <c r="C21">
        <v>0.45</v>
      </c>
      <c r="D21">
        <v>8</v>
      </c>
    </row>
    <row r="22" spans="1:4" x14ac:dyDescent="0.25">
      <c r="A22" s="12" t="s">
        <v>13</v>
      </c>
      <c r="B22">
        <v>8</v>
      </c>
      <c r="C22">
        <v>1.1625000000000001</v>
      </c>
      <c r="D22">
        <v>38</v>
      </c>
    </row>
    <row r="23" spans="1:4" x14ac:dyDescent="0.25">
      <c r="A23" s="12" t="s">
        <v>22</v>
      </c>
      <c r="B23">
        <v>4</v>
      </c>
      <c r="D23">
        <v>8</v>
      </c>
    </row>
    <row r="24" spans="1:4" x14ac:dyDescent="0.25">
      <c r="A24" s="12" t="s">
        <v>36</v>
      </c>
      <c r="B24">
        <v>9</v>
      </c>
      <c r="C24">
        <v>0.95000000000000007</v>
      </c>
      <c r="D24">
        <v>8</v>
      </c>
    </row>
    <row r="25" spans="1:4" x14ac:dyDescent="0.25">
      <c r="A25" s="12" t="s">
        <v>38</v>
      </c>
      <c r="B25">
        <v>1</v>
      </c>
      <c r="C25">
        <v>0.38</v>
      </c>
      <c r="D25">
        <v>8</v>
      </c>
    </row>
    <row r="26" spans="1:4" x14ac:dyDescent="0.25">
      <c r="A26" s="12" t="s">
        <v>46</v>
      </c>
      <c r="B26">
        <v>7</v>
      </c>
      <c r="C26">
        <v>3.3499999999999992</v>
      </c>
      <c r="D26">
        <v>30.857142857142858</v>
      </c>
    </row>
    <row r="27" spans="1:4" x14ac:dyDescent="0.25">
      <c r="A27" s="12" t="s">
        <v>10</v>
      </c>
      <c r="B27">
        <v>35</v>
      </c>
      <c r="C27">
        <v>1.9788571428571426</v>
      </c>
      <c r="D27">
        <v>139.42857142857142</v>
      </c>
    </row>
    <row r="28" spans="1:4" x14ac:dyDescent="0.25">
      <c r="A28" s="12" t="s">
        <v>7</v>
      </c>
      <c r="B28">
        <v>10</v>
      </c>
      <c r="C28">
        <v>2.085</v>
      </c>
      <c r="D28">
        <v>9.6</v>
      </c>
    </row>
    <row r="29" spans="1:4" x14ac:dyDescent="0.25">
      <c r="A29" s="12" t="s">
        <v>18</v>
      </c>
      <c r="B29">
        <v>3</v>
      </c>
      <c r="C29">
        <v>0.87</v>
      </c>
      <c r="D29">
        <v>80</v>
      </c>
    </row>
    <row r="30" spans="1:4" x14ac:dyDescent="0.25">
      <c r="A30" s="5" t="s">
        <v>77</v>
      </c>
      <c r="B30">
        <v>3</v>
      </c>
      <c r="C30">
        <v>3</v>
      </c>
      <c r="D30">
        <v>3</v>
      </c>
    </row>
    <row r="31" spans="1:4" x14ac:dyDescent="0.25">
      <c r="A31" s="12" t="s">
        <v>7</v>
      </c>
      <c r="B31">
        <v>3</v>
      </c>
      <c r="C31">
        <v>1.7</v>
      </c>
      <c r="D31">
        <v>8</v>
      </c>
    </row>
    <row r="32" spans="1:4" x14ac:dyDescent="0.25">
      <c r="A32" s="5" t="s">
        <v>75</v>
      </c>
      <c r="B32">
        <v>7</v>
      </c>
      <c r="C32">
        <v>7</v>
      </c>
      <c r="D32">
        <v>7</v>
      </c>
    </row>
    <row r="33" spans="1:4" x14ac:dyDescent="0.25">
      <c r="A33" s="12" t="s">
        <v>7</v>
      </c>
      <c r="B33">
        <v>7</v>
      </c>
      <c r="C33">
        <v>2.5500000000000003</v>
      </c>
      <c r="D33">
        <v>32</v>
      </c>
    </row>
    <row r="34" spans="1:4" x14ac:dyDescent="0.25">
      <c r="A34" s="5" t="s">
        <v>76</v>
      </c>
      <c r="B34">
        <v>10</v>
      </c>
      <c r="C34">
        <v>10</v>
      </c>
      <c r="D34">
        <v>10</v>
      </c>
    </row>
    <row r="35" spans="1:4" x14ac:dyDescent="0.25">
      <c r="A35" s="12" t="s">
        <v>46</v>
      </c>
      <c r="B35">
        <v>1</v>
      </c>
      <c r="C35">
        <v>2.6</v>
      </c>
      <c r="D35">
        <v>256</v>
      </c>
    </row>
    <row r="36" spans="1:4" x14ac:dyDescent="0.25">
      <c r="A36" s="12" t="s">
        <v>10</v>
      </c>
      <c r="B36">
        <v>9</v>
      </c>
      <c r="C36">
        <v>2.435888888888889</v>
      </c>
      <c r="D36">
        <v>1008</v>
      </c>
    </row>
    <row r="37" spans="1:4" x14ac:dyDescent="0.25">
      <c r="A37" s="5" t="s">
        <v>78</v>
      </c>
      <c r="B37">
        <v>83</v>
      </c>
      <c r="C37">
        <v>82</v>
      </c>
      <c r="D37">
        <v>83</v>
      </c>
    </row>
    <row r="38" spans="1:4" x14ac:dyDescent="0.25">
      <c r="A38" s="12">
        <v>4090</v>
      </c>
      <c r="B38">
        <v>4</v>
      </c>
      <c r="C38">
        <v>0.50800000000000001</v>
      </c>
      <c r="D38">
        <v>200</v>
      </c>
    </row>
    <row r="39" spans="1:4" x14ac:dyDescent="0.25">
      <c r="A39" s="12">
        <v>5090</v>
      </c>
      <c r="B39">
        <v>3</v>
      </c>
      <c r="C39">
        <v>0.44</v>
      </c>
      <c r="D39">
        <v>112</v>
      </c>
    </row>
    <row r="40" spans="1:4" x14ac:dyDescent="0.25">
      <c r="A40" s="12" t="s">
        <v>13</v>
      </c>
      <c r="B40">
        <v>5</v>
      </c>
      <c r="C40">
        <v>0.93</v>
      </c>
      <c r="D40">
        <v>8</v>
      </c>
    </row>
    <row r="41" spans="1:4" x14ac:dyDescent="0.25">
      <c r="A41" s="12" t="s">
        <v>8</v>
      </c>
      <c r="B41">
        <v>1</v>
      </c>
      <c r="C41">
        <v>1.19</v>
      </c>
      <c r="D41">
        <v>8</v>
      </c>
    </row>
    <row r="42" spans="1:4" x14ac:dyDescent="0.25">
      <c r="A42" s="12" t="s">
        <v>46</v>
      </c>
      <c r="B42">
        <v>9</v>
      </c>
      <c r="C42">
        <v>3.316666666666666</v>
      </c>
      <c r="D42">
        <v>50.666666666666664</v>
      </c>
    </row>
    <row r="43" spans="1:4" x14ac:dyDescent="0.25">
      <c r="A43" s="12" t="s">
        <v>23</v>
      </c>
      <c r="B43">
        <v>4</v>
      </c>
      <c r="C43">
        <v>562.65750000000003</v>
      </c>
      <c r="D43">
        <v>3</v>
      </c>
    </row>
    <row r="44" spans="1:4" x14ac:dyDescent="0.25">
      <c r="A44" s="12" t="s">
        <v>7</v>
      </c>
      <c r="B44">
        <v>46</v>
      </c>
      <c r="C44">
        <v>1.9871739130434785</v>
      </c>
      <c r="D44">
        <v>89.565217391304344</v>
      </c>
    </row>
    <row r="45" spans="1:4" x14ac:dyDescent="0.25">
      <c r="A45" s="12" t="s">
        <v>18</v>
      </c>
      <c r="B45">
        <v>6</v>
      </c>
      <c r="C45">
        <v>0.71999999999999986</v>
      </c>
      <c r="D45">
        <v>8</v>
      </c>
    </row>
    <row r="46" spans="1:4" x14ac:dyDescent="0.25">
      <c r="A46" s="12" t="s">
        <v>86</v>
      </c>
      <c r="B46">
        <v>5</v>
      </c>
      <c r="C46">
        <v>2.2050000000000001</v>
      </c>
      <c r="D46">
        <v>89.6</v>
      </c>
    </row>
    <row r="47" spans="1:4" x14ac:dyDescent="0.25">
      <c r="A47" s="5" t="s">
        <v>79</v>
      </c>
      <c r="B47">
        <v>3</v>
      </c>
      <c r="C47">
        <v>3</v>
      </c>
      <c r="D47">
        <v>3</v>
      </c>
    </row>
    <row r="48" spans="1:4" x14ac:dyDescent="0.25">
      <c r="A48" s="12">
        <v>5090</v>
      </c>
      <c r="B48">
        <v>1</v>
      </c>
      <c r="C48">
        <v>0.43</v>
      </c>
      <c r="D48">
        <v>24</v>
      </c>
    </row>
    <row r="49" spans="1:6" x14ac:dyDescent="0.25">
      <c r="A49" s="12" t="s">
        <v>86</v>
      </c>
      <c r="B49">
        <v>2</v>
      </c>
      <c r="C49">
        <v>0.43</v>
      </c>
      <c r="D49">
        <v>112</v>
      </c>
    </row>
    <row r="50" spans="1:6" x14ac:dyDescent="0.25">
      <c r="A50" s="5" t="s">
        <v>80</v>
      </c>
      <c r="B50">
        <v>45</v>
      </c>
      <c r="C50">
        <v>45</v>
      </c>
      <c r="D50">
        <v>44</v>
      </c>
    </row>
    <row r="51" spans="1:6" x14ac:dyDescent="0.25">
      <c r="A51" s="12">
        <v>5090</v>
      </c>
      <c r="B51">
        <v>1</v>
      </c>
      <c r="C51">
        <v>0.4</v>
      </c>
      <c r="D51">
        <v>80</v>
      </c>
    </row>
    <row r="52" spans="1:6" x14ac:dyDescent="0.25">
      <c r="A52" s="12" t="s">
        <v>13</v>
      </c>
      <c r="B52">
        <v>6</v>
      </c>
      <c r="C52">
        <v>1.1399999999999999</v>
      </c>
      <c r="D52">
        <v>8</v>
      </c>
    </row>
    <row r="53" spans="1:6" x14ac:dyDescent="0.25">
      <c r="A53" s="12" t="s">
        <v>38</v>
      </c>
      <c r="B53">
        <v>6</v>
      </c>
      <c r="C53">
        <v>0.39999999999999997</v>
      </c>
      <c r="D53">
        <v>8</v>
      </c>
    </row>
    <row r="54" spans="1:6" x14ac:dyDescent="0.25">
      <c r="A54" s="12" t="s">
        <v>10</v>
      </c>
      <c r="B54">
        <v>12</v>
      </c>
      <c r="C54">
        <v>2.16</v>
      </c>
      <c r="D54">
        <v>460.33333333333331</v>
      </c>
    </row>
    <row r="55" spans="1:6" x14ac:dyDescent="0.25">
      <c r="A55" s="12" t="s">
        <v>7</v>
      </c>
      <c r="B55">
        <v>13</v>
      </c>
      <c r="C55">
        <v>2.388461538461538</v>
      </c>
      <c r="D55">
        <v>8.615384615384615</v>
      </c>
    </row>
    <row r="56" spans="1:6" x14ac:dyDescent="0.25">
      <c r="A56" s="12" t="s">
        <v>16</v>
      </c>
      <c r="B56">
        <v>1</v>
      </c>
      <c r="C56">
        <v>30</v>
      </c>
      <c r="D56">
        <v>42</v>
      </c>
    </row>
    <row r="57" spans="1:6" x14ac:dyDescent="0.25">
      <c r="A57" s="12" t="s">
        <v>15</v>
      </c>
      <c r="B57">
        <v>4</v>
      </c>
      <c r="C57">
        <v>0.28999999999999998</v>
      </c>
      <c r="D57">
        <v>8</v>
      </c>
    </row>
    <row r="58" spans="1:6" x14ac:dyDescent="0.25">
      <c r="A58" s="12" t="s">
        <v>86</v>
      </c>
      <c r="B58">
        <v>2</v>
      </c>
      <c r="C58">
        <v>30</v>
      </c>
      <c r="D58">
        <v>42</v>
      </c>
    </row>
    <row r="59" spans="1:6" x14ac:dyDescent="0.25">
      <c r="A59" s="5" t="s">
        <v>81</v>
      </c>
      <c r="B59">
        <v>6</v>
      </c>
      <c r="C59">
        <v>6</v>
      </c>
      <c r="D59">
        <v>6</v>
      </c>
    </row>
    <row r="60" spans="1:6" x14ac:dyDescent="0.25">
      <c r="A60" s="12" t="s">
        <v>10</v>
      </c>
      <c r="B60">
        <v>6</v>
      </c>
      <c r="C60">
        <v>2.5099999999999998</v>
      </c>
      <c r="D60">
        <v>16</v>
      </c>
    </row>
    <row r="61" spans="1:6" x14ac:dyDescent="0.25">
      <c r="A61" s="5" t="s">
        <v>82</v>
      </c>
      <c r="B61">
        <v>8</v>
      </c>
      <c r="C61">
        <v>8</v>
      </c>
      <c r="D61">
        <v>8</v>
      </c>
      <c r="F61" s="13">
        <f>10/1817</f>
        <v>5.5035773252614202E-3</v>
      </c>
    </row>
    <row r="62" spans="1:6" x14ac:dyDescent="0.25">
      <c r="A62" s="12" t="s">
        <v>10</v>
      </c>
      <c r="B62">
        <v>8</v>
      </c>
      <c r="C62">
        <v>1.8524999999999998</v>
      </c>
      <c r="D62">
        <v>58</v>
      </c>
    </row>
    <row r="63" spans="1:6" x14ac:dyDescent="0.25">
      <c r="A63" s="5" t="s">
        <v>83</v>
      </c>
      <c r="B63">
        <v>158</v>
      </c>
      <c r="C63">
        <v>158</v>
      </c>
      <c r="D63">
        <v>158</v>
      </c>
    </row>
    <row r="64" spans="1:6" x14ac:dyDescent="0.25">
      <c r="A64" s="12">
        <v>4090</v>
      </c>
      <c r="B64">
        <v>4</v>
      </c>
      <c r="C64">
        <v>0.54300000000000004</v>
      </c>
      <c r="D64">
        <v>8</v>
      </c>
    </row>
    <row r="65" spans="1:4" x14ac:dyDescent="0.25">
      <c r="A65" s="12">
        <v>5090</v>
      </c>
      <c r="B65">
        <v>1</v>
      </c>
      <c r="C65">
        <v>0.45</v>
      </c>
      <c r="D65">
        <v>8</v>
      </c>
    </row>
    <row r="66" spans="1:4" x14ac:dyDescent="0.25">
      <c r="A66" s="12" t="s">
        <v>46</v>
      </c>
      <c r="B66">
        <v>28</v>
      </c>
      <c r="C66">
        <v>2.7357142857142849</v>
      </c>
      <c r="D66">
        <v>20.571428571428573</v>
      </c>
    </row>
    <row r="67" spans="1:4" x14ac:dyDescent="0.25">
      <c r="A67" s="12" t="s">
        <v>7</v>
      </c>
      <c r="B67">
        <v>123</v>
      </c>
      <c r="C67">
        <v>1.8405691056910565</v>
      </c>
      <c r="D67">
        <v>53.918699186991873</v>
      </c>
    </row>
    <row r="68" spans="1:4" x14ac:dyDescent="0.25">
      <c r="A68" s="12" t="s">
        <v>50</v>
      </c>
      <c r="B68">
        <v>1</v>
      </c>
      <c r="C68">
        <v>2.4500000000000002</v>
      </c>
      <c r="D68">
        <v>8</v>
      </c>
    </row>
    <row r="69" spans="1:4" x14ac:dyDescent="0.25">
      <c r="A69" s="12" t="s">
        <v>86</v>
      </c>
      <c r="B69">
        <v>1</v>
      </c>
      <c r="C69">
        <v>1.1000000000000001</v>
      </c>
      <c r="D69">
        <v>128</v>
      </c>
    </row>
    <row r="70" spans="1:4" x14ac:dyDescent="0.25">
      <c r="A70" s="5" t="s">
        <v>88</v>
      </c>
      <c r="B70">
        <v>176</v>
      </c>
      <c r="C70">
        <v>172</v>
      </c>
      <c r="D70">
        <v>169</v>
      </c>
    </row>
    <row r="71" spans="1:4" x14ac:dyDescent="0.25">
      <c r="A71" s="12">
        <v>3090</v>
      </c>
      <c r="B71">
        <v>14</v>
      </c>
      <c r="C71">
        <v>0.26628571428571429</v>
      </c>
      <c r="D71">
        <v>9.3571428571428577</v>
      </c>
    </row>
    <row r="72" spans="1:4" x14ac:dyDescent="0.25">
      <c r="A72" s="12">
        <v>4090</v>
      </c>
      <c r="B72">
        <v>28</v>
      </c>
      <c r="C72">
        <v>0.42875000000000008</v>
      </c>
      <c r="D72">
        <v>23.714285714285715</v>
      </c>
    </row>
    <row r="73" spans="1:4" x14ac:dyDescent="0.25">
      <c r="A73" s="12" t="s">
        <v>13</v>
      </c>
      <c r="B73">
        <v>13</v>
      </c>
      <c r="C73">
        <v>1.0407692307692307</v>
      </c>
      <c r="D73">
        <v>14.153846153846153</v>
      </c>
    </row>
    <row r="74" spans="1:4" x14ac:dyDescent="0.25">
      <c r="A74" s="12" t="s">
        <v>21</v>
      </c>
      <c r="B74">
        <v>12</v>
      </c>
      <c r="C74">
        <v>0.65699999999999992</v>
      </c>
      <c r="D74">
        <v>8</v>
      </c>
    </row>
    <row r="75" spans="1:4" x14ac:dyDescent="0.25">
      <c r="A75" s="12" t="s">
        <v>46</v>
      </c>
      <c r="B75">
        <v>7</v>
      </c>
      <c r="C75">
        <v>2.8571428571428572</v>
      </c>
      <c r="D75">
        <v>14.666666666666666</v>
      </c>
    </row>
    <row r="76" spans="1:4" x14ac:dyDescent="0.25">
      <c r="A76" s="12" t="s">
        <v>23</v>
      </c>
      <c r="B76">
        <v>5</v>
      </c>
      <c r="C76">
        <v>900.82199999999989</v>
      </c>
      <c r="D76">
        <v>1</v>
      </c>
    </row>
    <row r="77" spans="1:4" x14ac:dyDescent="0.25">
      <c r="A77" s="12" t="s">
        <v>25</v>
      </c>
      <c r="B77">
        <v>3</v>
      </c>
      <c r="C77">
        <v>1.7949999999999999</v>
      </c>
      <c r="D77">
        <v>1</v>
      </c>
    </row>
    <row r="78" spans="1:4" x14ac:dyDescent="0.25">
      <c r="A78" s="12" t="s">
        <v>10</v>
      </c>
      <c r="B78">
        <v>23</v>
      </c>
      <c r="C78">
        <v>2.0902727272727271</v>
      </c>
      <c r="D78">
        <v>187.30434782608697</v>
      </c>
    </row>
    <row r="79" spans="1:4" x14ac:dyDescent="0.25">
      <c r="A79" s="12" t="s">
        <v>7</v>
      </c>
      <c r="B79">
        <v>19</v>
      </c>
      <c r="C79">
        <v>2.3494117647058825</v>
      </c>
      <c r="D79">
        <v>40.736842105263158</v>
      </c>
    </row>
    <row r="80" spans="1:4" x14ac:dyDescent="0.25">
      <c r="A80" s="12" t="s">
        <v>18</v>
      </c>
      <c r="B80">
        <v>1</v>
      </c>
      <c r="C80">
        <v>0.87</v>
      </c>
      <c r="D80">
        <v>80</v>
      </c>
    </row>
    <row r="81" spans="1:7" x14ac:dyDescent="0.25">
      <c r="A81" s="12" t="s">
        <v>34</v>
      </c>
      <c r="B81">
        <v>2</v>
      </c>
      <c r="C81">
        <v>0.28049999999999997</v>
      </c>
      <c r="D81">
        <v>1</v>
      </c>
    </row>
    <row r="82" spans="1:7" x14ac:dyDescent="0.25">
      <c r="A82" s="12" t="s">
        <v>40</v>
      </c>
      <c r="B82">
        <v>4</v>
      </c>
      <c r="C82">
        <v>0.31224999999999997</v>
      </c>
      <c r="D82">
        <v>8</v>
      </c>
    </row>
    <row r="83" spans="1:7" x14ac:dyDescent="0.25">
      <c r="A83" s="12" t="s">
        <v>47</v>
      </c>
      <c r="B83">
        <v>1</v>
      </c>
      <c r="C83">
        <v>1.25</v>
      </c>
      <c r="D83">
        <v>8</v>
      </c>
    </row>
    <row r="84" spans="1:7" x14ac:dyDescent="0.25">
      <c r="A84" s="12" t="s">
        <v>16</v>
      </c>
      <c r="B84">
        <v>16</v>
      </c>
      <c r="C84">
        <v>22.535</v>
      </c>
      <c r="D84">
        <v>29.125</v>
      </c>
    </row>
    <row r="85" spans="1:7" x14ac:dyDescent="0.25">
      <c r="A85" s="12" t="s">
        <v>15</v>
      </c>
      <c r="B85">
        <v>9</v>
      </c>
      <c r="C85">
        <v>0.3</v>
      </c>
      <c r="D85">
        <v>8</v>
      </c>
    </row>
    <row r="86" spans="1:7" x14ac:dyDescent="0.25">
      <c r="A86" s="12" t="s">
        <v>86</v>
      </c>
      <c r="B86">
        <v>19</v>
      </c>
      <c r="C86">
        <v>12.998947368421053</v>
      </c>
      <c r="D86">
        <v>11.615384615384615</v>
      </c>
    </row>
    <row r="87" spans="1:7" x14ac:dyDescent="0.25">
      <c r="A87" s="5" t="s">
        <v>71</v>
      </c>
      <c r="B87">
        <v>1049</v>
      </c>
      <c r="C87">
        <v>1049</v>
      </c>
      <c r="D87">
        <v>1047</v>
      </c>
    </row>
    <row r="88" spans="1:7" x14ac:dyDescent="0.25">
      <c r="A88" s="12">
        <v>3090</v>
      </c>
      <c r="B88">
        <v>55</v>
      </c>
      <c r="C88">
        <v>0.27427272727272722</v>
      </c>
      <c r="D88">
        <v>9.1090909090909093</v>
      </c>
    </row>
    <row r="89" spans="1:7" x14ac:dyDescent="0.25">
      <c r="A89" s="12">
        <v>4090</v>
      </c>
      <c r="B89">
        <v>122</v>
      </c>
      <c r="C89">
        <v>0.49504918032786904</v>
      </c>
      <c r="D89">
        <v>27.081967213114755</v>
      </c>
      <c r="G89">
        <f>1049/1817</f>
        <v>0.57732526141992291</v>
      </c>
    </row>
    <row r="90" spans="1:7" x14ac:dyDescent="0.25">
      <c r="A90" s="12">
        <v>5090</v>
      </c>
      <c r="B90">
        <v>11</v>
      </c>
      <c r="C90">
        <v>0.69272727272727264</v>
      </c>
      <c r="D90">
        <v>12.363636363636363</v>
      </c>
    </row>
    <row r="91" spans="1:7" x14ac:dyDescent="0.25">
      <c r="A91" s="12" t="s">
        <v>13</v>
      </c>
      <c r="B91">
        <v>7</v>
      </c>
      <c r="C91">
        <v>1.2542857142857142</v>
      </c>
      <c r="D91">
        <v>15.142857142857142</v>
      </c>
    </row>
    <row r="92" spans="1:7" x14ac:dyDescent="0.25">
      <c r="A92" s="12" t="s">
        <v>32</v>
      </c>
      <c r="B92">
        <v>9</v>
      </c>
      <c r="C92">
        <v>0.70000000000000007</v>
      </c>
      <c r="D92">
        <v>4</v>
      </c>
    </row>
    <row r="93" spans="1:7" x14ac:dyDescent="0.25">
      <c r="A93" s="12" t="s">
        <v>38</v>
      </c>
      <c r="B93">
        <v>1</v>
      </c>
      <c r="C93">
        <v>0.59</v>
      </c>
      <c r="D93">
        <v>8</v>
      </c>
    </row>
    <row r="94" spans="1:7" x14ac:dyDescent="0.25">
      <c r="A94" s="12" t="s">
        <v>20</v>
      </c>
      <c r="B94">
        <v>2</v>
      </c>
      <c r="C94">
        <v>0.97599999999999998</v>
      </c>
      <c r="D94">
        <v>8</v>
      </c>
    </row>
    <row r="95" spans="1:7" x14ac:dyDescent="0.25">
      <c r="A95" s="12" t="s">
        <v>21</v>
      </c>
      <c r="B95">
        <v>8</v>
      </c>
      <c r="C95">
        <v>0.57625000000000004</v>
      </c>
      <c r="D95">
        <v>10</v>
      </c>
    </row>
    <row r="96" spans="1:7" x14ac:dyDescent="0.25">
      <c r="A96" s="12" t="s">
        <v>46</v>
      </c>
      <c r="B96">
        <v>41</v>
      </c>
      <c r="C96">
        <v>2.8756097560975595</v>
      </c>
      <c r="D96">
        <v>22.829268292682926</v>
      </c>
    </row>
    <row r="97" spans="1:4" x14ac:dyDescent="0.25">
      <c r="A97" s="12" t="s">
        <v>23</v>
      </c>
      <c r="B97">
        <v>5</v>
      </c>
      <c r="C97">
        <v>343.74400000000003</v>
      </c>
      <c r="D97">
        <v>1</v>
      </c>
    </row>
    <row r="98" spans="1:4" x14ac:dyDescent="0.25">
      <c r="A98" s="12" t="s">
        <v>25</v>
      </c>
      <c r="B98">
        <v>1</v>
      </c>
      <c r="C98">
        <v>1.8</v>
      </c>
      <c r="D98">
        <v>2</v>
      </c>
    </row>
    <row r="99" spans="1:4" x14ac:dyDescent="0.25">
      <c r="A99" s="12" t="s">
        <v>10</v>
      </c>
      <c r="B99">
        <v>24</v>
      </c>
      <c r="C99">
        <v>2.1373333333333338</v>
      </c>
      <c r="D99">
        <v>42.791666666666664</v>
      </c>
    </row>
    <row r="100" spans="1:4" x14ac:dyDescent="0.25">
      <c r="A100" s="12" t="s">
        <v>7</v>
      </c>
      <c r="B100">
        <v>323</v>
      </c>
      <c r="C100">
        <v>2.5399040247678082</v>
      </c>
      <c r="D100">
        <v>24.44891640866873</v>
      </c>
    </row>
    <row r="101" spans="1:4" x14ac:dyDescent="0.25">
      <c r="A101" s="12" t="s">
        <v>18</v>
      </c>
      <c r="B101">
        <v>10</v>
      </c>
      <c r="C101">
        <v>0.70080000000000009</v>
      </c>
      <c r="D101">
        <v>21.6</v>
      </c>
    </row>
    <row r="102" spans="1:4" x14ac:dyDescent="0.25">
      <c r="A102" s="12" t="s">
        <v>48</v>
      </c>
      <c r="B102">
        <v>1</v>
      </c>
      <c r="C102">
        <v>1.181</v>
      </c>
      <c r="D102">
        <v>8</v>
      </c>
    </row>
    <row r="103" spans="1:4" x14ac:dyDescent="0.25">
      <c r="A103" s="12" t="s">
        <v>50</v>
      </c>
      <c r="B103">
        <v>19</v>
      </c>
      <c r="C103">
        <v>3.6671578947368424</v>
      </c>
      <c r="D103">
        <v>8</v>
      </c>
    </row>
    <row r="104" spans="1:4" x14ac:dyDescent="0.25">
      <c r="A104" s="12" t="s">
        <v>65</v>
      </c>
      <c r="B104">
        <v>3</v>
      </c>
      <c r="C104">
        <v>4.7753333333333332</v>
      </c>
      <c r="D104">
        <v>8</v>
      </c>
    </row>
    <row r="105" spans="1:4" x14ac:dyDescent="0.25">
      <c r="A105" s="12" t="s">
        <v>34</v>
      </c>
      <c r="B105">
        <v>155</v>
      </c>
      <c r="C105">
        <v>0.27021290322580682</v>
      </c>
      <c r="D105">
        <v>2.2193548387096773</v>
      </c>
    </row>
    <row r="106" spans="1:4" x14ac:dyDescent="0.25">
      <c r="A106" s="12" t="s">
        <v>40</v>
      </c>
      <c r="B106">
        <v>165</v>
      </c>
      <c r="C106">
        <v>0.37853939393939418</v>
      </c>
      <c r="D106">
        <v>7.9454545454545453</v>
      </c>
    </row>
    <row r="107" spans="1:4" x14ac:dyDescent="0.25">
      <c r="A107" s="12" t="s">
        <v>52</v>
      </c>
      <c r="B107">
        <v>22</v>
      </c>
      <c r="C107">
        <v>0.47413636363636358</v>
      </c>
      <c r="D107">
        <v>8</v>
      </c>
    </row>
    <row r="108" spans="1:4" x14ac:dyDescent="0.25">
      <c r="A108" s="12" t="s">
        <v>47</v>
      </c>
      <c r="B108">
        <v>39</v>
      </c>
      <c r="C108">
        <v>1.2160769230769226</v>
      </c>
      <c r="D108">
        <v>7.8717948717948714</v>
      </c>
    </row>
    <row r="109" spans="1:4" x14ac:dyDescent="0.25">
      <c r="A109" s="12" t="s">
        <v>37</v>
      </c>
      <c r="B109">
        <v>7</v>
      </c>
      <c r="C109">
        <v>2.0304285714285717</v>
      </c>
      <c r="D109">
        <v>8</v>
      </c>
    </row>
    <row r="110" spans="1:4" x14ac:dyDescent="0.25">
      <c r="A110" s="12" t="s">
        <v>41</v>
      </c>
      <c r="B110">
        <v>8</v>
      </c>
      <c r="C110">
        <v>0.43699999999999994</v>
      </c>
      <c r="D110">
        <v>8</v>
      </c>
    </row>
    <row r="111" spans="1:4" x14ac:dyDescent="0.25">
      <c r="A111" s="12" t="s">
        <v>66</v>
      </c>
      <c r="B111">
        <v>2</v>
      </c>
      <c r="C111">
        <v>1.05</v>
      </c>
      <c r="D111">
        <v>8</v>
      </c>
    </row>
    <row r="112" spans="1:4" x14ac:dyDescent="0.25">
      <c r="A112" s="12" t="s">
        <v>58</v>
      </c>
      <c r="B112">
        <v>4</v>
      </c>
      <c r="C112">
        <v>1.06</v>
      </c>
      <c r="D112">
        <v>8</v>
      </c>
    </row>
    <row r="113" spans="1:4" x14ac:dyDescent="0.25">
      <c r="A113" s="12" t="s">
        <v>86</v>
      </c>
      <c r="B113">
        <v>5</v>
      </c>
      <c r="C113">
        <v>0.68240000000000001</v>
      </c>
      <c r="D113">
        <v>9.6666666666666661</v>
      </c>
    </row>
    <row r="114" spans="1:4" x14ac:dyDescent="0.25">
      <c r="A114" s="5" t="s">
        <v>87</v>
      </c>
      <c r="B114">
        <v>1817</v>
      </c>
      <c r="C114">
        <v>7.1327582964602936</v>
      </c>
      <c r="D114">
        <v>37.976203652462644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82553-F117-4CCF-97CA-C110437E1EDD}">
  <dimension ref="B2:C34"/>
  <sheetViews>
    <sheetView showGridLines="0" workbookViewId="0">
      <selection activeCell="B25" sqref="B25"/>
    </sheetView>
  </sheetViews>
  <sheetFormatPr defaultRowHeight="15" x14ac:dyDescent="0.25"/>
  <cols>
    <col min="1" max="1" width="2.7109375" customWidth="1"/>
    <col min="2" max="2" width="15.7109375" customWidth="1"/>
    <col min="3" max="3" width="12.7109375" customWidth="1"/>
  </cols>
  <sheetData>
    <row r="2" spans="2:3" x14ac:dyDescent="0.25">
      <c r="B2" s="7" t="s">
        <v>70</v>
      </c>
      <c r="C2" s="7" t="s">
        <v>73</v>
      </c>
    </row>
    <row r="3" spans="2:3" x14ac:dyDescent="0.25">
      <c r="B3" s="5">
        <v>43739719591</v>
      </c>
      <c r="C3" t="s">
        <v>83</v>
      </c>
    </row>
    <row r="4" spans="2:3" x14ac:dyDescent="0.25">
      <c r="B4" t="s">
        <v>67</v>
      </c>
      <c r="C4" t="s">
        <v>71</v>
      </c>
    </row>
    <row r="5" spans="2:3" x14ac:dyDescent="0.25">
      <c r="B5" t="s">
        <v>63</v>
      </c>
      <c r="C5" t="s">
        <v>71</v>
      </c>
    </row>
    <row r="6" spans="2:3" x14ac:dyDescent="0.25">
      <c r="B6" t="s">
        <v>33</v>
      </c>
      <c r="C6" t="s">
        <v>72</v>
      </c>
    </row>
    <row r="7" spans="2:3" x14ac:dyDescent="0.25">
      <c r="B7" t="s">
        <v>9</v>
      </c>
      <c r="C7" t="s">
        <v>72</v>
      </c>
    </row>
    <row r="8" spans="2:3" x14ac:dyDescent="0.25">
      <c r="B8" t="s">
        <v>62</v>
      </c>
      <c r="C8" t="s">
        <v>71</v>
      </c>
    </row>
    <row r="9" spans="2:3" x14ac:dyDescent="0.25">
      <c r="B9" t="s">
        <v>31</v>
      </c>
      <c r="C9" t="s">
        <v>74</v>
      </c>
    </row>
    <row r="10" spans="2:3" x14ac:dyDescent="0.25">
      <c r="B10" t="s">
        <v>51</v>
      </c>
      <c r="C10" t="s">
        <v>75</v>
      </c>
    </row>
    <row r="11" spans="2:3" x14ac:dyDescent="0.25">
      <c r="B11" t="s">
        <v>26</v>
      </c>
      <c r="C11" t="s">
        <v>71</v>
      </c>
    </row>
    <row r="12" spans="2:3" x14ac:dyDescent="0.25">
      <c r="B12" t="s">
        <v>11</v>
      </c>
      <c r="C12" t="s">
        <v>76</v>
      </c>
    </row>
    <row r="13" spans="2:3" x14ac:dyDescent="0.25">
      <c r="B13" t="s">
        <v>59</v>
      </c>
      <c r="C13" t="s">
        <v>77</v>
      </c>
    </row>
    <row r="14" spans="2:3" x14ac:dyDescent="0.25">
      <c r="B14" t="s">
        <v>49</v>
      </c>
      <c r="C14" t="s">
        <v>83</v>
      </c>
    </row>
    <row r="15" spans="2:3" x14ac:dyDescent="0.25">
      <c r="B15" t="s">
        <v>6</v>
      </c>
      <c r="C15" t="s">
        <v>78</v>
      </c>
    </row>
    <row r="16" spans="2:3" x14ac:dyDescent="0.25">
      <c r="B16" t="s">
        <v>68</v>
      </c>
      <c r="C16" t="s">
        <v>79</v>
      </c>
    </row>
    <row r="17" spans="2:3" x14ac:dyDescent="0.25">
      <c r="B17" t="s">
        <v>60</v>
      </c>
      <c r="C17" t="s">
        <v>71</v>
      </c>
    </row>
    <row r="18" spans="2:3" x14ac:dyDescent="0.25">
      <c r="B18" t="s">
        <v>17</v>
      </c>
      <c r="C18" t="s">
        <v>80</v>
      </c>
    </row>
    <row r="19" spans="2:3" x14ac:dyDescent="0.25">
      <c r="B19" t="s">
        <v>28</v>
      </c>
      <c r="C19" t="s">
        <v>80</v>
      </c>
    </row>
    <row r="20" spans="2:3" x14ac:dyDescent="0.25">
      <c r="B20" t="s">
        <v>45</v>
      </c>
      <c r="C20" t="s">
        <v>81</v>
      </c>
    </row>
    <row r="21" spans="2:3" x14ac:dyDescent="0.25">
      <c r="B21" t="s">
        <v>19</v>
      </c>
      <c r="C21" t="s">
        <v>82</v>
      </c>
    </row>
    <row r="22" spans="2:3" x14ac:dyDescent="0.25">
      <c r="B22" t="s">
        <v>61</v>
      </c>
      <c r="C22" t="s">
        <v>83</v>
      </c>
    </row>
    <row r="23" spans="2:3" x14ac:dyDescent="0.25">
      <c r="B23" t="s">
        <v>35</v>
      </c>
      <c r="C23" t="s">
        <v>83</v>
      </c>
    </row>
    <row r="24" spans="2:3" x14ac:dyDescent="0.25">
      <c r="B24" t="s">
        <v>43</v>
      </c>
      <c r="C24" t="s">
        <v>83</v>
      </c>
    </row>
    <row r="25" spans="2:3" x14ac:dyDescent="0.25">
      <c r="B25" t="s">
        <v>27</v>
      </c>
      <c r="C25" t="s">
        <v>83</v>
      </c>
    </row>
    <row r="26" spans="2:3" x14ac:dyDescent="0.25">
      <c r="B26" t="s">
        <v>24</v>
      </c>
      <c r="C26" t="s">
        <v>83</v>
      </c>
    </row>
    <row r="27" spans="2:3" x14ac:dyDescent="0.25">
      <c r="B27" t="s">
        <v>12</v>
      </c>
      <c r="C27" t="s">
        <v>71</v>
      </c>
    </row>
    <row r="28" spans="2:3" x14ac:dyDescent="0.25">
      <c r="B28" t="s">
        <v>44</v>
      </c>
      <c r="C28" t="s">
        <v>71</v>
      </c>
    </row>
    <row r="29" spans="2:3" x14ac:dyDescent="0.25">
      <c r="B29" t="s">
        <v>39</v>
      </c>
      <c r="C29" t="s">
        <v>71</v>
      </c>
    </row>
    <row r="30" spans="2:3" x14ac:dyDescent="0.25">
      <c r="B30" t="s">
        <v>55</v>
      </c>
      <c r="C30" t="s">
        <v>83</v>
      </c>
    </row>
    <row r="31" spans="2:3" x14ac:dyDescent="0.25">
      <c r="B31" t="s">
        <v>42</v>
      </c>
      <c r="C31" t="s">
        <v>83</v>
      </c>
    </row>
    <row r="32" spans="2:3" x14ac:dyDescent="0.25">
      <c r="B32" t="s">
        <v>30</v>
      </c>
      <c r="C32" t="s">
        <v>71</v>
      </c>
    </row>
    <row r="33" spans="2:3" x14ac:dyDescent="0.25">
      <c r="B33" t="s">
        <v>29</v>
      </c>
      <c r="C33" t="s">
        <v>71</v>
      </c>
    </row>
    <row r="34" spans="2:3" x14ac:dyDescent="0.25">
      <c r="B34" t="s">
        <v>14</v>
      </c>
      <c r="C34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3983-8274-48FF-9255-9724399994BD}">
  <dimension ref="A1:I37"/>
  <sheetViews>
    <sheetView topLeftCell="A58" zoomScale="70" zoomScaleNormal="70" workbookViewId="0">
      <selection activeCell="G4" sqref="G4"/>
    </sheetView>
  </sheetViews>
  <sheetFormatPr defaultRowHeight="15" x14ac:dyDescent="0.25"/>
  <cols>
    <col min="1" max="1" width="16.140625" customWidth="1"/>
    <col min="2" max="4" width="13.28515625" customWidth="1"/>
    <col min="5" max="5" width="3.85546875" customWidth="1"/>
    <col min="6" max="6" width="16.140625" customWidth="1"/>
    <col min="7" max="9" width="13.28515625" customWidth="1"/>
  </cols>
  <sheetData>
    <row r="1" spans="1:9" ht="18.75" x14ac:dyDescent="0.3">
      <c r="A1" s="15" t="s">
        <v>93</v>
      </c>
      <c r="F1" s="18" t="s">
        <v>95</v>
      </c>
    </row>
    <row r="3" spans="1:9" x14ac:dyDescent="0.25">
      <c r="A3" s="16" t="s">
        <v>92</v>
      </c>
      <c r="B3" s="16" t="s">
        <v>10</v>
      </c>
      <c r="C3" s="16" t="s">
        <v>7</v>
      </c>
      <c r="D3" s="16" t="s">
        <v>46</v>
      </c>
      <c r="F3" s="17" t="s">
        <v>92</v>
      </c>
      <c r="G3" s="17" t="s">
        <v>10</v>
      </c>
      <c r="H3" s="17" t="s">
        <v>7</v>
      </c>
      <c r="I3" s="17" t="s">
        <v>46</v>
      </c>
    </row>
    <row r="4" spans="1:9" x14ac:dyDescent="0.25">
      <c r="A4" s="19">
        <v>45597</v>
      </c>
      <c r="B4" s="22"/>
      <c r="C4" s="22">
        <v>2.6</v>
      </c>
      <c r="D4" s="22"/>
      <c r="F4" s="19">
        <v>45597</v>
      </c>
      <c r="G4" s="22"/>
      <c r="H4" s="22">
        <v>2.4</v>
      </c>
      <c r="I4" s="22"/>
    </row>
    <row r="5" spans="1:9" x14ac:dyDescent="0.25">
      <c r="A5" s="14">
        <v>45658</v>
      </c>
      <c r="B5" s="23">
        <v>2.34</v>
      </c>
      <c r="C5" s="23">
        <v>3.09</v>
      </c>
      <c r="D5" s="23"/>
      <c r="F5" s="14">
        <v>45658</v>
      </c>
      <c r="G5" s="23">
        <v>2.16</v>
      </c>
      <c r="H5" s="23">
        <v>2.7</v>
      </c>
      <c r="I5" s="23"/>
    </row>
    <row r="6" spans="1:9" x14ac:dyDescent="0.25">
      <c r="A6" s="19">
        <v>45689</v>
      </c>
      <c r="B6" s="22">
        <v>2.36</v>
      </c>
      <c r="C6" s="22">
        <v>2.98</v>
      </c>
      <c r="D6" s="22"/>
      <c r="F6" s="19">
        <v>45689</v>
      </c>
      <c r="G6" s="22">
        <v>2.17</v>
      </c>
      <c r="H6" s="22">
        <v>2.59</v>
      </c>
      <c r="I6" s="22"/>
    </row>
    <row r="7" spans="1:9" x14ac:dyDescent="0.25">
      <c r="A7" s="14">
        <v>45717</v>
      </c>
      <c r="B7" s="23">
        <v>2.14</v>
      </c>
      <c r="C7" s="23">
        <v>3.04</v>
      </c>
      <c r="D7" s="23"/>
      <c r="F7" s="14">
        <v>45717</v>
      </c>
      <c r="G7" s="23">
        <v>1.99</v>
      </c>
      <c r="H7" s="23">
        <v>2.66</v>
      </c>
      <c r="I7" s="23"/>
    </row>
    <row r="8" spans="1:9" x14ac:dyDescent="0.25">
      <c r="A8" s="19">
        <v>45748</v>
      </c>
      <c r="B8" s="22">
        <v>2.41</v>
      </c>
      <c r="C8" s="22">
        <v>3</v>
      </c>
      <c r="D8" s="22"/>
      <c r="F8" s="19">
        <v>45748</v>
      </c>
      <c r="G8" s="22">
        <v>2.23</v>
      </c>
      <c r="H8" s="22">
        <v>2.61</v>
      </c>
      <c r="I8" s="22"/>
    </row>
    <row r="9" spans="1:9" x14ac:dyDescent="0.25">
      <c r="A9" s="14">
        <v>45778</v>
      </c>
      <c r="B9" s="23">
        <v>2.12</v>
      </c>
      <c r="C9" s="23">
        <v>2.78</v>
      </c>
      <c r="D9" s="23"/>
      <c r="F9" s="14">
        <v>45778</v>
      </c>
      <c r="G9" s="23">
        <v>2.0299999999999998</v>
      </c>
      <c r="H9" s="23">
        <v>2.27</v>
      </c>
      <c r="I9" s="23"/>
    </row>
    <row r="10" spans="1:9" x14ac:dyDescent="0.25">
      <c r="A10" s="19">
        <v>45809</v>
      </c>
      <c r="B10" s="22">
        <v>2.41</v>
      </c>
      <c r="C10" s="22">
        <v>2.46</v>
      </c>
      <c r="D10" s="22"/>
      <c r="F10" s="19">
        <v>45809</v>
      </c>
      <c r="G10" s="22">
        <v>2.2799999999999998</v>
      </c>
      <c r="H10" s="22">
        <v>2.2000000000000002</v>
      </c>
      <c r="I10" s="22"/>
    </row>
    <row r="11" spans="1:9" x14ac:dyDescent="0.25">
      <c r="A11" s="14">
        <v>45839</v>
      </c>
      <c r="B11" s="23">
        <v>2.48</v>
      </c>
      <c r="C11" s="23">
        <v>2.58</v>
      </c>
      <c r="D11" s="23">
        <v>3.59</v>
      </c>
      <c r="F11" s="14">
        <v>45839</v>
      </c>
      <c r="G11" s="23">
        <v>2.3199999999999998</v>
      </c>
      <c r="H11" s="23">
        <v>2.41</v>
      </c>
      <c r="I11" s="23">
        <v>3.4</v>
      </c>
    </row>
    <row r="12" spans="1:9" x14ac:dyDescent="0.25">
      <c r="A12" s="19">
        <v>45870</v>
      </c>
      <c r="B12" s="22"/>
      <c r="C12" s="22">
        <v>1.83</v>
      </c>
      <c r="D12" s="22">
        <v>3.5</v>
      </c>
      <c r="F12" s="19">
        <v>45870</v>
      </c>
      <c r="G12" s="22"/>
      <c r="H12" s="22">
        <v>1.73</v>
      </c>
      <c r="I12" s="22">
        <v>3.14</v>
      </c>
    </row>
    <row r="13" spans="1:9" x14ac:dyDescent="0.25">
      <c r="A13" s="14">
        <v>45901</v>
      </c>
      <c r="B13" s="23">
        <v>1.65</v>
      </c>
      <c r="C13" s="23">
        <v>1.86</v>
      </c>
      <c r="D13" s="23">
        <v>3.65</v>
      </c>
      <c r="F13" s="14">
        <v>45901</v>
      </c>
      <c r="G13" s="23">
        <v>1.41</v>
      </c>
      <c r="H13" s="23">
        <v>1.65</v>
      </c>
      <c r="I13" s="23">
        <v>3.3</v>
      </c>
    </row>
    <row r="14" spans="1:9" x14ac:dyDescent="0.25">
      <c r="A14" s="19">
        <v>45931</v>
      </c>
      <c r="B14" s="22"/>
      <c r="C14" s="22">
        <v>1.74</v>
      </c>
      <c r="D14" s="22">
        <v>3.5</v>
      </c>
      <c r="F14" s="19">
        <v>45931</v>
      </c>
      <c r="G14" s="22"/>
      <c r="H14" s="22">
        <v>1.55</v>
      </c>
      <c r="I14" s="22">
        <v>3.34</v>
      </c>
    </row>
    <row r="15" spans="1:9" x14ac:dyDescent="0.25">
      <c r="A15" s="14">
        <v>45962</v>
      </c>
      <c r="B15" s="23">
        <v>1.21</v>
      </c>
      <c r="C15" s="23">
        <v>1.6</v>
      </c>
      <c r="D15" s="23">
        <v>3</v>
      </c>
      <c r="F15" s="14">
        <v>45962</v>
      </c>
      <c r="G15" s="23">
        <v>1.08</v>
      </c>
      <c r="H15" s="23">
        <v>1.42</v>
      </c>
      <c r="I15" s="23">
        <v>2.81</v>
      </c>
    </row>
    <row r="16" spans="1:9" x14ac:dyDescent="0.25">
      <c r="A16" s="19">
        <v>45992</v>
      </c>
      <c r="B16" s="22">
        <v>1.36</v>
      </c>
      <c r="C16" s="22">
        <v>2.04</v>
      </c>
      <c r="D16" s="22">
        <v>3.02</v>
      </c>
      <c r="F16" s="19">
        <v>45992</v>
      </c>
      <c r="G16" s="22">
        <v>1.25</v>
      </c>
      <c r="H16" s="22">
        <v>1.86</v>
      </c>
      <c r="I16" s="22">
        <v>2.87</v>
      </c>
    </row>
    <row r="17" spans="1:9" x14ac:dyDescent="0.25">
      <c r="A17" s="14">
        <v>46023</v>
      </c>
      <c r="B17" s="23">
        <v>1.46</v>
      </c>
      <c r="C17" s="23">
        <v>2.11</v>
      </c>
      <c r="D17" s="23">
        <v>3.01</v>
      </c>
      <c r="F17" s="14">
        <v>46023</v>
      </c>
      <c r="G17" s="23">
        <v>1.28</v>
      </c>
      <c r="H17" s="23">
        <v>1.9</v>
      </c>
      <c r="I17" s="23">
        <v>2.83</v>
      </c>
    </row>
    <row r="18" spans="1:9" x14ac:dyDescent="0.25">
      <c r="A18" s="19">
        <v>46054</v>
      </c>
      <c r="B18" s="22">
        <v>1.42</v>
      </c>
      <c r="C18" s="22"/>
      <c r="D18" s="22">
        <v>3.98</v>
      </c>
      <c r="F18" s="19">
        <v>46054</v>
      </c>
      <c r="G18" s="22">
        <v>1.25</v>
      </c>
      <c r="H18" s="22"/>
      <c r="I18" s="22">
        <v>3.55</v>
      </c>
    </row>
    <row r="21" spans="1:9" ht="18.75" x14ac:dyDescent="0.3">
      <c r="A21" s="15" t="s">
        <v>94</v>
      </c>
    </row>
    <row r="22" spans="1:9" x14ac:dyDescent="0.25">
      <c r="A22" s="16" t="s">
        <v>92</v>
      </c>
      <c r="B22" s="16" t="s">
        <v>10</v>
      </c>
      <c r="C22" s="16" t="s">
        <v>7</v>
      </c>
      <c r="D22" s="16" t="s">
        <v>46</v>
      </c>
    </row>
    <row r="23" spans="1:9" x14ac:dyDescent="0.25">
      <c r="A23" s="19">
        <v>45597</v>
      </c>
      <c r="B23" s="20">
        <v>0</v>
      </c>
      <c r="C23" s="20">
        <v>1</v>
      </c>
      <c r="D23" s="20">
        <v>0</v>
      </c>
    </row>
    <row r="24" spans="1:9" x14ac:dyDescent="0.25">
      <c r="A24" s="14">
        <v>45658</v>
      </c>
      <c r="B24" s="21">
        <v>27</v>
      </c>
      <c r="C24" s="21">
        <v>18</v>
      </c>
      <c r="D24" s="21">
        <v>0</v>
      </c>
    </row>
    <row r="25" spans="1:9" x14ac:dyDescent="0.25">
      <c r="A25" s="19">
        <v>45689</v>
      </c>
      <c r="B25" s="20">
        <v>16</v>
      </c>
      <c r="C25" s="20">
        <v>56</v>
      </c>
      <c r="D25" s="20">
        <v>0</v>
      </c>
    </row>
    <row r="26" spans="1:9" x14ac:dyDescent="0.25">
      <c r="A26" s="14">
        <v>45717</v>
      </c>
      <c r="B26" s="21">
        <v>4</v>
      </c>
      <c r="C26" s="21">
        <v>40</v>
      </c>
      <c r="D26" s="21">
        <v>0</v>
      </c>
    </row>
    <row r="27" spans="1:9" x14ac:dyDescent="0.25">
      <c r="A27" s="19">
        <v>45748</v>
      </c>
      <c r="B27" s="20">
        <v>11</v>
      </c>
      <c r="C27" s="20">
        <v>172</v>
      </c>
      <c r="D27" s="20">
        <v>0</v>
      </c>
    </row>
    <row r="28" spans="1:9" x14ac:dyDescent="0.25">
      <c r="A28" s="14">
        <v>45778</v>
      </c>
      <c r="B28" s="21">
        <v>46</v>
      </c>
      <c r="C28" s="21">
        <v>92</v>
      </c>
      <c r="D28" s="21">
        <v>0</v>
      </c>
    </row>
    <row r="29" spans="1:9" x14ac:dyDescent="0.25">
      <c r="A29" s="19">
        <v>45809</v>
      </c>
      <c r="B29" s="20">
        <v>4</v>
      </c>
      <c r="C29" s="20">
        <v>43</v>
      </c>
      <c r="D29" s="20">
        <v>0</v>
      </c>
    </row>
    <row r="30" spans="1:9" x14ac:dyDescent="0.25">
      <c r="A30" s="14">
        <v>45839</v>
      </c>
      <c r="B30" s="21">
        <v>21</v>
      </c>
      <c r="C30" s="21">
        <v>23</v>
      </c>
      <c r="D30" s="21">
        <v>7</v>
      </c>
    </row>
    <row r="31" spans="1:9" x14ac:dyDescent="0.25">
      <c r="A31" s="19">
        <v>45870</v>
      </c>
      <c r="B31" s="20">
        <v>0</v>
      </c>
      <c r="C31" s="20">
        <v>62</v>
      </c>
      <c r="D31" s="20">
        <v>8</v>
      </c>
    </row>
    <row r="32" spans="1:9" x14ac:dyDescent="0.25">
      <c r="A32" s="14">
        <v>45901</v>
      </c>
      <c r="B32" s="21">
        <v>3</v>
      </c>
      <c r="C32" s="21">
        <v>29</v>
      </c>
      <c r="D32" s="21">
        <v>20</v>
      </c>
    </row>
    <row r="33" spans="1:4" x14ac:dyDescent="0.25">
      <c r="A33" s="19">
        <v>45931</v>
      </c>
      <c r="B33" s="20">
        <v>0</v>
      </c>
      <c r="C33" s="20">
        <v>18</v>
      </c>
      <c r="D33" s="20">
        <v>2</v>
      </c>
    </row>
    <row r="34" spans="1:4" x14ac:dyDescent="0.25">
      <c r="A34" s="14">
        <v>45962</v>
      </c>
      <c r="B34" s="21">
        <v>7</v>
      </c>
      <c r="C34" s="21">
        <v>27</v>
      </c>
      <c r="D34" s="21">
        <v>53</v>
      </c>
    </row>
    <row r="35" spans="1:4" x14ac:dyDescent="0.25">
      <c r="A35" s="19">
        <v>45992</v>
      </c>
      <c r="B35" s="20">
        <v>40</v>
      </c>
      <c r="C35" s="20">
        <v>14</v>
      </c>
      <c r="D35" s="20">
        <v>15</v>
      </c>
    </row>
    <row r="36" spans="1:4" x14ac:dyDescent="0.25">
      <c r="A36" s="14">
        <v>46023</v>
      </c>
      <c r="B36" s="21">
        <v>7</v>
      </c>
      <c r="C36" s="21">
        <v>8</v>
      </c>
      <c r="D36" s="21">
        <v>11</v>
      </c>
    </row>
    <row r="37" spans="1:4" x14ac:dyDescent="0.25">
      <c r="A37" s="19">
        <v>46054</v>
      </c>
      <c r="B37" s="20">
        <v>3</v>
      </c>
      <c r="C37" s="20">
        <v>0</v>
      </c>
      <c r="D37" s="20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Reconciliation (Raw)</vt:lpstr>
      <vt:lpstr>Pivot</vt:lpstr>
      <vt:lpstr>ref</vt:lpstr>
      <vt:lpstr>Price Evolution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Benson</dc:creator>
  <cp:lastModifiedBy>Santiago Miranda</cp:lastModifiedBy>
  <cp:lastPrinted>2026-02-27T18:32:15Z</cp:lastPrinted>
  <dcterms:created xsi:type="dcterms:W3CDTF">2026-02-25T23:52:25Z</dcterms:created>
  <dcterms:modified xsi:type="dcterms:W3CDTF">2026-03-04T16:08:39Z</dcterms:modified>
</cp:coreProperties>
</file>