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ermacainfra.sharepoint.com/sites/FDO/Documentos compartidos/Finanzas - Capex-Opex/"/>
    </mc:Choice>
  </mc:AlternateContent>
  <xr:revisionPtr revIDLastSave="2644" documentId="8_{D325E9DC-6B5A-4A95-A8B1-8D9DE55D81E3}" xr6:coauthVersionLast="47" xr6:coauthVersionMax="47" xr10:uidLastSave="{ACB06505-8D39-45CB-84D4-7349EF9652F9}"/>
  <bookViews>
    <workbookView xWindow="-120" yWindow="-120" windowWidth="20730" windowHeight="11160" activeTab="8" xr2:uid="{00000000-000D-0000-FFFF-FFFF00000000}"/>
  </bookViews>
  <sheets>
    <sheet name="Glosario" sheetId="3" r:id="rId1"/>
    <sheet name="Inputs" sheetId="1" r:id="rId2"/>
    <sheet name="S&amp;U" sheetId="13" r:id="rId3"/>
    <sheet name="Hoja1" sheetId="17" r:id="rId4"/>
    <sheet name="CAPEX" sheetId="6" r:id="rId5"/>
    <sheet name="OPEX" sheetId="2" r:id="rId6"/>
    <sheet name="OPEX (2)" sheetId="15" r:id="rId7"/>
    <sheet name="OPEX NOTAS" sheetId="16" r:id="rId8"/>
    <sheet name="Pass-Through IBD" sheetId="8" r:id="rId9"/>
    <sheet name="Bloque IBD" sheetId="9" r:id="rId10"/>
    <sheet name="Exp PreOP" sheetId="10" r:id="rId11"/>
    <sheet name="Generadores" sheetId="14" r:id="rId12"/>
    <sheet name="ATN" sheetId="5" r:id="rId13"/>
    <sheet name="network eq." sheetId="7" r:id="rId14"/>
  </sheets>
  <definedNames>
    <definedName name="_xlnm._FilterDatabase" localSheetId="6" hidden="1">'OPEX (2)'!$B$65:$C$75</definedName>
    <definedName name="_xlchart.v1.0" hidden="1">'OPEX (2)'!$B$51:$B$59</definedName>
    <definedName name="_xlchart.v1.1" hidden="1">'OPEX (2)'!$C$50</definedName>
    <definedName name="_xlchart.v1.2" hidden="1">'OPEX (2)'!$C$51:$C$59</definedName>
    <definedName name="_xlchart.v1.3" hidden="1">'OPEX (2)'!$B$66:$B$75</definedName>
    <definedName name="_xlchart.v1.4" hidden="1">'OPEX (2)'!$C$65</definedName>
    <definedName name="_xlchart.v1.5" hidden="1">'OPEX (2)'!$C$66:$C$75</definedName>
    <definedName name="TC">CAPEX!$D$3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8" l="1"/>
  <c r="F11" i="8"/>
  <c r="H36" i="13" l="1"/>
  <c r="H39" i="13"/>
  <c r="D20" i="13" l="1"/>
  <c r="H34" i="13"/>
  <c r="H27" i="13"/>
  <c r="H26" i="13"/>
  <c r="H16" i="13"/>
  <c r="E46" i="17"/>
  <c r="E48" i="17"/>
  <c r="H28" i="13"/>
  <c r="H25" i="13"/>
  <c r="H24" i="13"/>
  <c r="H23" i="13"/>
  <c r="H22" i="13"/>
  <c r="H21" i="13"/>
  <c r="H20" i="13"/>
  <c r="H19" i="13"/>
  <c r="H18" i="13"/>
  <c r="G26" i="15"/>
  <c r="J26" i="15" s="1"/>
  <c r="H29" i="13" l="1"/>
  <c r="H17" i="13" s="1"/>
  <c r="D17" i="13" s="1"/>
  <c r="D11" i="13" s="1"/>
  <c r="H26" i="15"/>
  <c r="G25" i="15" l="1"/>
  <c r="H25" i="15" s="1"/>
  <c r="F24" i="15"/>
  <c r="G34" i="15"/>
  <c r="H34" i="15" s="1"/>
  <c r="H33" i="15" s="1"/>
  <c r="F33" i="15"/>
  <c r="F31" i="15"/>
  <c r="G32" i="15"/>
  <c r="J32" i="15" s="1"/>
  <c r="J31" i="15" s="1"/>
  <c r="G40" i="15"/>
  <c r="H40" i="15" s="1"/>
  <c r="G41" i="15"/>
  <c r="J41" i="15" s="1"/>
  <c r="F39" i="15"/>
  <c r="G37" i="15"/>
  <c r="H37" i="15" s="1"/>
  <c r="G36" i="15"/>
  <c r="H36" i="15" s="1"/>
  <c r="F35" i="15"/>
  <c r="G30" i="15"/>
  <c r="J30" i="15" s="1"/>
  <c r="G29" i="15"/>
  <c r="J29" i="15" s="1"/>
  <c r="G28" i="15"/>
  <c r="J28" i="15" s="1"/>
  <c r="F27" i="15"/>
  <c r="G23" i="15"/>
  <c r="J23" i="15" s="1"/>
  <c r="G22" i="15"/>
  <c r="J22" i="15" s="1"/>
  <c r="G21" i="15"/>
  <c r="H21" i="15" s="1"/>
  <c r="G19" i="15"/>
  <c r="J19" i="15" s="1"/>
  <c r="G18" i="15"/>
  <c r="J18" i="15" s="1"/>
  <c r="G17" i="15"/>
  <c r="J17" i="15" s="1"/>
  <c r="G16" i="15"/>
  <c r="J16" i="15" s="1"/>
  <c r="G15" i="15"/>
  <c r="J15" i="15" s="1"/>
  <c r="G14" i="15"/>
  <c r="J14" i="15" s="1"/>
  <c r="G13" i="15"/>
  <c r="J13" i="15" s="1"/>
  <c r="G12" i="15"/>
  <c r="J12" i="15" s="1"/>
  <c r="G11" i="15"/>
  <c r="J11" i="15" s="1"/>
  <c r="G10" i="15"/>
  <c r="J10" i="15" s="1"/>
  <c r="G9" i="15"/>
  <c r="J9" i="15" s="1"/>
  <c r="G8" i="15"/>
  <c r="J8" i="15" s="1"/>
  <c r="F7" i="15"/>
  <c r="G24" i="15" l="1"/>
  <c r="H24" i="15" s="1"/>
  <c r="J25" i="15"/>
  <c r="J24" i="15" s="1"/>
  <c r="G33" i="15"/>
  <c r="G31" i="15"/>
  <c r="J40" i="15"/>
  <c r="J27" i="15"/>
  <c r="J37" i="15"/>
  <c r="G27" i="15"/>
  <c r="J36" i="15"/>
  <c r="G39" i="15"/>
  <c r="H41" i="15"/>
  <c r="G7" i="15"/>
  <c r="G35" i="15"/>
  <c r="H23" i="15"/>
  <c r="H22" i="15"/>
  <c r="J21" i="15"/>
  <c r="J20" i="15" s="1"/>
  <c r="J7" i="15"/>
  <c r="H35" i="15"/>
  <c r="H8" i="15"/>
  <c r="H9" i="15"/>
  <c r="H10" i="15"/>
  <c r="H11" i="15"/>
  <c r="H12" i="15"/>
  <c r="H13" i="15"/>
  <c r="H14" i="15"/>
  <c r="H15" i="15"/>
  <c r="H16" i="15"/>
  <c r="H17" i="15"/>
  <c r="H18" i="15"/>
  <c r="H19" i="15"/>
  <c r="F20" i="15"/>
  <c r="H28" i="15"/>
  <c r="H29" i="15"/>
  <c r="H30" i="15"/>
  <c r="H32" i="15"/>
  <c r="H31" i="15" s="1"/>
  <c r="G20" i="15"/>
  <c r="J39" i="15" l="1"/>
  <c r="J35" i="15"/>
  <c r="J33" i="15" s="1"/>
  <c r="H39" i="15"/>
  <c r="H27" i="15"/>
  <c r="H7" i="15"/>
  <c r="H20" i="15"/>
  <c r="E77" i="6"/>
  <c r="E75" i="6"/>
  <c r="H91" i="14" l="1"/>
  <c r="H89" i="14"/>
  <c r="H85" i="14"/>
  <c r="H80" i="14"/>
  <c r="H34" i="14"/>
  <c r="H76" i="14" s="1"/>
  <c r="I6" i="14"/>
  <c r="I7" i="14"/>
  <c r="I8" i="14"/>
  <c r="I9" i="14"/>
  <c r="I5" i="14"/>
  <c r="E19" i="10"/>
  <c r="E9" i="10"/>
  <c r="E22" i="10"/>
  <c r="E16" i="10"/>
  <c r="E5" i="10"/>
  <c r="E4" i="10"/>
  <c r="E81" i="6"/>
  <c r="E82" i="6" s="1"/>
  <c r="D3" i="6"/>
  <c r="H8" i="9"/>
  <c r="L8" i="9"/>
  <c r="P8" i="9"/>
  <c r="F8" i="9"/>
  <c r="C14" i="1"/>
  <c r="R7" i="9"/>
  <c r="R8" i="9" s="1"/>
  <c r="C5" i="1" s="1"/>
  <c r="C15" i="1" s="1"/>
  <c r="Q7" i="9"/>
  <c r="Q8" i="9" s="1"/>
  <c r="P7" i="9"/>
  <c r="O7" i="9"/>
  <c r="O8" i="9" s="1"/>
  <c r="N7" i="9"/>
  <c r="N8" i="9" s="1"/>
  <c r="M7" i="9"/>
  <c r="M8" i="9" s="1"/>
  <c r="L7" i="9"/>
  <c r="K7" i="9"/>
  <c r="K8" i="9" s="1"/>
  <c r="J7" i="9"/>
  <c r="J8" i="9" s="1"/>
  <c r="I7" i="9"/>
  <c r="I8" i="9" s="1"/>
  <c r="H7" i="9"/>
  <c r="G7" i="9"/>
  <c r="G8" i="9" s="1"/>
  <c r="F7" i="9"/>
  <c r="R9" i="8"/>
  <c r="R10" i="8" s="1"/>
  <c r="Q9" i="8"/>
  <c r="Q10" i="8" s="1"/>
  <c r="P9" i="8"/>
  <c r="P10" i="8" s="1"/>
  <c r="O9" i="8"/>
  <c r="O10" i="8" s="1"/>
  <c r="N9" i="8"/>
  <c r="N10" i="8" s="1"/>
  <c r="M9" i="8"/>
  <c r="M10" i="8" s="1"/>
  <c r="L9" i="8"/>
  <c r="L10" i="8" s="1"/>
  <c r="K9" i="8"/>
  <c r="K10" i="8" s="1"/>
  <c r="J9" i="8"/>
  <c r="J10" i="8" s="1"/>
  <c r="I9" i="8"/>
  <c r="I10" i="8" s="1"/>
  <c r="H9" i="8"/>
  <c r="H10" i="8" s="1"/>
  <c r="G9" i="8"/>
  <c r="G10" i="8" s="1"/>
  <c r="F10" i="8"/>
  <c r="E53" i="6"/>
  <c r="E7" i="6"/>
  <c r="E13" i="6"/>
  <c r="D44" i="6"/>
  <c r="E44" i="6" s="1"/>
  <c r="D45" i="6"/>
  <c r="E45" i="6" s="1"/>
  <c r="D46" i="6"/>
  <c r="E46" i="6" s="1"/>
  <c r="D47" i="6"/>
  <c r="E47" i="6" s="1"/>
  <c r="D48" i="6"/>
  <c r="E48" i="6" s="1"/>
  <c r="D49" i="6"/>
  <c r="E49" i="6" s="1"/>
  <c r="D43" i="6"/>
  <c r="E43" i="6" s="1"/>
  <c r="D12" i="6"/>
  <c r="E12" i="6" s="1"/>
  <c r="D63" i="6"/>
  <c r="E63" i="6" s="1"/>
  <c r="D61" i="6"/>
  <c r="D62" i="6"/>
  <c r="E62" i="6" s="1"/>
  <c r="B12" i="7"/>
  <c r="G8" i="7"/>
  <c r="I8" i="7"/>
  <c r="G2" i="7"/>
  <c r="I2" i="7" s="1"/>
  <c r="G3" i="7"/>
  <c r="I3" i="7" s="1"/>
  <c r="G4" i="7"/>
  <c r="I4" i="7"/>
  <c r="G5" i="7"/>
  <c r="I5" i="7" s="1"/>
  <c r="G6" i="7"/>
  <c r="I6" i="7"/>
  <c r="G7" i="7"/>
  <c r="I7" i="7"/>
  <c r="E64" i="6"/>
  <c r="E6" i="10" l="1"/>
  <c r="I7" i="15"/>
  <c r="C57" i="15" s="1"/>
  <c r="I26" i="15"/>
  <c r="I25" i="15"/>
  <c r="I34" i="15"/>
  <c r="I33" i="15"/>
  <c r="C54" i="15" s="1"/>
  <c r="I40" i="15"/>
  <c r="I24" i="15"/>
  <c r="C52" i="15" s="1"/>
  <c r="I31" i="15"/>
  <c r="C58" i="15" s="1"/>
  <c r="I27" i="15"/>
  <c r="C59" i="15" s="1"/>
  <c r="I41" i="15"/>
  <c r="I39" i="15"/>
  <c r="C51" i="15" s="1"/>
  <c r="I37" i="15"/>
  <c r="I23" i="15"/>
  <c r="I22" i="15"/>
  <c r="I21" i="15"/>
  <c r="I36" i="15"/>
  <c r="I32" i="15"/>
  <c r="I9" i="15"/>
  <c r="I16" i="15"/>
  <c r="I19" i="15"/>
  <c r="I18" i="15"/>
  <c r="I29" i="15"/>
  <c r="I12" i="15"/>
  <c r="I15" i="15"/>
  <c r="I8" i="15"/>
  <c r="I14" i="15"/>
  <c r="I17" i="15"/>
  <c r="I11" i="15"/>
  <c r="I30" i="15"/>
  <c r="I10" i="15"/>
  <c r="I13" i="15"/>
  <c r="I35" i="15"/>
  <c r="C55" i="15" s="1"/>
  <c r="I28" i="15"/>
  <c r="I20" i="15"/>
  <c r="C56" i="15" s="1"/>
  <c r="D68" i="6"/>
  <c r="E68" i="6" s="1"/>
  <c r="I52" i="2"/>
  <c r="I56" i="2"/>
  <c r="I22" i="2"/>
  <c r="I39" i="2"/>
  <c r="I49" i="2"/>
  <c r="I53" i="2"/>
  <c r="I57" i="2"/>
  <c r="I50" i="2"/>
  <c r="I54" i="2"/>
  <c r="I58" i="2"/>
  <c r="I20" i="2"/>
  <c r="I51" i="2"/>
  <c r="I55" i="2"/>
  <c r="I10" i="14"/>
  <c r="D54" i="6"/>
  <c r="E54" i="6" s="1"/>
  <c r="E55" i="6" s="1"/>
  <c r="D69" i="6"/>
  <c r="E69" i="6" s="1"/>
  <c r="C16" i="1"/>
  <c r="F6" i="15" s="1"/>
  <c r="E50" i="6"/>
  <c r="D60" i="6"/>
  <c r="E60" i="6" s="1"/>
  <c r="D59" i="6"/>
  <c r="E59" i="6" s="1"/>
  <c r="D23" i="6"/>
  <c r="E23" i="6" s="1"/>
  <c r="D22" i="6"/>
  <c r="E22" i="6" s="1"/>
  <c r="A23" i="6"/>
  <c r="A22" i="6"/>
  <c r="D29" i="6"/>
  <c r="D30" i="6"/>
  <c r="D31" i="6"/>
  <c r="D32" i="6"/>
  <c r="D33" i="6"/>
  <c r="D34" i="6"/>
  <c r="D35" i="6"/>
  <c r="D36" i="6"/>
  <c r="D37" i="6"/>
  <c r="D38" i="6"/>
  <c r="E38" i="6" s="1"/>
  <c r="D28" i="6"/>
  <c r="C29" i="6"/>
  <c r="C30" i="6"/>
  <c r="C31" i="6"/>
  <c r="C32" i="6"/>
  <c r="C33" i="6"/>
  <c r="C34" i="6"/>
  <c r="C35" i="6"/>
  <c r="C36" i="6"/>
  <c r="C28" i="6"/>
  <c r="D15" i="6"/>
  <c r="E15" i="6" s="1"/>
  <c r="D16" i="6"/>
  <c r="E16" i="6" s="1"/>
  <c r="D17" i="6"/>
  <c r="E17" i="6" s="1"/>
  <c r="D18" i="6"/>
  <c r="E18" i="6" s="1"/>
  <c r="D19" i="6"/>
  <c r="E19" i="6" s="1"/>
  <c r="D20" i="6"/>
  <c r="E20" i="6" s="1"/>
  <c r="D21" i="6"/>
  <c r="E21" i="6" s="1"/>
  <c r="D14" i="6"/>
  <c r="E14" i="6" s="1"/>
  <c r="E24" i="6" s="1"/>
  <c r="E76" i="6"/>
  <c r="E74" i="6"/>
  <c r="E73" i="6"/>
  <c r="Q69" i="6"/>
  <c r="E61" i="6"/>
  <c r="E8" i="6"/>
  <c r="G6" i="15" l="1"/>
  <c r="F5" i="15"/>
  <c r="H30" i="13"/>
  <c r="K37" i="13" s="1"/>
  <c r="E65" i="6"/>
  <c r="E28" i="6"/>
  <c r="E37" i="6"/>
  <c r="E32" i="6"/>
  <c r="E35" i="6"/>
  <c r="E36" i="6"/>
  <c r="E34" i="6"/>
  <c r="E33" i="6"/>
  <c r="E31" i="6"/>
  <c r="E30" i="6"/>
  <c r="E29" i="6"/>
  <c r="E70" i="6"/>
  <c r="E9" i="6"/>
  <c r="G5" i="15" l="1"/>
  <c r="H6" i="15"/>
  <c r="J6" i="15"/>
  <c r="J5" i="15" s="1"/>
  <c r="J42" i="15" s="1"/>
  <c r="H38" i="13"/>
  <c r="E39" i="6"/>
  <c r="I6" i="15" l="1"/>
  <c r="H5" i="15"/>
  <c r="D16" i="13"/>
  <c r="J44" i="15"/>
  <c r="G42" i="15"/>
  <c r="G44" i="15" s="1"/>
  <c r="E87" i="6"/>
  <c r="E54" i="5"/>
  <c r="I53" i="5"/>
  <c r="J53" i="5" s="1"/>
  <c r="I52" i="5"/>
  <c r="I54" i="5" s="1"/>
  <c r="N22" i="5" s="1"/>
  <c r="E50" i="5"/>
  <c r="M21" i="5" s="1"/>
  <c r="I49" i="5"/>
  <c r="J49" i="5" s="1"/>
  <c r="E49" i="5"/>
  <c r="I46" i="5"/>
  <c r="J46" i="5" s="1"/>
  <c r="E46" i="5"/>
  <c r="I45" i="5"/>
  <c r="J45" i="5" s="1"/>
  <c r="E45" i="5"/>
  <c r="I44" i="5"/>
  <c r="J44" i="5" s="1"/>
  <c r="E44" i="5"/>
  <c r="J43" i="5"/>
  <c r="I43" i="5"/>
  <c r="E43" i="5"/>
  <c r="I42" i="5"/>
  <c r="E42" i="5"/>
  <c r="J42" i="5" s="1"/>
  <c r="I41" i="5"/>
  <c r="I47" i="5" s="1"/>
  <c r="N20" i="5" s="1"/>
  <c r="E41" i="5"/>
  <c r="E47" i="5" s="1"/>
  <c r="M20" i="5" s="1"/>
  <c r="J40" i="5"/>
  <c r="I40" i="5"/>
  <c r="E40" i="5"/>
  <c r="I37" i="5"/>
  <c r="J37" i="5" s="1"/>
  <c r="J36" i="5"/>
  <c r="I36" i="5"/>
  <c r="E36" i="5"/>
  <c r="I35" i="5"/>
  <c r="E35" i="5"/>
  <c r="J35" i="5" s="1"/>
  <c r="I34" i="5"/>
  <c r="J34" i="5" s="1"/>
  <c r="E34" i="5"/>
  <c r="J33" i="5"/>
  <c r="I33" i="5"/>
  <c r="E33" i="5"/>
  <c r="I32" i="5"/>
  <c r="J32" i="5" s="1"/>
  <c r="E32" i="5"/>
  <c r="I31" i="5"/>
  <c r="J31" i="5" s="1"/>
  <c r="E31" i="5"/>
  <c r="J30" i="5"/>
  <c r="I30" i="5"/>
  <c r="E30" i="5"/>
  <c r="I29" i="5"/>
  <c r="J29" i="5" s="1"/>
  <c r="E29" i="5"/>
  <c r="J28" i="5"/>
  <c r="I28" i="5"/>
  <c r="E28" i="5"/>
  <c r="I27" i="5"/>
  <c r="J27" i="5" s="1"/>
  <c r="E27" i="5"/>
  <c r="E38" i="5" s="1"/>
  <c r="M19" i="5" s="1"/>
  <c r="I24" i="5"/>
  <c r="J24" i="5" s="1"/>
  <c r="I23" i="5"/>
  <c r="J23" i="5" s="1"/>
  <c r="M22" i="5"/>
  <c r="L22" i="5"/>
  <c r="J22" i="5"/>
  <c r="I22" i="5"/>
  <c r="L21" i="5"/>
  <c r="I21" i="5"/>
  <c r="J21" i="5" s="1"/>
  <c r="L20" i="5"/>
  <c r="I20" i="5"/>
  <c r="J20" i="5" s="1"/>
  <c r="E20" i="5"/>
  <c r="L19" i="5"/>
  <c r="I19" i="5"/>
  <c r="J19" i="5" s="1"/>
  <c r="L18" i="5"/>
  <c r="I18" i="5"/>
  <c r="J18" i="5" s="1"/>
  <c r="L17" i="5"/>
  <c r="I17" i="5"/>
  <c r="J17" i="5" s="1"/>
  <c r="I16" i="5"/>
  <c r="I25" i="5" s="1"/>
  <c r="N18" i="5" s="1"/>
  <c r="E16" i="5"/>
  <c r="E25" i="5" s="1"/>
  <c r="M18" i="5" s="1"/>
  <c r="I14" i="5"/>
  <c r="N17" i="5" s="1"/>
  <c r="E14" i="5"/>
  <c r="M17" i="5" s="1"/>
  <c r="J13" i="5"/>
  <c r="I13" i="5"/>
  <c r="I12" i="5"/>
  <c r="J12" i="5" s="1"/>
  <c r="I11" i="5"/>
  <c r="J11" i="5" s="1"/>
  <c r="J10" i="5"/>
  <c r="I10" i="5"/>
  <c r="I5" i="2" l="1"/>
  <c r="I5" i="15"/>
  <c r="C53" i="15" s="1"/>
  <c r="C60" i="15" s="1"/>
  <c r="D7" i="13"/>
  <c r="H41" i="13" s="1"/>
  <c r="D19" i="13" s="1"/>
  <c r="D22" i="13" s="1"/>
  <c r="D24" i="13" s="1"/>
  <c r="N4" i="15"/>
  <c r="P4" i="15" s="1"/>
  <c r="N2" i="15"/>
  <c r="P2" i="15" s="1"/>
  <c r="H42" i="15"/>
  <c r="M24" i="5"/>
  <c r="I50" i="5"/>
  <c r="N21" i="5" s="1"/>
  <c r="J52" i="5"/>
  <c r="J16" i="5"/>
  <c r="J41" i="5"/>
  <c r="I38" i="5"/>
  <c r="N19" i="5" s="1"/>
  <c r="N24" i="5" s="1"/>
  <c r="G20" i="2"/>
  <c r="J20" i="2" s="1"/>
  <c r="F49" i="2"/>
  <c r="G58" i="2"/>
  <c r="J58" i="2" s="1"/>
  <c r="G51" i="2"/>
  <c r="H51" i="2" s="1"/>
  <c r="G52" i="2"/>
  <c r="J52" i="2" s="1"/>
  <c r="G53" i="2"/>
  <c r="J53" i="2" s="1"/>
  <c r="G54" i="2"/>
  <c r="H54" i="2" s="1"/>
  <c r="G55" i="2"/>
  <c r="J55" i="2" s="1"/>
  <c r="G56" i="2"/>
  <c r="H56" i="2" s="1"/>
  <c r="G57" i="2"/>
  <c r="J57" i="2" s="1"/>
  <c r="G50" i="2"/>
  <c r="H50" i="2" s="1"/>
  <c r="M26" i="5" l="1"/>
  <c r="H20" i="2"/>
  <c r="H58" i="2"/>
  <c r="J51" i="2"/>
  <c r="J50" i="2"/>
  <c r="J54" i="2"/>
  <c r="J56" i="2"/>
  <c r="G49" i="2"/>
  <c r="H57" i="2"/>
  <c r="H55" i="2"/>
  <c r="H52" i="2"/>
  <c r="H53" i="2"/>
  <c r="O2" i="15" l="1"/>
  <c r="H44" i="15"/>
  <c r="O4" i="15" s="1"/>
  <c r="I42" i="15"/>
  <c r="H49" i="2"/>
  <c r="J49" i="2"/>
  <c r="G39" i="2" l="1"/>
  <c r="J39" i="2" s="1"/>
  <c r="F45" i="2"/>
  <c r="F36" i="2"/>
  <c r="F9" i="2"/>
  <c r="C13" i="1"/>
  <c r="G47" i="2"/>
  <c r="J47" i="2" s="1"/>
  <c r="G46" i="2"/>
  <c r="J46" i="2" s="1"/>
  <c r="G43" i="2"/>
  <c r="J43" i="2" s="1"/>
  <c r="G42" i="2"/>
  <c r="J42" i="2" s="1"/>
  <c r="G41" i="2"/>
  <c r="H41" i="2" s="1"/>
  <c r="I41" i="2" s="1"/>
  <c r="G40" i="2"/>
  <c r="J40" i="2" s="1"/>
  <c r="G38" i="2"/>
  <c r="H38" i="2" s="1"/>
  <c r="I38" i="2" s="1"/>
  <c r="G37" i="2"/>
  <c r="J37" i="2" s="1"/>
  <c r="G34" i="2"/>
  <c r="J34" i="2" s="1"/>
  <c r="F33" i="2"/>
  <c r="G33" i="2" s="1"/>
  <c r="G32" i="2"/>
  <c r="J32" i="2" s="1"/>
  <c r="F31" i="2"/>
  <c r="G31" i="2" s="1"/>
  <c r="G30" i="2"/>
  <c r="J30" i="2" s="1"/>
  <c r="F29" i="2"/>
  <c r="G29" i="2" s="1"/>
  <c r="G28" i="2"/>
  <c r="H28" i="2" s="1"/>
  <c r="I28" i="2" s="1"/>
  <c r="F27" i="2"/>
  <c r="G27" i="2" s="1"/>
  <c r="G26" i="2"/>
  <c r="H26" i="2" s="1"/>
  <c r="I26" i="2" s="1"/>
  <c r="F25" i="2"/>
  <c r="G25" i="2" s="1"/>
  <c r="G24" i="2"/>
  <c r="G21" i="2"/>
  <c r="J21" i="2" s="1"/>
  <c r="G19" i="2"/>
  <c r="J19" i="2" s="1"/>
  <c r="G18" i="2"/>
  <c r="H18" i="2" s="1"/>
  <c r="I18" i="2" s="1"/>
  <c r="G17" i="2"/>
  <c r="J17" i="2" s="1"/>
  <c r="G16" i="2"/>
  <c r="J16" i="2" s="1"/>
  <c r="G15" i="2"/>
  <c r="J15" i="2" s="1"/>
  <c r="G14" i="2"/>
  <c r="J14" i="2" s="1"/>
  <c r="G13" i="2"/>
  <c r="J13" i="2" s="1"/>
  <c r="G12" i="2"/>
  <c r="J12" i="2" s="1"/>
  <c r="G11" i="2"/>
  <c r="J11" i="2" s="1"/>
  <c r="G10" i="2"/>
  <c r="H10" i="2" s="1"/>
  <c r="I10" i="2" s="1"/>
  <c r="D16" i="1"/>
  <c r="J24" i="2" l="1"/>
  <c r="H24" i="2"/>
  <c r="I24" i="2" s="1"/>
  <c r="D15" i="1"/>
  <c r="J5" i="2"/>
  <c r="F5" i="2"/>
  <c r="J38" i="2"/>
  <c r="H39" i="2"/>
  <c r="J45" i="2"/>
  <c r="F23" i="2"/>
  <c r="G36" i="2"/>
  <c r="G45" i="2"/>
  <c r="G23" i="2"/>
  <c r="G9" i="2"/>
  <c r="H12" i="2"/>
  <c r="I12" i="2" s="1"/>
  <c r="H21" i="2"/>
  <c r="I21" i="2" s="1"/>
  <c r="H32" i="2"/>
  <c r="I32" i="2" s="1"/>
  <c r="H30" i="2"/>
  <c r="I30" i="2" s="1"/>
  <c r="J10" i="2"/>
  <c r="H42" i="2"/>
  <c r="I42" i="2" s="1"/>
  <c r="H17" i="2"/>
  <c r="I17" i="2" s="1"/>
  <c r="H40" i="2"/>
  <c r="I40" i="2" s="1"/>
  <c r="H19" i="2"/>
  <c r="I19" i="2" s="1"/>
  <c r="H25" i="2"/>
  <c r="I25" i="2" s="1"/>
  <c r="J25" i="2"/>
  <c r="J31" i="2"/>
  <c r="H31" i="2"/>
  <c r="I31" i="2" s="1"/>
  <c r="J27" i="2"/>
  <c r="H27" i="2"/>
  <c r="I27" i="2" s="1"/>
  <c r="J29" i="2"/>
  <c r="H29" i="2"/>
  <c r="I29" i="2" s="1"/>
  <c r="J33" i="2"/>
  <c r="H33" i="2"/>
  <c r="I33" i="2" s="1"/>
  <c r="H46" i="2"/>
  <c r="I46" i="2" s="1"/>
  <c r="H37" i="2"/>
  <c r="I37" i="2" s="1"/>
  <c r="H13" i="2"/>
  <c r="I13" i="2" s="1"/>
  <c r="J18" i="2"/>
  <c r="J26" i="2"/>
  <c r="J41" i="2"/>
  <c r="H43" i="2"/>
  <c r="I43" i="2" s="1"/>
  <c r="H15" i="2"/>
  <c r="I15" i="2" s="1"/>
  <c r="J28" i="2"/>
  <c r="H11" i="2"/>
  <c r="I11" i="2" s="1"/>
  <c r="H16" i="2"/>
  <c r="I16" i="2" s="1"/>
  <c r="H47" i="2"/>
  <c r="I47" i="2" s="1"/>
  <c r="H14" i="2"/>
  <c r="I14" i="2" s="1"/>
  <c r="H34" i="2"/>
  <c r="I34" i="2" s="1"/>
  <c r="G5" i="2" l="1"/>
  <c r="G60" i="2" s="1"/>
  <c r="J9" i="2"/>
  <c r="J36" i="2"/>
  <c r="J23" i="2"/>
  <c r="H23" i="2"/>
  <c r="I23" i="2" s="1"/>
  <c r="H36" i="2"/>
  <c r="I36" i="2" s="1"/>
  <c r="H45" i="2"/>
  <c r="I45" i="2" s="1"/>
  <c r="H9" i="2"/>
  <c r="I9" i="2" s="1"/>
  <c r="H5" i="2" l="1"/>
  <c r="H60" i="2" s="1"/>
  <c r="I60" i="2" s="1"/>
  <c r="J60" i="2"/>
  <c r="J62" i="2" s="1"/>
  <c r="N2" i="2"/>
  <c r="P2" i="2" s="1"/>
  <c r="G62" i="2"/>
  <c r="N4" i="2" s="1"/>
  <c r="P4" i="2" s="1"/>
  <c r="O2" i="2" l="1"/>
  <c r="H62" i="2"/>
  <c r="O4" i="2" s="1"/>
  <c r="D85" i="6"/>
  <c r="E85" i="6" s="1"/>
  <c r="E90" i="6"/>
  <c r="E9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tc={8EFF6F21-7C31-4BA1-AB45-AE79121752EB}</author>
  </authors>
  <commentList>
    <comment ref="G62" authorId="0" shapeId="0" xr:uid="{8EFF6F21-7C31-4BA1-AB45-AE79121752EB}">
      <text>
        <t>[Threaded comment]
Your version of Excel allows you to read this threaded comment; however, any edits to it will get removed if the file is opened in a newer version of Excel. Learn more: https://go.microsoft.com/fwlink/?linkid=870924
Comment:
    Hacer total por seccion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tc={4E771096-69C1-4368-B9D8-02D068739343}</author>
    <author>tc={47802C06-DC5D-439B-BB72-E0A588630422}</author>
    <author>tc={C2AEC786-D664-4C08-B2CF-F1CB65E71EE1}</author>
  </authors>
  <commentList>
    <comment ref="I20" authorId="0" shapeId="0" xr:uid="{4E771096-69C1-4368-B9D8-02D068739343}">
      <text>
        <t>[Threaded comment]
Your version of Excel allows you to read this threaded comment; however, any edits to it will get removed if the file is opened in a newer version of Excel. Learn more: https://go.microsoft.com/fwlink/?linkid=870924
Comment:
    Agregar NOC</t>
      </text>
    </comment>
    <comment ref="I35" authorId="1" shapeId="0" xr:uid="{47802C06-DC5D-439B-BB72-E0A588630422}">
      <text>
        <t>[Threaded comment]
Your version of Excel allows you to read this threaded comment; however, any edits to it will get removed if the file is opened in a newer version of Excel. Learn more: https://go.microsoft.com/fwlink/?linkid=870924
Comment:
    QUITAR</t>
      </text>
    </comment>
    <comment ref="G44" authorId="2" shapeId="0" xr:uid="{C2AEC786-D664-4C08-B2CF-F1CB65E71EE1}">
      <text>
        <t>[Threaded comment]
Your version of Excel allows you to read this threaded comment; however, any edits to it will get removed if the file is opened in a newer version of Excel. Learn more: https://go.microsoft.com/fwlink/?linkid=870924
Comment:
    Hacer total por seccion</t>
      </text>
    </comment>
  </commentList>
</comments>
</file>

<file path=xl/sharedStrings.xml><?xml version="1.0" encoding="utf-8"?>
<sst xmlns="http://schemas.openxmlformats.org/spreadsheetml/2006/main" count="1215" uniqueCount="705">
  <si>
    <t>Parámetro</t>
  </si>
  <si>
    <t>Unidades</t>
  </si>
  <si>
    <t>Valor</t>
  </si>
  <si>
    <t>Unidad / Nota</t>
  </si>
  <si>
    <t>IT_Load_MW</t>
  </si>
  <si>
    <t>MW</t>
  </si>
  <si>
    <t>MW (carga TI)</t>
  </si>
  <si>
    <t>PUE</t>
  </si>
  <si>
    <t>Factor</t>
  </si>
  <si>
    <t>Total Facility Load / IT Load</t>
  </si>
  <si>
    <t>Horas_año</t>
  </si>
  <si>
    <t>hrs</t>
  </si>
  <si>
    <t>horas en un año</t>
  </si>
  <si>
    <t>Tarifa kWh</t>
  </si>
  <si>
    <t>USD</t>
  </si>
  <si>
    <t>USD/kWh (ajustable)</t>
  </si>
  <si>
    <t>Factor_prestaciones</t>
  </si>
  <si>
    <t>%</t>
  </si>
  <si>
    <t>30% sobre sueldos base</t>
  </si>
  <si>
    <t>Guardias_y_HE_%</t>
  </si>
  <si>
    <t>10% extra sobre sueldos (si aplica)</t>
  </si>
  <si>
    <t>MW_base</t>
  </si>
  <si>
    <t>MW para normalizar MXN/kW-mes</t>
  </si>
  <si>
    <t>KW a MW</t>
  </si>
  <si>
    <t>Conversion</t>
  </si>
  <si>
    <t>TC MXN/USD</t>
  </si>
  <si>
    <t>Métrica derivada</t>
  </si>
  <si>
    <t>Fórmula</t>
  </si>
  <si>
    <t>Resultado</t>
  </si>
  <si>
    <t>Facility_Load_MW</t>
  </si>
  <si>
    <t>Carga Total</t>
  </si>
  <si>
    <t>Consumo_kWh_año</t>
  </si>
  <si>
    <t>kWh</t>
  </si>
  <si>
    <t>Consumo anual en kWh</t>
  </si>
  <si>
    <t>Costo energia x kWh</t>
  </si>
  <si>
    <t>Costo_energía año</t>
  </si>
  <si>
    <t>CAPEX PROYECTO FDO</t>
  </si>
  <si>
    <t>Tipo de Cambio Mxn/USD</t>
  </si>
  <si>
    <t>Other Indirect</t>
  </si>
  <si>
    <t xml:space="preserve">Concepto </t>
  </si>
  <si>
    <t xml:space="preserve">Unidad </t>
  </si>
  <si>
    <t xml:space="preserve">Cantidad </t>
  </si>
  <si>
    <t>Precio Unitario USD</t>
  </si>
  <si>
    <t>Importe  USD</t>
  </si>
  <si>
    <t xml:space="preserve">Comentarios </t>
  </si>
  <si>
    <t xml:space="preserve">Bank comission </t>
  </si>
  <si>
    <t>Servicio</t>
  </si>
  <si>
    <t>TBD</t>
  </si>
  <si>
    <t>Legal</t>
  </si>
  <si>
    <t>Dependerá de si es un proyect Finance o no</t>
  </si>
  <si>
    <t xml:space="preserve">Subtotal </t>
  </si>
  <si>
    <t>EPC</t>
  </si>
  <si>
    <t>Ingenieria de detalle</t>
  </si>
  <si>
    <t>Servicios</t>
  </si>
  <si>
    <t>Ingenieria elabrada por el EPC.</t>
  </si>
  <si>
    <t xml:space="preserve">Refuerzos estructurales </t>
  </si>
  <si>
    <t>Lote y Servicios</t>
  </si>
  <si>
    <t>Por recibir análisis del proveedor y posteriormente se cotizará con EPC</t>
  </si>
  <si>
    <t>Estructura  para equipo Chiller  al lado del edificio</t>
  </si>
  <si>
    <t xml:space="preserve">Soportes para Chillers </t>
  </si>
  <si>
    <t>Demoliciones (Instalaciones)</t>
  </si>
  <si>
    <t>Demolición de paredes y gimnasio.</t>
  </si>
  <si>
    <t>Civil Planta Baja (Instalaciones)</t>
  </si>
  <si>
    <t>Adecuaciones para equipos criticos</t>
  </si>
  <si>
    <t>Civil Sotano (Instalaciones)</t>
  </si>
  <si>
    <t>Adecuaciones para transformador, plantas de emergencia, tanques de combustible (contencion antiderrames)</t>
  </si>
  <si>
    <t>Obra eléctrica MT (Instalaciones)</t>
  </si>
  <si>
    <t>Cableado de CFE a la subestacion, SW gear</t>
  </si>
  <si>
    <t>Obra eléctrica BT (Instalaciones)</t>
  </si>
  <si>
    <t>Cableado desde el transformador al SWgear, tierras, Iluminación</t>
  </si>
  <si>
    <t>Obra mecánica (Instalaciones)</t>
  </si>
  <si>
    <t>Ducterias, cabelados etc para llegar al MDC.</t>
  </si>
  <si>
    <t>Isonorizacion del cuarto plantas de emergencia (Suministro e  Instalaciones)</t>
  </si>
  <si>
    <t>Cajas acústicas para generadores</t>
  </si>
  <si>
    <t>Pruebas y puesta en marcha de equipos y sistemas</t>
  </si>
  <si>
    <t xml:space="preserve">Renta de equipos para pruebas </t>
  </si>
  <si>
    <t>MV Driescher (seccionador electrico)</t>
  </si>
  <si>
    <t>pza y servicios</t>
  </si>
  <si>
    <t>Subtestación hipercompacta</t>
  </si>
  <si>
    <t>MV Transformer 1.5 MVA</t>
  </si>
  <si>
    <t>Provision de transformador</t>
  </si>
  <si>
    <t xml:space="preserve">Generator 1250W, Escape exterior y tanque de diesel </t>
  </si>
  <si>
    <t xml:space="preserve">Para certificación se requeriran dos generadores </t>
  </si>
  <si>
    <t>LV Swithgear</t>
  </si>
  <si>
    <t>Función de ATS (autonatic trasnfer Switch)</t>
  </si>
  <si>
    <t>UPS IT 1000 kva GVX1000K1000NGS</t>
  </si>
  <si>
    <t>Baterias de litio y bypass de emparelamiento por capacidad</t>
  </si>
  <si>
    <t>PDUS 500KVA</t>
  </si>
  <si>
    <t>Incluidos en el MDC</t>
  </si>
  <si>
    <t>CRAH Inrow CW 12.5 TR</t>
  </si>
  <si>
    <t>CHILER WATER 340 TR</t>
  </si>
  <si>
    <t>Incluye deñositios de agua</t>
  </si>
  <si>
    <t>CDU 0750 MOTIVAIR</t>
  </si>
  <si>
    <t>servicios</t>
  </si>
  <si>
    <t>CRAH ELECTRIC ROOMS, 3TR.</t>
  </si>
  <si>
    <t>Cuarto de baterias, UPS, equipos, MMR.</t>
  </si>
  <si>
    <t>Equipo menor</t>
  </si>
  <si>
    <t>LV Panelboards, LV TRs, etc.</t>
  </si>
  <si>
    <t>Sistema de monitoreo de Infraestructura</t>
  </si>
  <si>
    <t>Cuarto Telecom MMR</t>
  </si>
  <si>
    <t>Se tendrá un solo cuarto de carriers (5 racks) + MMR (2 racks)</t>
  </si>
  <si>
    <t>CCTV</t>
  </si>
  <si>
    <t>Control de Acceso</t>
  </si>
  <si>
    <t>Vesda</t>
  </si>
  <si>
    <t>Sistema inteligente de deteccion de particulas en el sitio.</t>
  </si>
  <si>
    <t>Sistema detección y extinción  automático con Novec Áreas ( CPD Y UPS, A Y  B)</t>
  </si>
  <si>
    <t>Sistema detección y extinción por inundación (Cuartos eléctricos, subestaciones)</t>
  </si>
  <si>
    <t>Power (CFE)</t>
  </si>
  <si>
    <t>Línea eléctrica acometida (1.5 MW)</t>
  </si>
  <si>
    <t>Lote</t>
  </si>
  <si>
    <t>Cotización Gestor CFE (pendiente respuesta del gestor 10 Enero)</t>
  </si>
  <si>
    <t>Deposito en Garantia</t>
  </si>
  <si>
    <t>Cotización Gestor CFE (estimado dependiendo de la capacidad)</t>
  </si>
  <si>
    <t>MDC (DDC Solution)</t>
  </si>
  <si>
    <t xml:space="preserve">Equipo </t>
  </si>
  <si>
    <t>208v-45u, 36W mouting rails, Fire supresion, Spares, Maintenance, DCIM</t>
  </si>
  <si>
    <t>PDU´s (DDC Solution)</t>
  </si>
  <si>
    <t>RPDU, Monitired, Factiry Install</t>
  </si>
  <si>
    <t>Equipos de network (entre servidores))</t>
  </si>
  <si>
    <t>NVIDIA Quantum-2 NDR 400Gb/s, NVIDIA Quantum HDR 200Gb/s (40p QSFP56), NVIDIA ConnectX-7 200Gb/s, Transceiver QSFP56 200Gb/s SR4/DR4, Ethernet Switch</t>
  </si>
  <si>
    <t>Firewalls</t>
  </si>
  <si>
    <t>Equipos de network (Edge hacia Internet)</t>
  </si>
  <si>
    <t xml:space="preserve">Routers </t>
  </si>
  <si>
    <t xml:space="preserve">Servers </t>
  </si>
  <si>
    <t>Dell or Supermicro w/NVIDIA GB300</t>
  </si>
  <si>
    <t>Permits and Studies</t>
  </si>
  <si>
    <t>Almacenamento de Diesel</t>
  </si>
  <si>
    <t>Al parecer no se tien que ejercer oago salvo un tramite ante la delegacion.</t>
  </si>
  <si>
    <t>Analisis estructural</t>
  </si>
  <si>
    <t>Cotizacion inicial de Gayer</t>
  </si>
  <si>
    <t>INAH Feasibility</t>
  </si>
  <si>
    <t>Costo de referencia histórica incluye salvamento y protección</t>
  </si>
  <si>
    <t>Nota: El costo no considera el pago de mitigación de los temas ambientales. No se puede saber el costo hasta que la autoridad lo dictaminé. No esta en una partida.</t>
  </si>
  <si>
    <t>Project Development</t>
  </si>
  <si>
    <t>Bcysa Feasibility &amp; Development contract</t>
  </si>
  <si>
    <t>OT1 de factibilidad Bcysa (por confirmar con nuevo alcance de OT, sin Bloom)</t>
  </si>
  <si>
    <t>Bcysa Owners Engineer</t>
  </si>
  <si>
    <t>Supervisión de la construcción y puesta en marcha (porpuesta en elaboración de BSD, depende de ingeniería de detalle del EPC)</t>
  </si>
  <si>
    <t xml:space="preserve">Insurance </t>
  </si>
  <si>
    <t xml:space="preserve">Lote </t>
  </si>
  <si>
    <t>Pendiente enviar montos de equipo, para que Murguia estime costos de seguros (escritorio)</t>
  </si>
  <si>
    <t xml:space="preserve">Equipo y NOC/SOC </t>
  </si>
  <si>
    <t>Monto en cotización con Jorge Montero, se tomo estimado de Genesis.</t>
  </si>
  <si>
    <t>Social Responsability</t>
  </si>
  <si>
    <t xml:space="preserve">1% del total del Capex </t>
  </si>
  <si>
    <t>Contingencia</t>
  </si>
  <si>
    <t xml:space="preserve">Contingencia </t>
  </si>
  <si>
    <t>Total CAPEX</t>
  </si>
  <si>
    <t>Rubro</t>
  </si>
  <si>
    <t>Elemento / Área</t>
  </si>
  <si>
    <t>Equipo / Puesto</t>
  </si>
  <si>
    <t>Unidad</t>
  </si>
  <si>
    <t>Cantidad</t>
  </si>
  <si>
    <t>Costo Unitario (MXN/mes)</t>
  </si>
  <si>
    <t>MXN/mes</t>
  </si>
  <si>
    <t>MXN/año</t>
  </si>
  <si>
    <t>MXN/kW-mes</t>
  </si>
  <si>
    <t>Notas</t>
  </si>
  <si>
    <t>Resumen</t>
  </si>
  <si>
    <t>OPEX MXN/mes</t>
  </si>
  <si>
    <t>OPEX MXN/año</t>
  </si>
  <si>
    <t>OPEX USD/mes</t>
  </si>
  <si>
    <t>OPEX USD/año</t>
  </si>
  <si>
    <t>USD/kW-mes</t>
  </si>
  <si>
    <t>ENERGIA</t>
  </si>
  <si>
    <t>ENERGÍA</t>
  </si>
  <si>
    <t>Electricidad</t>
  </si>
  <si>
    <t>Energía total (IT 1MW, PUE 1.2)</t>
  </si>
  <si>
    <t>mes</t>
  </si>
  <si>
    <t>Costo mensual calculado en Inputs (energía).</t>
  </si>
  <si>
    <t>Gas</t>
  </si>
  <si>
    <t>Costo de gas natural, si aplica</t>
  </si>
  <si>
    <t>O&amp;M INFRA</t>
  </si>
  <si>
    <t>Energía crítica</t>
  </si>
  <si>
    <t>UPS (PM + refacciones)</t>
  </si>
  <si>
    <t>equipo</t>
  </si>
  <si>
    <t>Contrato anual prorrateado + refacciones menores.</t>
  </si>
  <si>
    <t>Baterías (pruebas + mantenimiento)</t>
  </si>
  <si>
    <t>banco</t>
  </si>
  <si>
    <t>Sin reemplazo mayor; considerar reserva de CAPEX por vida útil.</t>
  </si>
  <si>
    <t>Plantas de emergencia (PM)</t>
  </si>
  <si>
    <t>planta</t>
  </si>
  <si>
    <t>Incluye pruebas; excluye overhaul mayor.</t>
  </si>
  <si>
    <t>Combustible pruebas / logística</t>
  </si>
  <si>
    <t>Pruebas y reposición por ejercicios.</t>
  </si>
  <si>
    <t>Distribución</t>
  </si>
  <si>
    <t>Tableros/Interruptores (PM)</t>
  </si>
  <si>
    <t>sitio</t>
  </si>
  <si>
    <t>Termografía, torque, limpieza técnica.</t>
  </si>
  <si>
    <t>Enfriamiento</t>
  </si>
  <si>
    <t>Chillers/CDU/CRAH (PM + químicos)</t>
  </si>
  <si>
    <t>Incluye agua tratada/anticorrosivos si aplica.</t>
  </si>
  <si>
    <t>Bombas/valvulas/ductos (PM)</t>
  </si>
  <si>
    <t>Refacciones menores.</t>
  </si>
  <si>
    <t>Seguridad</t>
  </si>
  <si>
    <t>Sistema contra incendio (detección + supresión)</t>
  </si>
  <si>
    <t>Mantenimientos y recargas menores.</t>
  </si>
  <si>
    <t>Monitoreo</t>
  </si>
  <si>
    <t>BMS/EPMS (soporte + licencias)</t>
  </si>
  <si>
    <t>Sin NOC; solo plataforma y mantenimiento.</t>
  </si>
  <si>
    <t>Infraestructura</t>
  </si>
  <si>
    <t>Sistema de tierras / pararrayos (PM)</t>
  </si>
  <si>
    <t>Mediciones anuales prorrateadas.</t>
  </si>
  <si>
    <t>MDC</t>
  </si>
  <si>
    <t>Sellos / pasillos (mantenimiento)</t>
  </si>
  <si>
    <t>Ajustes y consumibles.</t>
  </si>
  <si>
    <t>PERSONAL</t>
  </si>
  <si>
    <t>PERSONAL FACILITIES</t>
  </si>
  <si>
    <t>Operación</t>
  </si>
  <si>
    <t>Técnico Facilities (turnos) - Sueldo base</t>
  </si>
  <si>
    <t>FTE</t>
  </si>
  <si>
    <t>Sueldo base mensual por FTE (editable).</t>
  </si>
  <si>
    <t>Técnico Facilities - Cargas (prestaciones + guardias)</t>
  </si>
  <si>
    <t>Se calcula sobre el sueldo base (Inputs).</t>
  </si>
  <si>
    <t>Gestión</t>
  </si>
  <si>
    <t>Facility Manager - Sueldo base</t>
  </si>
  <si>
    <t>Sueldo base mensual (editable).</t>
  </si>
  <si>
    <t>Facility Manager - Cargas (prestaciones + guardias)</t>
  </si>
  <si>
    <t>PERSONAL IT</t>
  </si>
  <si>
    <t>Network</t>
  </si>
  <si>
    <t>Ingeniero de Red - Sueldo base</t>
  </si>
  <si>
    <t>Operación LAN/DC fabric, FW, routing, interconexión.</t>
  </si>
  <si>
    <t>Ingeniero de Red - Cargas (prestaciones + guardias)</t>
  </si>
  <si>
    <t>Plataforma IA</t>
  </si>
  <si>
    <t>Sysadmin / Cluster Admin (Linux, Slurm/K8s)</t>
  </si>
  <si>
    <t>Operación de servidores IA/GB300, drivers, images, orchestration.</t>
  </si>
  <si>
    <t>Cluster Admin - Cargas (prestaciones + guardias)</t>
  </si>
  <si>
    <t>Soporte HW</t>
  </si>
  <si>
    <t>Técnico HW (hands-on) - Sueldo base</t>
  </si>
  <si>
    <t>Swap de partes, cableado, inventario, RMA.</t>
  </si>
  <si>
    <t>Técnico HW - Cargas (prestaciones + guardias)</t>
  </si>
  <si>
    <t>Soporte SOC externo (retainer) - opcional</t>
  </si>
  <si>
    <t xml:space="preserve">No es NOC; retainer mínimo para incident response. </t>
  </si>
  <si>
    <t>SERVICIOS</t>
  </si>
  <si>
    <t>Telecom</t>
  </si>
  <si>
    <t>Internet/Transit (2 enlaces 1xGB)</t>
  </si>
  <si>
    <t>enlace</t>
  </si>
  <si>
    <t>Por negociar</t>
  </si>
  <si>
    <t>Internet/Transit (2 enlaces 100xGB)</t>
  </si>
  <si>
    <t>Por negociar y homologar soluciones</t>
  </si>
  <si>
    <t>/25</t>
  </si>
  <si>
    <t>Seguridad física</t>
  </si>
  <si>
    <t>Guardias (24/7) + CCTV (OPEX)</t>
  </si>
  <si>
    <t>no contempla precio de guardias. Solo CCTV</t>
  </si>
  <si>
    <t>Limpieza</t>
  </si>
  <si>
    <t>Limpieza especializada DC</t>
  </si>
  <si>
    <t>Limpieza técnica. Lo realiza el personal de Facilities</t>
  </si>
  <si>
    <t>Seguros</t>
  </si>
  <si>
    <t xml:space="preserve">Seguro Propiedad (OEM+MDc)+ RC + Operación </t>
  </si>
  <si>
    <t>Prorrateo mensual; depende de sumas aseguradas.</t>
  </si>
  <si>
    <t>Consumibles</t>
  </si>
  <si>
    <t>PPE, herramientas, etiquetas, consumibles</t>
  </si>
  <si>
    <t>Consumibles de operación.</t>
  </si>
  <si>
    <t>SOPORTE OEM</t>
  </si>
  <si>
    <t>Servidores IA</t>
  </si>
  <si>
    <t>Soporte OEM GPU/Servidor (NBD/4h) - prorrateo</t>
  </si>
  <si>
    <t>Depende del contrato con Dell/OEM; ajustar a cotización.</t>
  </si>
  <si>
    <t>Reserva RMA/Partes críticas (fans, etc)</t>
  </si>
  <si>
    <t>Buffer de partes; puede ser inventario (CAPEX) o gasto.</t>
  </si>
  <si>
    <t>NOC</t>
  </si>
  <si>
    <t>2 enlaces de Internet empresarial / dedicado (backup + OOB). Troncales de voz / SIP / softphones</t>
  </si>
  <si>
    <t>Operador NOC (L1)</t>
  </si>
  <si>
    <t>24 * 7</t>
  </si>
  <si>
    <t>rotación 24/7 para 2 posiciones simultáneas</t>
  </si>
  <si>
    <t>Ingeniero L2</t>
  </si>
  <si>
    <t>FET</t>
  </si>
  <si>
    <t>mayor especialidad técnica</t>
  </si>
  <si>
    <t>Supervisor</t>
  </si>
  <si>
    <t>Gerente</t>
  </si>
  <si>
    <t>Liencias/ herramientas NOC</t>
  </si>
  <si>
    <t>Energia</t>
  </si>
  <si>
    <t>Renta mensual de energia</t>
  </si>
  <si>
    <t>Renta Espacio</t>
  </si>
  <si>
    <t>oficina</t>
  </si>
  <si>
    <t>Otros</t>
  </si>
  <si>
    <t>Personal, Admin, mobiliario</t>
  </si>
  <si>
    <t>mobiliario, Capacitacion</t>
  </si>
  <si>
    <t>TOTAL MXN</t>
  </si>
  <si>
    <t>TOTAL USD</t>
  </si>
  <si>
    <t>Capa</t>
  </si>
  <si>
    <t>Equipo</t>
  </si>
  <si>
    <t>Modelo / Especificación</t>
  </si>
  <si>
    <t>Costo Unitario USD</t>
  </si>
  <si>
    <t>Subtotal USD</t>
  </si>
  <si>
    <t>Tipo de Cambio</t>
  </si>
  <si>
    <t>Subtotal MXN</t>
  </si>
  <si>
    <t>Leaf (AI Fabric)</t>
  </si>
  <si>
    <t>InfiniBand Switch</t>
  </si>
  <si>
    <t>NVIDIA Quantum HDR 200Gb/s (40p QSFP56)</t>
  </si>
  <si>
    <t>Switch</t>
  </si>
  <si>
    <t>Leaf AI</t>
  </si>
  <si>
    <t>Spine (AI Fabric)</t>
  </si>
  <si>
    <t>NVIDIA Quantum-2 NDR 400Gb/s</t>
  </si>
  <si>
    <t>Spine central</t>
  </si>
  <si>
    <t>NIC GPU</t>
  </si>
  <si>
    <t>Adaptador de red</t>
  </si>
  <si>
    <t>NVIDIA ConnectX-7 200Gb/s</t>
  </si>
  <si>
    <t>NIC</t>
  </si>
  <si>
    <t>8 NICs por rack</t>
  </si>
  <si>
    <t>Optics</t>
  </si>
  <si>
    <t>Transceiver QSFP56</t>
  </si>
  <si>
    <t>200Gb/s SR4/DR4</t>
  </si>
  <si>
    <t>Fabric</t>
  </si>
  <si>
    <t>Cabling</t>
  </si>
  <si>
    <t>DAC / AOC</t>
  </si>
  <si>
    <t>200Gb/s</t>
  </si>
  <si>
    <t>Intra-rack</t>
  </si>
  <si>
    <t>Mgmt Network</t>
  </si>
  <si>
    <t>Ethernet Switch</t>
  </si>
  <si>
    <t>100GbE L3</t>
  </si>
  <si>
    <t>OOB / BMS</t>
  </si>
  <si>
    <t>TOTAL</t>
  </si>
  <si>
    <t>Concepto</t>
  </si>
  <si>
    <t>4× Routers WAN</t>
  </si>
  <si>
    <t>2× Firewalls</t>
  </si>
  <si>
    <t>Ópticos / X-connect</t>
  </si>
  <si>
    <t>Total Edge / Internet</t>
  </si>
  <si>
    <t>245,000 USD</t>
  </si>
  <si>
    <t>CPD para cargas de trabajo de IA de alta densidad.</t>
  </si>
  <si>
    <t>Infraestructura (Equipamiento)</t>
  </si>
  <si>
    <t>Servicios e Instalaciones</t>
  </si>
  <si>
    <t>Gran Total</t>
  </si>
  <si>
    <t>Centro de cómputo  TIER II (UPTIME) BCYSA-FERMACA</t>
  </si>
  <si>
    <t xml:space="preserve">Diseño </t>
  </si>
  <si>
    <t>U.M.</t>
  </si>
  <si>
    <t>P.U</t>
  </si>
  <si>
    <t>Precio Total</t>
  </si>
  <si>
    <t>Diseño conceptual</t>
  </si>
  <si>
    <t>Serv</t>
  </si>
  <si>
    <t xml:space="preserve">Ingenieria de Detalle </t>
  </si>
  <si>
    <t>Comisionamiento</t>
  </si>
  <si>
    <t>Equipo de pruebas CX</t>
  </si>
  <si>
    <t>RESUMEN, CDP TIER II, 1MW (PRECIO ALZADO)</t>
  </si>
  <si>
    <t>Builting Construction &amp; Fit Out</t>
  </si>
  <si>
    <t>Serv e Inst</t>
  </si>
  <si>
    <t>Lte</t>
  </si>
  <si>
    <t>Sistema Piso Falso (Suministro e Instalaciones)</t>
  </si>
  <si>
    <t>Isonorizacion del cuarto plantas y louvers (Suministro e  Instalaciones)</t>
  </si>
  <si>
    <t>Misión Critical Equipment (Suministros)</t>
  </si>
  <si>
    <t>Subtotal, USD</t>
  </si>
  <si>
    <t>Pza</t>
  </si>
  <si>
    <t>Equipo menor(LV Panelboards, LV TRs, etc)</t>
  </si>
  <si>
    <t>Special Systems (Suministros)</t>
  </si>
  <si>
    <t>CA</t>
  </si>
  <si>
    <t xml:space="preserve"> HYPER POD (Suministros)</t>
  </si>
  <si>
    <t xml:space="preserve">Pod (Racks, RPDUs Alta Densidad, Manifould, Tuberia de agua Helada, Escalerillas Voz y Datos, Electroducto, Confinamiento, CDUs, Inrows, PDUs) </t>
  </si>
  <si>
    <t>Preoperative cost (Instalaciones)</t>
  </si>
  <si>
    <t>Diesel</t>
  </si>
  <si>
    <t>Lts</t>
  </si>
  <si>
    <t>Limpieza fina</t>
  </si>
  <si>
    <t>Términos y condiciones  (IF)</t>
  </si>
  <si>
    <t xml:space="preserve">El ajuste de presupuesto se respetara siempre y cuando se cumplan los siguientes puntos, de los contrario se tendrá que reajustar conforme a las condiciones y ubicación final del terreno para el proyecto. </t>
  </si>
  <si>
    <t>Todos los tramites de adquisición y del terreno los realice BCYSA o el usuario final.</t>
  </si>
  <si>
    <t>Todos los permisos ante el Gobierno Mexicano para construcción los realice BCYSA o el usuario final.</t>
  </si>
  <si>
    <t>Se congele el Diseño Conceptual en 1 mes.</t>
  </si>
  <si>
    <t>Posterior a la aceptación del Diseño Conceptual,  no se realicen modificaciones de ningún tipo.</t>
  </si>
  <si>
    <t>Los tiempos de entrega del proyecto se respeten en cada una de las etapas.</t>
  </si>
  <si>
    <t>No exista cambio de marca de equipamiento en la etapa de Ingenieria de Detalle.</t>
  </si>
  <si>
    <t>Los requerimientos de seguridad e higiene sean flexibles y acordados por ATN y BCYSA.</t>
  </si>
  <si>
    <t>Se respete que el Diseño Conceptual y de Ingenieria de Detalle será únicamente para 1MW de TI del proyecto.</t>
  </si>
  <si>
    <t>Los tiempos de entrega de equipos especiales tales como generadores, chillers, ATS, etc. Comienzan a correr una vez entregada la OC y pago de anticipo correspondiente.</t>
  </si>
  <si>
    <t>Esta propuesta no contiene manifuls ni PDUs.  Estos se cotizaran una vez definidos los servidores y su distribucion en los racks por el usuario.</t>
  </si>
  <si>
    <t xml:space="preserve">El tiempo de implementacion del proyecto es de 14-16 meses. </t>
  </si>
  <si>
    <t xml:space="preserve">Esta propuesta no incluye inmobiliario de oficinas, etc. </t>
  </si>
  <si>
    <t xml:space="preserve">Para un requerimiento de Prefabricated Modular EcoStruxure™ Pod Data Center 1MW el tiempo de </t>
  </si>
  <si>
    <t>de entrega es de 12-14 meses. Las dimensiones del equipo pueden varear</t>
  </si>
  <si>
    <t>Acrónimo / Término</t>
  </si>
  <si>
    <t>Significado</t>
  </si>
  <si>
    <t>Explicación para terceros</t>
  </si>
  <si>
    <t>Full-Time Equivalent</t>
  </si>
  <si>
    <t>Unidad que representa a una persona trabajando tiempo completo. Se usa para normalizar costos de personal, incluso si hay turnos o personal parcial.</t>
  </si>
  <si>
    <t>Power Usage Effectiveness</t>
  </si>
  <si>
    <t>Indicador de eficiencia energética del data center. PUE = Energía total del sitio / Energía de TI. Un PUE de 1.2 indica alta eficiencia.</t>
  </si>
  <si>
    <t>PM</t>
  </si>
  <si>
    <t>Preventive Maintenance</t>
  </si>
  <si>
    <t>Mantenimiento preventivo programado para evitar fallas en equipos críticos como UPS, chillers, plantas eléctricas y sistemas contra incendio.</t>
  </si>
  <si>
    <t>OPEX</t>
  </si>
  <si>
    <t>Operating Expenditure</t>
  </si>
  <si>
    <t>Gastos operativos recurrentes necesarios para operar el data center (energía, personal, mantenimiento, servicios).</t>
  </si>
  <si>
    <t>CAPEX</t>
  </si>
  <si>
    <t>Capital Expenditure</t>
  </si>
  <si>
    <t>Inversión inicial en infraestructura, equipos y construcción del data center.</t>
  </si>
  <si>
    <t>UPS</t>
  </si>
  <si>
    <t>Uninterruptible Power Supply</t>
  </si>
  <si>
    <t>Sistema de respaldo eléctrico que mantiene energizados los equipos durante fallas o transiciones a plantas de emergencia.</t>
  </si>
  <si>
    <t>BMS</t>
  </si>
  <si>
    <t>Building Management System</t>
  </si>
  <si>
    <t>Plataforma de monitoreo y control de sistemas mecánicos y eléctricos del edificio.</t>
  </si>
  <si>
    <t>EPMS</t>
  </si>
  <si>
    <t>Electrical Power Monitoring System</t>
  </si>
  <si>
    <t>Sistema especializado para monitorear la distribución eléctrica y calidad de energía del data center.</t>
  </si>
  <si>
    <t>CRAH</t>
  </si>
  <si>
    <t>Computer Room Air Handler</t>
  </si>
  <si>
    <t>Equipo de enfriamiento que maneja aire frío en salas de servidores.</t>
  </si>
  <si>
    <t>CDU</t>
  </si>
  <si>
    <t>Coolant Distribution Unit</t>
  </si>
  <si>
    <t>Unidad de distribución de refrigerante, común en sistemas de liquid cooling para IA.</t>
  </si>
  <si>
    <t>Network Operations Center</t>
  </si>
  <si>
    <t>Centro de monitoreo 24/7 de redes y sistemas TI. En este modelo se asume que no existe NOC dedicado.</t>
  </si>
  <si>
    <t>Tier II</t>
  </si>
  <si>
    <t>Clasificación Uptime Institute</t>
  </si>
  <si>
    <t>Nivel de redundancia básica. No es concurrentemente mantenible, pero es adecuado para cargas no críticas o single-tenant.</t>
  </si>
  <si>
    <t>IA</t>
  </si>
  <si>
    <t>Inteligencia Artificial</t>
  </si>
  <si>
    <t>Cargas de cómputo intensivo (ej. GPUs NVIDIA GB300) que demandan alta densidad eléctrica y térmica.</t>
  </si>
  <si>
    <t>OEM</t>
  </si>
  <si>
    <t>Original Equipment Manufacturer</t>
  </si>
  <si>
    <t>Fabricante original del equipo (ej. Dell, NVIDIA). Proporciona soporte y garantías.</t>
  </si>
  <si>
    <t>RMA</t>
  </si>
  <si>
    <t>Return Material Authorization</t>
  </si>
  <si>
    <t>Proceso de devolución o reemplazo de hardware defectuoso bajo garantía.</t>
  </si>
  <si>
    <t>kW-mes</t>
  </si>
  <si>
    <t>Kilowatt por mes</t>
  </si>
  <si>
    <t>Métrica unitaria usada para comparar costos operativos por capacidad instalada.</t>
  </si>
  <si>
    <t>MW_Base</t>
  </si>
  <si>
    <t>1MW</t>
  </si>
  <si>
    <t>Capacidad de referencia (en megawatts) utilizada para normalizar los costos operativos del data center y expresarlos en métricas unitarias como MXN/kW-mes. No representa potencia adicional ni consumo real, sino una base matemática para análisis comparativo y escalabilidad del modelo.</t>
  </si>
  <si>
    <t>Cargos</t>
  </si>
  <si>
    <t>Unitario</t>
  </si>
  <si>
    <t>Anual</t>
  </si>
  <si>
    <t>Fijo</t>
  </si>
  <si>
    <t>Cargo de Capacidad</t>
  </si>
  <si>
    <t>MXN/kWh</t>
  </si>
  <si>
    <t>Variable</t>
  </si>
  <si>
    <t>Energía Asociada a la CAP</t>
  </si>
  <si>
    <t>Congestión</t>
  </si>
  <si>
    <t>Cargos Regulados y MEM</t>
  </si>
  <si>
    <t>Cargos CELs</t>
  </si>
  <si>
    <t>Total</t>
  </si>
  <si>
    <t>Costo All In Energia</t>
  </si>
  <si>
    <t>MXN</t>
  </si>
  <si>
    <t>Fijo / Variable</t>
  </si>
  <si>
    <t>Energía + Fijo Potencia + CEL</t>
  </si>
  <si>
    <t>Energía de Sobre Consumo</t>
  </si>
  <si>
    <t>$-</t>
  </si>
  <si>
    <t>Viajes</t>
  </si>
  <si>
    <t xml:space="preserve">Localidad </t>
  </si>
  <si>
    <t>Dias</t>
  </si>
  <si>
    <t>Monto total</t>
  </si>
  <si>
    <t>DDC Solutions (SDG)</t>
  </si>
  <si>
    <t>San Diego, Calif</t>
  </si>
  <si>
    <t xml:space="preserve">DDCSolutions </t>
  </si>
  <si>
    <t>Tijuana</t>
  </si>
  <si>
    <t>Subtotal</t>
  </si>
  <si>
    <t>Gestor CFE</t>
  </si>
  <si>
    <t>Personal</t>
  </si>
  <si>
    <t>Horas</t>
  </si>
  <si>
    <t>Costos Hora</t>
  </si>
  <si>
    <t>Costo Total</t>
  </si>
  <si>
    <t>Manuel Calvillo A</t>
  </si>
  <si>
    <t>Manuel calvillo G</t>
  </si>
  <si>
    <t>Santiago Miranada</t>
  </si>
  <si>
    <t>Mauricio Flores</t>
  </si>
  <si>
    <t>Gastos Notarios</t>
  </si>
  <si>
    <t>44,670.00</t>
  </si>
  <si>
    <t>Gastos Fsca</t>
  </si>
  <si>
    <t>Subtotal EPC</t>
  </si>
  <si>
    <t>NOC/SOC f</t>
  </si>
  <si>
    <t>Procura Fermaca f</t>
  </si>
  <si>
    <t>Special Systems f</t>
  </si>
  <si>
    <t>Procura Critical Equipment (EPC o BSD) f</t>
  </si>
  <si>
    <t>Sources</t>
  </si>
  <si>
    <t>Uses</t>
  </si>
  <si>
    <t>Descripción</t>
  </si>
  <si>
    <t>Cant.</t>
  </si>
  <si>
    <t>Tiempo de Entrega</t>
  </si>
  <si>
    <t>Precio Unit. USD</t>
  </si>
  <si>
    <t>Precio Total USD</t>
  </si>
  <si>
    <r>
      <t xml:space="preserve">Planta Modelo </t>
    </r>
    <r>
      <rPr>
        <b/>
        <sz val="11"/>
        <color theme="1"/>
        <rFont val="Arial"/>
        <family val="2"/>
        <charset val="1"/>
      </rPr>
      <t>230G3D0820C1250</t>
    </r>
  </si>
  <si>
    <t>45 a 60 días</t>
  </si>
  <si>
    <t>Interruptor Electromagnético de 1250 amp. a pie de generador</t>
  </si>
  <si>
    <t>Transferencia Dual Mutual de 1250 amp barras de carga de 2500 amp</t>
  </si>
  <si>
    <t>Caseta acústica bajo techo Nivel II (78 dBa @7m) NEMA 1A</t>
  </si>
  <si>
    <t>Resistencia de puesta a tierra</t>
  </si>
  <si>
    <t> </t>
  </si>
  <si>
    <t>PLANELEC</t>
  </si>
  <si>
    <t>Alcance</t>
  </si>
  <si>
    <t>Precio</t>
  </si>
  <si>
    <t>Motogenerador</t>
  </si>
  <si>
    <t>Incluido</t>
  </si>
  <si>
    <t>Sistema de escape</t>
  </si>
  <si>
    <t>Comisionamiento, arranque y puesta en marcha</t>
  </si>
  <si>
    <t>Contenedor 30’ para motogenerador modelo C27 de 680kW, nivel de ruido estimado: 85 dB a 7m. Tanque base para combustible, 5000 LT., construcción doble pared.</t>
  </si>
  <si>
    <t>Sistema de detección y supresión de incendio</t>
  </si>
  <si>
    <t>Capacitación en sitio, máx. 10 participantes, 5 días</t>
  </si>
  <si>
    <t>Pruebas FAT</t>
  </si>
  <si>
    <t>Pruebas SAT</t>
  </si>
  <si>
    <t>$ 622,622 USD</t>
  </si>
  <si>
    <t>MADISA</t>
  </si>
  <si>
    <r>
      <t>－</t>
    </r>
    <r>
      <rPr>
        <sz val="11"/>
        <color theme="1"/>
        <rFont val="Times New Roman"/>
        <family val="1"/>
        <charset val="1"/>
      </rPr>
      <t xml:space="preserve">   </t>
    </r>
    <r>
      <rPr>
        <sz val="11"/>
        <color theme="1"/>
        <rFont val="Arial"/>
        <family val="2"/>
        <charset val="1"/>
      </rPr>
      <t>Motogenerador CATERPILLAR modelo C27.</t>
    </r>
  </si>
  <si>
    <r>
      <t>－</t>
    </r>
    <r>
      <rPr>
        <sz val="11"/>
        <color theme="1"/>
        <rFont val="Times New Roman"/>
        <family val="1"/>
        <charset val="1"/>
      </rPr>
      <t xml:space="preserve">   </t>
    </r>
    <r>
      <rPr>
        <sz val="11"/>
        <color theme="1"/>
        <rFont val="Arial"/>
        <family val="2"/>
        <charset val="1"/>
      </rPr>
      <t>Potencia: 680 kWISO</t>
    </r>
  </si>
  <si>
    <r>
      <t>－</t>
    </r>
    <r>
      <rPr>
        <sz val="11"/>
        <color theme="1"/>
        <rFont val="Times New Roman"/>
        <family val="1"/>
        <charset val="1"/>
      </rPr>
      <t xml:space="preserve">   </t>
    </r>
    <r>
      <rPr>
        <sz val="11"/>
        <color theme="1"/>
        <rFont val="Arial"/>
        <family val="2"/>
        <charset val="1"/>
      </rPr>
      <t>Aplicación: Prime</t>
    </r>
  </si>
  <si>
    <r>
      <t>－</t>
    </r>
    <r>
      <rPr>
        <sz val="11"/>
        <color theme="1"/>
        <rFont val="Times New Roman"/>
        <family val="1"/>
        <charset val="1"/>
      </rPr>
      <t xml:space="preserve">   </t>
    </r>
    <r>
      <rPr>
        <sz val="11"/>
        <color theme="1"/>
        <rFont val="Arial"/>
        <family val="2"/>
        <charset val="1"/>
      </rPr>
      <t>Voltaje: 480V, frecuencia: 60 Hz,  F.P.: 0.8</t>
    </r>
  </si>
  <si>
    <r>
      <t>－</t>
    </r>
    <r>
      <rPr>
        <sz val="11"/>
        <color theme="1"/>
        <rFont val="Times New Roman"/>
        <family val="1"/>
        <charset val="1"/>
      </rPr>
      <t xml:space="preserve">   </t>
    </r>
    <r>
      <rPr>
        <sz val="11"/>
        <color theme="1"/>
        <rFont val="Arial"/>
        <family val="2"/>
        <charset val="1"/>
      </rPr>
      <t>Silenciador grado critico</t>
    </r>
  </si>
  <si>
    <r>
      <t>－</t>
    </r>
    <r>
      <rPr>
        <sz val="11"/>
        <color theme="1"/>
        <rFont val="Times New Roman"/>
        <family val="1"/>
        <charset val="1"/>
      </rPr>
      <t xml:space="preserve">   </t>
    </r>
    <r>
      <rPr>
        <sz val="11"/>
        <color theme="1"/>
        <rFont val="Arial"/>
        <family val="2"/>
        <charset val="1"/>
      </rPr>
      <t>Tablero de fuerza y control de transferencia transición cerrada 2500 amp, 480V.</t>
    </r>
  </si>
  <si>
    <t>1 PLY900</t>
  </si>
  <si>
    <t>Planta de emergencia Automática, marca</t>
  </si>
  <si>
    <t>Generac 900kW nominales, 480VAC 3F 4H,</t>
  </si>
  <si>
    <t>60Hz, P.F 0.8, controlador a pie de maquina</t>
  </si>
  <si>
    <t>DS7420, Planta modelo PLY900:</t>
  </si>
  <si>
    <t>Capacidad de Servicio Emergencia:</t>
  </si>
  <si>
    <t>- 914 kW / 1142 Kva</t>
  </si>
  <si>
    <t>Capacidad de Servicio Prime:</t>
  </si>
  <si>
    <t>- 813 kW / 1016 kVA</t>
  </si>
  <si>
    <t>-</t>
  </si>
  <si>
    <t>-POTENCIA EFECTIVA EN SITIO EN</t>
  </si>
  <si>
    <t>APLICACIÓN Prime: 600KW a 2240 msnm</t>
  </si>
  <si>
    <t>Velocidad Angular: 1,800 R.P.M</t>
  </si>
  <si>
    <t>-Motor: Perkins 4008-TAG2</t>
  </si>
  <si>
    <t>-Alternador Leroy Somer. TAL A49 D</t>
  </si>
  <si>
    <t>-Interruptor electromagnético fijo a pie de</t>
  </si>
  <si>
    <t>generador: 1600A con unidad de disparo LI</t>
  </si>
  <si>
    <t>-Base Tanque doble pared para una</t>
  </si>
  <si>
    <t>autonomía de 24 horas para para una carga de</t>
  </si>
  <si>
    <t>600kw en régimen PRP.</t>
  </si>
  <si>
    <t>-Caseta acústica en acero con un nivel de</t>
  </si>
  <si>
    <t>atenuación de 75dB a 7 mts +/- 2 dB, color</t>
  </si>
  <si>
    <t>Gris estándar de fábrica.</t>
  </si>
  <si>
    <r>
      <t>✓</t>
    </r>
    <r>
      <rPr>
        <sz val="8"/>
        <color rgb="FF000000"/>
        <rFont val="Arial"/>
        <charset val="1"/>
      </rPr>
      <t xml:space="preserve"> Precalentador de camisas.</t>
    </r>
  </si>
  <si>
    <r>
      <t>✓</t>
    </r>
    <r>
      <rPr>
        <sz val="8"/>
        <color rgb="FF000000"/>
        <rFont val="Arial"/>
        <charset val="1"/>
      </rPr>
      <t xml:space="preserve"> Silenciador.</t>
    </r>
  </si>
  <si>
    <r>
      <t>✓</t>
    </r>
    <r>
      <rPr>
        <sz val="8"/>
        <color rgb="FF000000"/>
        <rFont val="Arial"/>
        <charset val="1"/>
      </rPr>
      <t xml:space="preserve"> Batería de arranque.</t>
    </r>
  </si>
  <si>
    <r>
      <t>✓</t>
    </r>
    <r>
      <rPr>
        <sz val="8"/>
        <color rgb="FF000000"/>
        <rFont val="Arial"/>
        <charset val="1"/>
      </rPr>
      <t xml:space="preserve"> Vibroaisladores de resorte</t>
    </r>
  </si>
  <si>
    <r>
      <t>✓</t>
    </r>
    <r>
      <rPr>
        <sz val="8"/>
        <color rgb="FF000000"/>
        <rFont val="Arial"/>
        <charset val="1"/>
      </rPr>
      <t xml:space="preserve"> Tarjeta de comunicación</t>
    </r>
  </si>
  <si>
    <t>SMNP_DS892</t>
  </si>
  <si>
    <r>
      <t>✓</t>
    </r>
    <r>
      <rPr>
        <sz val="8"/>
        <color rgb="FF000000"/>
        <rFont val="Arial"/>
        <charset val="1"/>
      </rPr>
      <t xml:space="preserve"> Tarjetas de salidas Digitales 8</t>
    </r>
  </si>
  <si>
    <r>
      <t>✓</t>
    </r>
    <r>
      <rPr>
        <sz val="8"/>
        <color rgb="FF000000"/>
        <rFont val="Arial"/>
        <charset val="1"/>
      </rPr>
      <t xml:space="preserve"> Manual del equipo en USB.</t>
    </r>
  </si>
  <si>
    <r>
      <t>✓</t>
    </r>
    <r>
      <rPr>
        <sz val="8"/>
        <color rgb="FF000000"/>
        <rFont val="Arial"/>
        <charset val="1"/>
      </rPr>
      <t xml:space="preserve"> </t>
    </r>
    <r>
      <rPr>
        <b/>
        <i/>
        <sz val="8"/>
        <color rgb="FF000000"/>
        <rFont val="Arial"/>
        <charset val="1"/>
      </rPr>
      <t>Resistencia puesta a tierra.</t>
    </r>
  </si>
  <si>
    <t>-Entrega: EXW Nuestra Fabrica ubicada en</t>
  </si>
  <si>
    <t>Villa de Tezontepec de Aldana, en el estado de</t>
  </si>
  <si>
    <t>HGO, Parque Industrial Platah.</t>
  </si>
  <si>
    <t>2 ATS</t>
  </si>
  <si>
    <t>-Tablero de transferencia en transición abierta,</t>
  </si>
  <si>
    <t>NEMA 1, 1600A, 480V, 3F, 60Hz. Con 2</t>
  </si>
  <si>
    <t>interruptores electromagnéticos fijos de 1600A</t>
  </si>
  <si>
    <t>con unidad de disparo LI.</t>
  </si>
  <si>
    <t>CANT. UNIDAD</t>
  </si>
  <si>
    <t>Precio Unitario</t>
  </si>
  <si>
    <t xml:space="preserve"> DESCRIPCIÓN  </t>
  </si>
  <si>
    <t>GENERAC</t>
  </si>
  <si>
    <t>Pruebas FAT 2/hrs, de acuerdo con el</t>
  </si>
  <si>
    <t>protocolo estándar Generado Por Generac.</t>
  </si>
  <si>
    <r>
      <t xml:space="preserve">Dos equipos. </t>
    </r>
    <r>
      <rPr>
        <b/>
        <sz val="8"/>
        <color rgb="FF000000"/>
        <rFont val="Arial"/>
        <charset val="1"/>
      </rPr>
      <t>Lte PZA</t>
    </r>
  </si>
  <si>
    <t>Dos equipos</t>
  </si>
  <si>
    <t xml:space="preserve"> DESCRIPCIÓN </t>
  </si>
  <si>
    <t xml:space="preserve">CANT. </t>
  </si>
  <si>
    <t xml:space="preserve"> Precio Unitario</t>
  </si>
  <si>
    <t>Puesta en marcha y Comisisonamiento</t>
  </si>
  <si>
    <t>Puesta en marcha y Comisisonamiento por 1 Semana.</t>
  </si>
  <si>
    <t>De acuerdo con el protocolo de prueba estándar generado por Generac.</t>
  </si>
  <si>
    <t>Description</t>
  </si>
  <si>
    <t>Non Fineaceable CAPEX</t>
  </si>
  <si>
    <t>CFE quote for capacity increase</t>
  </si>
  <si>
    <t>BCYSA Quote</t>
  </si>
  <si>
    <t>Contingency</t>
  </si>
  <si>
    <t>Fermaca Equity</t>
  </si>
  <si>
    <t>New Investor Equity</t>
  </si>
  <si>
    <t>Ammount</t>
  </si>
  <si>
    <t>EPC Financing</t>
  </si>
  <si>
    <t>Total Sources</t>
  </si>
  <si>
    <t>Total Uses</t>
  </si>
  <si>
    <t>Equity from within</t>
  </si>
  <si>
    <t>New Investor needs</t>
  </si>
  <si>
    <t>10% EPC financing</t>
  </si>
  <si>
    <t>Local permits and structural studies</t>
  </si>
  <si>
    <t>Construction reserve account</t>
  </si>
  <si>
    <t>7% contigency</t>
  </si>
  <si>
    <t xml:space="preserve"> </t>
  </si>
  <si>
    <t>DSRA</t>
  </si>
  <si>
    <t>PMT</t>
  </si>
  <si>
    <t>months</t>
  </si>
  <si>
    <t>Concept</t>
  </si>
  <si>
    <t>Unit</t>
  </si>
  <si>
    <t>Metric</t>
  </si>
  <si>
    <t>DSCA of 3 months</t>
  </si>
  <si>
    <t>Personel</t>
  </si>
  <si>
    <t>Mid level electrician</t>
  </si>
  <si>
    <t>Can cross train into DC operations</t>
  </si>
  <si>
    <t>12hrs shift or on call</t>
  </si>
  <si>
    <t>On call bonus</t>
  </si>
  <si>
    <t>Third party electrical contact or contractor in case our 2 engineers are not available</t>
  </si>
  <si>
    <t>DDC and HH Support tickets</t>
  </si>
  <si>
    <t>Data Center Operations Personnel</t>
  </si>
  <si>
    <t>Try to get them on in construction so they really soak in the information</t>
  </si>
  <si>
    <t>Data Center Network Engineer</t>
  </si>
  <si>
    <t>Upstream electrical (CFE)</t>
  </si>
  <si>
    <t>inspection each year</t>
  </si>
  <si>
    <t>Maintanance Every three years</t>
  </si>
  <si>
    <t>Plan for security within the building for offtakers</t>
  </si>
  <si>
    <t xml:space="preserve">Use DDC system - NOC might be over doing it </t>
  </si>
  <si>
    <t>Use DCIM for DDC</t>
  </si>
  <si>
    <t>HH has a support channel for technical stuff - HH helps us understand our devices as best as possible</t>
  </si>
  <si>
    <t xml:space="preserve">Tim, Miky and Bojan for ongoing brokkr and platform support. </t>
  </si>
  <si>
    <t>Detailed Engineering and FEED</t>
  </si>
  <si>
    <t>WSP proposal.</t>
  </si>
  <si>
    <t>Regulada</t>
  </si>
  <si>
    <t>Negociable</t>
  </si>
  <si>
    <t>Capacidad</t>
  </si>
  <si>
    <t>Regulados y Negociables</t>
  </si>
  <si>
    <t>Master Electrician</t>
  </si>
  <si>
    <t>USD/año</t>
  </si>
  <si>
    <t>Mid Level Electricians</t>
  </si>
  <si>
    <t>Network Engineers</t>
  </si>
  <si>
    <t>O&amp;M Segment</t>
  </si>
  <si>
    <t>Energy</t>
  </si>
  <si>
    <t>O&amp;M Infra</t>
  </si>
  <si>
    <t>Personnel</t>
  </si>
  <si>
    <t>PERSONNEL</t>
  </si>
  <si>
    <t>OEM Support</t>
  </si>
  <si>
    <t>Annual Expense</t>
  </si>
  <si>
    <t>Proovedor</t>
  </si>
  <si>
    <t>Item</t>
  </si>
  <si>
    <t>Comentario</t>
  </si>
  <si>
    <t>FSCA</t>
  </si>
  <si>
    <t xml:space="preserve">Contabilidad, RH, CPP, CPC, etc. </t>
  </si>
  <si>
    <t>O&amp;M NOC</t>
  </si>
  <si>
    <t>Murguia</t>
  </si>
  <si>
    <t>Seguro operativo</t>
  </si>
  <si>
    <t>Seguro de los equipos, edificos, responsabilidad civil</t>
  </si>
  <si>
    <t>Costo Anual USD</t>
  </si>
  <si>
    <t>Hydra Host</t>
  </si>
  <si>
    <t>Brokkr Platform</t>
  </si>
  <si>
    <t>Bare Metal Platform</t>
  </si>
  <si>
    <t>FSCA (Back Office)</t>
  </si>
  <si>
    <t>Back Office</t>
  </si>
  <si>
    <t>Admin</t>
  </si>
  <si>
    <t>Sueldo base mensual contemplando costo total de la compañía</t>
  </si>
  <si>
    <t>CATALOGO DE EQUIPOS PRINCIPALES</t>
  </si>
  <si>
    <t>PROYECTO</t>
  </si>
  <si>
    <t>Data Center 1MW IT en el edificio de Fermaca</t>
  </si>
  <si>
    <t>DESCRIPCIÓN</t>
  </si>
  <si>
    <t>UNIDAD</t>
  </si>
  <si>
    <t>CANTIDAD</t>
  </si>
  <si>
    <t>Precio Promedio*</t>
  </si>
  <si>
    <t>SUMINISTRO E INSTALACION DE EQUIPOS PRICIPALES</t>
  </si>
  <si>
    <t>SISTEMA DE GENERACIÓN DE RESPALDO (GENERADORES)</t>
  </si>
  <si>
    <t xml:space="preserve">SUMINISTRO E INSTALACIÓN GENERADOR DE EMERGENCIA IMPULSADO CON MOTOR A DIESEL CAPACIDAD 600 KW/750KVA, EN PRIME PARA USO EN DATA CENTER ,F.P. 0.8 TENSIÓN DE SALIDA 480V, 60 HZ, VELOCIDAD 1800 RPM, CON INTERRUPTOR ELECTROMAGNÉTICO PARA GENERADOR A PIE DE EQUIPO DE 1500A DE MARCO, INCLUYE PANEL DE CONTROL DEL GRUPO ELECTRÓGENO MONTADO EN CUBÍCULO DE ACERO PINTADO, DE ACUERDO CON LOS ESTÁNDARES DE FÁBRICA, ADECUADO PARA ARRANQUE / PARADA, OPERACIÓN DE FALLA DE RED TOTALMENTE AUTOMÁTICA, EL PANEL SE INSTALARÁ EN EL CONTENEDOR AL LADO DEL GENERADOR DIÉSEL, CONTENEDOR INSONORO HC ISO DE 40 PIES ADECUADO PARA INSTALACIÓN EN EXTERIORES PROVISTO DE VENTILACIÓN EN SISTEMA DE SALIDA, SISTEMA DE ESCAPE. NIVEL SONORO MÁXIMO APROX. 84 DB (A) +/- 2 DB A 1 METRO (CONDICIONES AL INTERIOR DE EDIFCIOS) CON CONTENEDOR DE DIÉSEL INCORPORADO A LA CABINA, TIPO SUBBASE DE DOBLE PARED PARA SUMINISTRO DE 24 HRS. Y BANCO DE RESISTESTENCIA LIMITADORA EN NEUTRO. </t>
  </si>
  <si>
    <t>PZA</t>
  </si>
  <si>
    <t xml:space="preserve">INTERRUPTOR DE TRANSFERENCIA AUTOMÁTICA (ATS) </t>
  </si>
  <si>
    <t xml:space="preserve">SUMINISTRO E INSTALACIÓN DE TRANSFERENCIA AUTOMÁTICA, CONFORMADO POR UN CONTACTO PRINCIPAL, SEGUIDO POR RECEPCIÓN DE ACOMETIDA PRINCIPAL Y DOS (2)  BUSES PARA CADA GENERADOR, CAPACIDAD EN BARRAS PARA 2500A,  TENSIÓN DE OPERACIÓN 480V, 60 HZ, CON CELDAS DE PROTECCIÓN EN CADA BUS A TRAVÉS DE INTERRUPTORES ELECTROMAGNÉTICO PARA CADA BUS DE 2500A DE MARCO, INCLUYE PANEL DE CONTROL DE LA TRANSFERENCIA, TABLERO AUTO SOPORTADO, PINTADO, DE ACUERDO CON LOS ESTÁNDARES DE FÁBRICA, CON MODOS DE OPERACIÓN MANUAL, NO AUTOMÁTICO Y AUTOMÁTICO. CON JUEGO DE ZAPATAS MECÁNICAS. ASISTENCIA TÉCNICA PARA INSTALACIÓN, PRE-ARRANQUE Y PUESTA EN MARCHA.
CAPACITACIÓN PARA OPERACIÓN Y MANTENIMIENTO </t>
  </si>
  <si>
    <t>TRANSFORMADOR PRINCIPAL</t>
  </si>
  <si>
    <t>TRANSFORMADOR DE POTENCIA DE MEDIA, TENSIÓN CAPACIDAD 1500 KVA, DEVANADOS DE COBRE, CONEXIÓN DELTA ESTRELLA, ELEVACIÓN. DE TEMPERATURA 80-115¬C RELACIÓN 23 KV - 0.48 KV, ENFRIAMIENTO AN, TIPO SECO EN RESINA EPÓXICA. ASISTENCIA TÉCNICA PARA INSTALACIÓN, PRE-ARRANQUE Y PUESTA EN MARCHA.
CAPACITACIÓN PARA OPERACIÓN Y MANTENIMIENTO</t>
  </si>
  <si>
    <t xml:space="preserve">UPS </t>
  </si>
  <si>
    <t>SUMINISTRO E INSTALACIÓN DE UPS9000 DE 1250KVA EN CONFIGURACION MMS, 480V DE ENTRADA, 480V DE SALIDA, 3F-3H+T, 60Hz, INCLUYE TARJETA DE COMUNICACIÓN IS-UNITY-DP. ASISTENCIA TÉCNICA PARA INSTALACIÓN, PRE-ARRANQUE Y PUESTA EN MARCHA.
CAPACITACIÓN PARA OPERACIÓN Y MANTENIMIENTO</t>
  </si>
  <si>
    <t>BANCO DE BATERÍAS</t>
  </si>
  <si>
    <t>SUMINISTRO E INSTALACIÓN SISTEMA DE BATERIAS DE LITIO ENERGY CORE LI5, CADA SISTEMA ESTA FORMADO POR 7 BANCOS DE BATERIAS PARA RESPALDAR UNA CARGA DE 1187KW DURANTE 9.8 MINUTOS, CADA BANCO CUENTA CON SU DESCONECTADOR Y BMS. ASISTENCIA TÉCNICA PARA INSTALACIÓN, PRE-ARRANQUE Y PUESTA EN MARCHA.
CAPACITACIÓN PARA OPERACIÓN Y MANTENIMIENTO</t>
  </si>
  <si>
    <t>TABLERO DE MEDIA TENSIÓN</t>
  </si>
  <si>
    <t>SUMINISTRO E INSTALACIÓN TABLERO DE MEDIA TENSIÓN TIPO METAL CLAD, CLASE 25 KV, 60HZ, CON INTERRUPTORES DE POTENCIA EN VACÍO, INCLUYE RELEVADORES DE
PROTECCIÓN Y MEDIDOR MULTIFUNCIÓN 
UNO (1) INTERRUPTORES DE POTENCIA EN VACIO PRINCIPAL PARA ACOMETIDA 
UNO (1) JUEGO DE CUCHILLAS DESCONECTADORAS ASISTENCIA TÉCNICA PARA INSTALACIÓN, PRE-ARRANQUE Y PUESTA EN MARCHA.
CAPACITACIÓN PARA OPERACIÓN Y MANTENIMIENTO</t>
  </si>
  <si>
    <t>SWITCHGEAR</t>
  </si>
  <si>
    <t>SUMINISTRO TABLERO DE BAJA TENSIÓN TIPO SWITCHGEAR, GABINETE NEMA 1A, TENSIÓN 480 V, 3 F, 3 H, 60 HZ, COMPUESTO POR: 
UNO (1) INTERRUPTOR ELECTROMAGNÉTICO PRINCIPALES PARA ACOMETIDA DE 2000 A, 65 KA, FUNCIONES DE PROTECCIÓN 50/51, 59, 25, 27, 86, (5)TP´S REL. 480 / 120 V, 1.2Z, (3) TC´S REL. 5000/5 PRECISIÓN C400 PARA PROTECCIÓN, (3) TC´S REL. 5000/5 PRECISIÓN 0.3B 0.1-01.8 PARA MEDICIÓN(A, V, KW, KWH, VAR, FP, THD) 
OCHO (8) INTERRUPTORES ELECTROMAGNÉTICOS 500 A, 65 KA, FUNCIONES DE PROTECCIÓN 50/51, 59, 25, 27, 86. 
(8) TP´S REL. 480 / 120 V, (8) TC´S REL. 2000/5 PRECISIÓN C400 PARA PROTECCIÓN, (8) TC´S REL. 2000/5 PRECISIÓN 0.4B0.4 PARA MEDICIÓN 
(A, V, KW, KWH, VAR, FP, THD) 
CUATRO (4) INTERRUPTORES ELECTROMAGNÉTICOS 400 A, 65 KA, FUNCIONES DE PROTECCIÓN 50/51, 59, 25, 27, 86. 
(8) TP´S REL. 480 / 120 V, (8) TC´S REL. 2000/5 PRECISIÓN C400 PARA PROTECCIÓN, (8) TC´S REL. 2000/5 PRECISIÓN 0.4B0.4 PARA MEDICIÓN 
(A, V, KW, KWH, VAR, FP, THD)
ASISTENCIA TÉCNICA PARA INSTALACIÓN, PRE-ARRANQUE Y PUESTA EN MARCHA.
CAPACITACIÓN PARA OPERACIÓN Y MANTENIMIENTO</t>
  </si>
  <si>
    <t>SISTEMA DE REFRIGERACIÓN PARA LOS GABINETES MODULARES TIPO CONTENEDOR (CHILLERS)</t>
  </si>
  <si>
    <t>SUMINISTRO E INSTALACIÓN DE CHILLERS PARA EL CIRCUITO DE ENFRIAMIENTO, HACIA LOS GABINETES MODULARES TIPO CONTENEDOR TIENEN UN COMPARTIMIENTO EN LA PARTE SUPERIOR DONDE ESTÁ ALOJADO EL INTERCAMBIADOR DE CALOR CON UNA POTENCIA ELÉCTRICA NOMINAL DE 10 KW CADA UNO PARA ABATIR LA CARGA TÉRMICA GENERADA POR LOS SERVIDORES, LOS CUALES PRESENTAN UNA CARGA ELÉCTRICA DE 58 KW, LA CAPACIDAD DEL CHILLER DEBEERÁ DE SER APRXIMADAMENTE DE 400 TR.
ASISTENCIA TÉCNICA PARA INSTALACIÓN, PRE-ARRANQUE Y PUESTA EN MARCHA.
CAPACITACIÓN PARA OPERACIÓN Y MANTENIMIENTO</t>
  </si>
  <si>
    <t>LOTE</t>
  </si>
  <si>
    <t>BOMBAS DE AGUA HELADA (DE SER NECESARIO): BANCOS DE BOMBAS PRIMARIAS Y SECUNDARIAS EN CONFIGURACIÓN REDUNDANTE (N+1), CON VARIADORES DE FRECUENCIA, TABLEROS DE CONTROL Y ACCESORIOS HIDRÁULICOS</t>
  </si>
  <si>
    <t>DEPÓSITO DE AGUA HELADA (DE SER NECESARIO): TANQUE AISLADO DE CAPACIDAD SUFICIENTE PARA GARANTIZAR 10 MINUTOS DE AUTONOMÍA EN CASO DE INDISPONIBILIDAD TEMPORAL DE LOS CHILLERS.</t>
  </si>
  <si>
    <t>TELECOM</t>
  </si>
  <si>
    <t>SUMINISTRO E INSTALACIÓN DE SISTEMA DE CCTV INCLUYE CÁMARAS, EQUIPO DE GRABACIÓN, MONITOREO Y ALMACENAMIENTO.</t>
  </si>
  <si>
    <t>SUMINISTRO E INSTALACIÓN DEL SISTEMA DE VOZ Y DATOS, INCLUYE SWITCHES, ROUTERS, FIREWALLS, EQUIPO DE TELEFÓNIA.</t>
  </si>
  <si>
    <t>SUMINISTRO E INSTACIÓN DEL SISTEMA DE CONTROL DE ACCESO INCLUYE EQUIPO DE ADMINISTRACIÓN, CONTROLADORES DE PUERTAS, LECTORES DE TARJETAS DOBLE AUTENTIFICACIÓN Y ACCESORIOS.</t>
  </si>
  <si>
    <t>SUNINISTRO E INSTALCION DE CABLEADO ESTRUCTURADO INCLUYE ACCESORIOS Y CANALIZACIONES.</t>
  </si>
  <si>
    <t>SUMINISTRO, INSTALACIÓN Y PREPARACIÓN PARA LA CONCENTRACIÓN DE SEÑALES HACIA EL BMS / DCIM.</t>
  </si>
  <si>
    <t>SEGURIDAD</t>
  </si>
  <si>
    <t>SUMINISTRO E INSTALACIÓN DEL SISTEMA DE SUPRESIÓN TIPO FLUORO K., INCLUYE ASISTENCIA TÉCNICA PARA INSTALACIÓN, PRE-ARRANQUE Y PUESTA EN MARCHA.
CAPACITACIÓN PARA OPERACIÓN Y MANTENIMIENTO</t>
  </si>
  <si>
    <t>SUMINISTRO E INSTALACIÓN DEL SISTEMA DE DETECCIÓN (CONVENCIONAL), ALARMAS, ESTACIONES MANUALES, EXTINTORES Y LETREROS DE SEÑALIZACIÓN.</t>
  </si>
  <si>
    <t>MDC (Gabinetes)</t>
  </si>
  <si>
    <t>415v - 52U, 36W, up to 85kw air with mounting rails </t>
  </si>
  <si>
    <t>Brass Plumbing Kit </t>
  </si>
  <si>
    <t>DCIM Analytics Controller </t>
  </si>
  <si>
    <t>DCIM License per cabinet per year </t>
  </si>
  <si>
    <t>DCIM Software Training </t>
  </si>
  <si>
    <t>Fire Suppression </t>
  </si>
  <si>
    <t>Preventative Maintenance per year </t>
  </si>
  <si>
    <t>S-Line Series Implementation &amp; Commissioning </t>
  </si>
  <si>
    <t>Spares Kit - Rosenberg </t>
  </si>
  <si>
    <t>Technical Site Services </t>
  </si>
  <si>
    <t>72 Nodes 576 GPUs B300</t>
  </si>
  <si>
    <t>Ultima cotizacion de SMCi</t>
  </si>
  <si>
    <t>* precios de promedio de EPC´s</t>
  </si>
  <si>
    <t>Aux DC CAPEX</t>
  </si>
  <si>
    <t>Engineering</t>
  </si>
  <si>
    <t>Construction</t>
  </si>
  <si>
    <t>CFE Commitments</t>
  </si>
  <si>
    <t>Trabajos Gestor</t>
  </si>
  <si>
    <t>FDO Construction</t>
  </si>
  <si>
    <t>Commissioning</t>
  </si>
  <si>
    <t>Tests</t>
  </si>
  <si>
    <t>GPUs</t>
  </si>
  <si>
    <t>AUXILIARY CAPEX</t>
  </si>
  <si>
    <t>Cooling, electrical, plumbing, telecom, etc.</t>
  </si>
  <si>
    <t>Procura y Obra Gestor</t>
  </si>
  <si>
    <t>Dell or Supermicro w/NVIDIA B300 (HPC Compute)</t>
  </si>
  <si>
    <t>Project development, engineering, construction, non detachable</t>
  </si>
  <si>
    <t>LTV GPUs</t>
  </si>
  <si>
    <t>I/Y GPUs</t>
  </si>
  <si>
    <t xml:space="preserve">Tenor GPUs </t>
  </si>
  <si>
    <t>Monthly payment GPUs</t>
  </si>
  <si>
    <t>LTV DC CAPEX</t>
  </si>
  <si>
    <t>I/Y DC CAPEX</t>
  </si>
  <si>
    <t>Tenor DC CAPEX</t>
  </si>
  <si>
    <t>Monthly payment DC CAPEX</t>
  </si>
  <si>
    <t>Debt Financing GPUs</t>
  </si>
  <si>
    <t>Financing ammount for GPUs</t>
  </si>
  <si>
    <t>Debt Financing DC CAPEX</t>
  </si>
  <si>
    <t>Financing ammount for DC CAPEX</t>
  </si>
  <si>
    <t>yrs</t>
  </si>
  <si>
    <t>DDC (Gabinetes)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</si>
</sst>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7" formatCode="&quot;$&quot;#,##0.00;\-&quot;$&quot;#,##0.00"/>
    <numFmt numFmtId="8" formatCode="&quot;$&quot;#,##0.00;[Red]\-&quot;$&quot;#,##0.00"/>
    <numFmt numFmtId="41" formatCode="_-* #,##0_-;\-* #,##0_-;_-* &quot;-&quot;_-;_-@_-"/>
    <numFmt numFmtId="44" formatCode="_-&quot;$&quot;* #,##0.00_-;\-&quot;$&quot;* #,##0.00_-;_-&quot;$&quot;* &quot;-&quot;??_-;_-@_-"/>
    <numFmt numFmtId="43" formatCode="_-* #,##0.00_-;\-* #,##0.00_-;_-* &quot;-&quot;??_-;_-@_-"/>
    <numFmt numFmtId="164" formatCode="_-[$$-80A]* #,##0.00_-;\-[$$-80A]* #,##0.00_-;_-[$$-80A]* &quot;-&quot;??_-;_-@_-"/>
    <numFmt numFmtId="165" formatCode="_-&quot;$&quot;* #,##0_-;\-&quot;$&quot;* #,##0_-;_-&quot;$&quot;* &quot;-&quot;??_-;_-@_-"/>
    <numFmt numFmtId="166" formatCode="#,##0_ ;\-#,##0\ "/>
    <numFmt numFmtId="167" formatCode="_-* #,##0_-;\-* #,##0_-;_-* &quot;-&quot;??_-;_-@_-"/>
    <numFmt numFmtId="168" formatCode="0.0"/>
    <numFmt numFmtId="169" formatCode="&quot;$&quot;#,##0.000;[Red]\-&quot;$&quot;#,##0.000"/>
    <numFmt numFmtId="170" formatCode="_-[$$-409]* #,##0.00_ ;_-[$$-409]* \-#,##0.00\ ;_-[$$-409]* &quot;-&quot;??_ ;_-@_ "/>
    <numFmt numFmtId="171" formatCode="0.0%"/>
  </numFmts>
  <fonts count="65" x14ac:knownFonts="1">
    <font>
      <sz val="11"/>
      <color theme="1"/>
      <name val="Calibri"/>
      <family val="2"/>
      <scheme val="minor"/>
    </font>
    <font>
      <b/>
      <sz val="11"/>
      <color rgb="FFFFFFFF"/>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sz val="12"/>
      <color rgb="FF3F3F76"/>
      <name val="Calibri"/>
      <family val="2"/>
      <scheme val="minor"/>
    </font>
    <font>
      <sz val="12"/>
      <color rgb="FFFF0000"/>
      <name val="Calibri"/>
      <family val="2"/>
      <scheme val="minor"/>
    </font>
    <font>
      <sz val="10"/>
      <name val="Arial"/>
      <family val="2"/>
    </font>
    <font>
      <b/>
      <sz val="12"/>
      <name val="Arial"/>
      <family val="2"/>
    </font>
    <font>
      <b/>
      <sz val="10"/>
      <name val="Arial"/>
      <family val="2"/>
    </font>
    <font>
      <sz val="11"/>
      <color indexed="8"/>
      <name val="Arial"/>
      <family val="2"/>
    </font>
    <font>
      <b/>
      <sz val="11"/>
      <color rgb="FF00B050"/>
      <name val="Arial"/>
      <family val="2"/>
    </font>
    <font>
      <b/>
      <sz val="10"/>
      <color rgb="FF00B050"/>
      <name val="Arial"/>
      <family val="2"/>
    </font>
    <font>
      <sz val="11"/>
      <color indexed="8"/>
      <name val="Calibri"/>
      <family val="2"/>
    </font>
    <font>
      <b/>
      <sz val="16"/>
      <name val="Arial"/>
      <family val="2"/>
    </font>
    <font>
      <b/>
      <sz val="10.5"/>
      <name val="DengXian"/>
      <family val="4"/>
      <charset val="134"/>
    </font>
    <font>
      <b/>
      <sz val="10"/>
      <color rgb="FFFF0000"/>
      <name val="Arial"/>
      <family val="2"/>
    </font>
    <font>
      <b/>
      <sz val="11"/>
      <color theme="1"/>
      <name val="Calibri"/>
      <family val="2"/>
      <scheme val="minor"/>
    </font>
    <font>
      <sz val="9"/>
      <color theme="1"/>
      <name val="Calibri"/>
      <family val="2"/>
      <scheme val="minor"/>
    </font>
    <font>
      <sz val="11"/>
      <color rgb="FF3F3F76"/>
      <name val="Calibri"/>
      <family val="2"/>
      <scheme val="minor"/>
    </font>
    <font>
      <b/>
      <sz val="14"/>
      <color theme="3"/>
      <name val="Calibri"/>
      <family val="2"/>
      <scheme val="minor"/>
    </font>
    <font>
      <b/>
      <sz val="9"/>
      <color theme="3"/>
      <name val="Calibri"/>
      <family val="2"/>
      <scheme val="minor"/>
    </font>
    <font>
      <b/>
      <sz val="11"/>
      <color theme="0"/>
      <name val="Calibri"/>
      <family val="2"/>
      <scheme val="minor"/>
    </font>
    <font>
      <b/>
      <sz val="9"/>
      <color theme="0"/>
      <name val="Calibri"/>
      <family val="2"/>
      <scheme val="minor"/>
    </font>
    <font>
      <b/>
      <sz val="11"/>
      <color rgb="FF002060"/>
      <name val="Cambria"/>
      <family val="2"/>
      <scheme val="major"/>
    </font>
    <font>
      <sz val="11"/>
      <color rgb="FF002060"/>
      <name val="Cambria"/>
      <family val="2"/>
      <scheme val="major"/>
    </font>
    <font>
      <sz val="9"/>
      <color rgb="FFFF0000"/>
      <name val="Calibri"/>
      <family val="2"/>
      <scheme val="minor"/>
    </font>
    <font>
      <b/>
      <sz val="15"/>
      <color rgb="FF002060"/>
      <name val="Cambria"/>
      <family val="2"/>
      <scheme val="major"/>
    </font>
    <font>
      <sz val="11"/>
      <color rgb="FFFF0000"/>
      <name val="Calibri"/>
      <family val="2"/>
      <scheme val="minor"/>
    </font>
    <font>
      <sz val="11"/>
      <color rgb="FFFFFF00"/>
      <name val="Calibri"/>
      <family val="2"/>
      <scheme val="minor"/>
    </font>
    <font>
      <b/>
      <sz val="18"/>
      <color theme="3"/>
      <name val="Calibri"/>
      <family val="2"/>
      <scheme val="minor"/>
    </font>
    <font>
      <b/>
      <sz val="10"/>
      <color theme="1"/>
      <name val="Arial"/>
      <family val="2"/>
    </font>
    <font>
      <sz val="10"/>
      <color theme="1"/>
      <name val="Arial"/>
      <family val="2"/>
    </font>
    <font>
      <sz val="11"/>
      <color rgb="FF0070C0"/>
      <name val="Calibri"/>
      <family val="2"/>
      <scheme val="minor"/>
    </font>
    <font>
      <sz val="11"/>
      <color rgb="FF00B050"/>
      <name val="Calibri"/>
      <family val="2"/>
      <scheme val="minor"/>
    </font>
    <font>
      <sz val="8"/>
      <color rgb="FF000000"/>
      <name val="Helvetica"/>
      <charset val="1"/>
    </font>
    <font>
      <b/>
      <sz val="11"/>
      <color theme="1"/>
      <name val="Arial"/>
      <family val="2"/>
      <charset val="1"/>
    </font>
    <font>
      <sz val="11"/>
      <color theme="1"/>
      <name val="Arial"/>
      <charset val="1"/>
    </font>
    <font>
      <sz val="11"/>
      <color rgb="FF000000"/>
      <name val="Arial"/>
      <charset val="1"/>
    </font>
    <font>
      <sz val="11"/>
      <color theme="1"/>
      <name val="Times New Roman"/>
      <family val="1"/>
      <charset val="1"/>
    </font>
    <font>
      <sz val="11"/>
      <color theme="1"/>
      <name val="Arial"/>
      <family val="2"/>
      <charset val="1"/>
    </font>
    <font>
      <b/>
      <sz val="11"/>
      <color rgb="FF000000"/>
      <name val="Arial"/>
      <charset val="1"/>
    </font>
    <font>
      <b/>
      <sz val="11"/>
      <color theme="1"/>
      <name val="Arial"/>
      <charset val="1"/>
    </font>
    <font>
      <sz val="11"/>
      <color theme="1"/>
      <name val="SimSun"/>
      <charset val="1"/>
    </font>
    <font>
      <sz val="8"/>
      <color rgb="FF000000"/>
      <name val="Arial"/>
      <charset val="1"/>
    </font>
    <font>
      <b/>
      <i/>
      <sz val="8"/>
      <color rgb="FF000000"/>
      <name val="Arial"/>
      <charset val="1"/>
    </font>
    <font>
      <b/>
      <sz val="8"/>
      <color rgb="FF000000"/>
      <name val="Arial"/>
      <charset val="1"/>
    </font>
    <font>
      <sz val="8"/>
      <color rgb="FF000000"/>
      <name val="Wingdings"/>
      <charset val="1"/>
    </font>
    <font>
      <sz val="11"/>
      <color rgb="FF242424"/>
      <name val="Aptos Narrow"/>
      <charset val="1"/>
    </font>
    <font>
      <sz val="11"/>
      <color rgb="FF002060"/>
      <name val="Calibri"/>
      <family val="2"/>
      <scheme val="minor"/>
    </font>
    <font>
      <sz val="11"/>
      <name val="Calibri"/>
      <family val="2"/>
      <scheme val="minor"/>
    </font>
    <font>
      <sz val="10"/>
      <name val="Leelawadee UI"/>
      <family val="2"/>
    </font>
    <font>
      <b/>
      <sz val="14"/>
      <color rgb="FF164862"/>
      <name val="Leelawadee UI"/>
      <family val="2"/>
    </font>
    <font>
      <b/>
      <sz val="18"/>
      <color rgb="FF164862"/>
      <name val="Leelawadee UI"/>
      <family val="2"/>
    </font>
    <font>
      <b/>
      <sz val="10"/>
      <color theme="0"/>
      <name val="Leelawadee UI"/>
      <family val="2"/>
    </font>
    <font>
      <b/>
      <sz val="9"/>
      <color theme="0"/>
      <name val="Leelawadee UI"/>
      <family val="2"/>
    </font>
    <font>
      <b/>
      <sz val="10"/>
      <color rgb="FF164862"/>
      <name val="Leelawadee UI"/>
      <family val="2"/>
    </font>
    <font>
      <sz val="12"/>
      <color theme="1"/>
      <name val="Calibri"/>
      <family val="2"/>
      <scheme val="minor"/>
    </font>
    <font>
      <sz val="9"/>
      <name val="Leelawadee UI"/>
      <family val="2"/>
    </font>
    <font>
      <sz val="9"/>
      <color theme="1"/>
      <name val="Leelawadee UI"/>
      <family val="2"/>
    </font>
    <font>
      <sz val="9"/>
      <color rgb="FF000000"/>
      <name val="Leelawadee UI"/>
      <family val="2"/>
    </font>
    <font>
      <sz val="10"/>
      <name val="Leelawadee UI"/>
      <family val="2"/>
      <charset val="1"/>
    </font>
    <font>
      <sz val="9"/>
      <color rgb="FF000000"/>
      <name val="Leelawadee UI"/>
      <family val="2"/>
      <charset val="1"/>
    </font>
    <font>
      <sz val="9"/>
      <name val="Leelawadee UI"/>
      <family val="2"/>
      <charset val="1"/>
    </font>
  </fonts>
  <fills count="22">
    <fill>
      <patternFill patternType="none"/>
    </fill>
    <fill>
      <patternFill patternType="gray125"/>
    </fill>
    <fill>
      <patternFill patternType="solid">
        <fgColor rgb="FF1F4E79"/>
      </patternFill>
    </fill>
    <fill>
      <patternFill patternType="solid">
        <fgColor rgb="FFD9E1F2"/>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3" tint="0.79998168889431442"/>
        <bgColor indexed="64"/>
      </patternFill>
    </fill>
    <fill>
      <patternFill patternType="solid">
        <fgColor rgb="FFFFCD11"/>
        <bgColor indexed="64"/>
      </patternFill>
    </fill>
    <fill>
      <patternFill patternType="solid">
        <fgColor rgb="FF002060"/>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rgb="FFA3DBFF"/>
        <bgColor indexed="64"/>
      </patternFill>
    </fill>
    <fill>
      <patternFill patternType="solid">
        <fgColor rgb="FF164862"/>
        <bgColor indexed="64"/>
      </patternFill>
    </fill>
  </fills>
  <borders count="60">
    <border>
      <left/>
      <right/>
      <top/>
      <bottom/>
      <diagonal/>
    </border>
    <border>
      <left style="thin">
        <color rgb="FF9E9E9E"/>
      </left>
      <right style="thin">
        <color rgb="FF9E9E9E"/>
      </right>
      <top style="thin">
        <color rgb="FF9E9E9E"/>
      </top>
      <bottom style="thin">
        <color rgb="FF9E9E9E"/>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rgb="FF7F7F7F"/>
      </left>
      <right style="thin">
        <color rgb="FF7F7F7F"/>
      </right>
      <top style="thin">
        <color rgb="FF7F7F7F"/>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indexed="64"/>
      </bottom>
      <diagonal/>
    </border>
    <border>
      <left/>
      <right/>
      <top style="thick">
        <color theme="4"/>
      </top>
      <bottom style="thin">
        <color indexed="64"/>
      </bottom>
      <diagonal/>
    </border>
    <border>
      <left style="thin">
        <color rgb="FF7F7F7F"/>
      </left>
      <right style="thin">
        <color rgb="FF7F7F7F"/>
      </right>
      <top style="thick">
        <color theme="4"/>
      </top>
      <bottom style="thin">
        <color indexed="64"/>
      </bottom>
      <diagonal/>
    </border>
    <border>
      <left style="thick">
        <color rgb="FF0000FF"/>
      </left>
      <right style="thin">
        <color rgb="FF0000FF"/>
      </right>
      <top style="thick">
        <color rgb="FF0000FF"/>
      </top>
      <bottom style="thin">
        <color rgb="FF0000FF"/>
      </bottom>
      <diagonal/>
    </border>
    <border>
      <left style="thin">
        <color rgb="FF0000FF"/>
      </left>
      <right style="thin">
        <color rgb="FF0000FF"/>
      </right>
      <top style="thick">
        <color rgb="FF0000FF"/>
      </top>
      <bottom style="thin">
        <color rgb="FF0000FF"/>
      </bottom>
      <diagonal/>
    </border>
    <border>
      <left style="thin">
        <color rgb="FF0000FF"/>
      </left>
      <right style="thick">
        <color rgb="FF0000FF"/>
      </right>
      <top style="thick">
        <color rgb="FF0000FF"/>
      </top>
      <bottom style="thin">
        <color rgb="FF0000FF"/>
      </bottom>
      <diagonal/>
    </border>
    <border>
      <left style="thick">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style="thin">
        <color rgb="FF0000FF"/>
      </bottom>
      <diagonal/>
    </border>
    <border>
      <left style="thin">
        <color rgb="FF0000FF"/>
      </left>
      <right style="thick">
        <color rgb="FF0000FF"/>
      </right>
      <top style="thin">
        <color rgb="FF0000FF"/>
      </top>
      <bottom style="thin">
        <color rgb="FF0000FF"/>
      </bottom>
      <diagonal/>
    </border>
    <border>
      <left style="thick">
        <color rgb="FF0000FF"/>
      </left>
      <right style="thin">
        <color rgb="FF0000FF"/>
      </right>
      <top style="thin">
        <color rgb="FF0000FF"/>
      </top>
      <bottom style="thick">
        <color rgb="FF0000FF"/>
      </bottom>
      <diagonal/>
    </border>
    <border>
      <left style="thin">
        <color rgb="FF0000FF"/>
      </left>
      <right style="thin">
        <color rgb="FF0000FF"/>
      </right>
      <top style="thin">
        <color rgb="FF0000FF"/>
      </top>
      <bottom style="thick">
        <color rgb="FF0000FF"/>
      </bottom>
      <diagonal/>
    </border>
    <border>
      <left style="thin">
        <color rgb="FF0000FF"/>
      </left>
      <right style="thick">
        <color rgb="FF0000FF"/>
      </right>
      <top style="thin">
        <color rgb="FF0000FF"/>
      </top>
      <bottom style="thick">
        <color rgb="FF0000F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hair">
        <color auto="1"/>
      </top>
      <bottom/>
      <diagonal/>
    </border>
    <border>
      <left style="hair">
        <color auto="1"/>
      </left>
      <right/>
      <top style="hair">
        <color auto="1"/>
      </top>
      <bottom style="medium">
        <color rgb="FF164862"/>
      </bottom>
      <diagonal/>
    </border>
    <border>
      <left/>
      <right/>
      <top style="hair">
        <color auto="1"/>
      </top>
      <bottom style="medium">
        <color rgb="FF164862"/>
      </bottom>
      <diagonal/>
    </border>
    <border>
      <left/>
      <right style="hair">
        <color auto="1"/>
      </right>
      <top style="hair">
        <color auto="1"/>
      </top>
      <bottom style="medium">
        <color rgb="FF164862"/>
      </bottom>
      <diagonal/>
    </border>
    <border>
      <left/>
      <right/>
      <top/>
      <bottom style="hair">
        <color auto="1"/>
      </bottom>
      <diagonal/>
    </border>
    <border>
      <left style="hair">
        <color rgb="FF164862"/>
      </left>
      <right style="hair">
        <color rgb="FF164862"/>
      </right>
      <top style="medium">
        <color rgb="FF164862"/>
      </top>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right style="hair">
        <color indexed="64"/>
      </right>
      <top/>
      <bottom style="hair">
        <color indexed="64"/>
      </bottom>
      <diagonal/>
    </border>
  </borders>
  <cellStyleXfs count="12">
    <xf numFmtId="0" fontId="0" fillId="0" borderId="0"/>
    <xf numFmtId="43" fontId="3" fillId="0" borderId="0" applyFont="0" applyFill="0" applyBorder="0" applyAlignment="0" applyProtection="0"/>
    <xf numFmtId="41"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2" applyNumberFormat="0" applyFill="0" applyAlignment="0" applyProtection="0"/>
    <xf numFmtId="0" fontId="6" fillId="4" borderId="3" applyNumberFormat="0" applyAlignment="0" applyProtection="0"/>
    <xf numFmtId="0" fontId="23" fillId="5" borderId="4" applyAlignment="0" applyProtection="0"/>
    <xf numFmtId="0" fontId="8" fillId="0" borderId="0"/>
    <xf numFmtId="44" fontId="58" fillId="0" borderId="0" applyFont="0" applyFill="0" applyBorder="0" applyAlignment="0" applyProtection="0"/>
    <xf numFmtId="0" fontId="58" fillId="0" borderId="0"/>
  </cellStyleXfs>
  <cellXfs count="406">
    <xf numFmtId="0" fontId="0" fillId="0" borderId="0" xfId="0"/>
    <xf numFmtId="0" fontId="1" fillId="2" borderId="1" xfId="0" applyFont="1" applyFill="1" applyBorder="1" applyAlignment="1">
      <alignment vertical="center"/>
    </xf>
    <xf numFmtId="0" fontId="0" fillId="0" borderId="1" xfId="0" applyBorder="1" applyAlignment="1">
      <alignment vertical="center"/>
    </xf>
    <xf numFmtId="2" fontId="0" fillId="0" borderId="1" xfId="0" applyNumberFormat="1" applyBorder="1"/>
    <xf numFmtId="0" fontId="0" fillId="0" borderId="1" xfId="0" applyBorder="1"/>
    <xf numFmtId="0" fontId="1" fillId="2" borderId="1" xfId="0" applyFont="1" applyFill="1" applyBorder="1" applyAlignment="1">
      <alignment vertical="center" wrapText="1"/>
    </xf>
    <xf numFmtId="0" fontId="2" fillId="0" borderId="1" xfId="0" applyFont="1" applyBorder="1" applyAlignment="1">
      <alignment vertical="center"/>
    </xf>
    <xf numFmtId="0" fontId="0" fillId="0" borderId="1" xfId="0" applyBorder="1" applyAlignment="1">
      <alignment vertical="top" wrapText="1"/>
    </xf>
    <xf numFmtId="4" fontId="0" fillId="0" borderId="1" xfId="0" applyNumberFormat="1" applyBorder="1"/>
    <xf numFmtId="4" fontId="0" fillId="0" borderId="1" xfId="0" applyNumberFormat="1" applyBorder="1" applyAlignment="1">
      <alignment vertical="center"/>
    </xf>
    <xf numFmtId="0" fontId="2" fillId="3" borderId="1" xfId="0" applyFont="1" applyFill="1" applyBorder="1" applyAlignment="1">
      <alignment vertical="center" wrapText="1"/>
    </xf>
    <xf numFmtId="0" fontId="0" fillId="6" borderId="1" xfId="0" applyFill="1" applyBorder="1" applyAlignment="1">
      <alignment vertical="top" wrapText="1"/>
    </xf>
    <xf numFmtId="0" fontId="0" fillId="6" borderId="1" xfId="0" applyFill="1" applyBorder="1"/>
    <xf numFmtId="2" fontId="0" fillId="6" borderId="1" xfId="0" applyNumberFormat="1" applyFill="1" applyBorder="1"/>
    <xf numFmtId="4" fontId="0" fillId="6" borderId="1" xfId="0" applyNumberFormat="1" applyFill="1" applyBorder="1"/>
    <xf numFmtId="0" fontId="0" fillId="6" borderId="0" xfId="0" applyFill="1"/>
    <xf numFmtId="4" fontId="0" fillId="6" borderId="0" xfId="0" applyNumberFormat="1" applyFill="1"/>
    <xf numFmtId="43" fontId="2" fillId="3" borderId="1" xfId="1" applyFont="1" applyFill="1" applyBorder="1" applyAlignment="1">
      <alignment vertical="center" wrapText="1"/>
    </xf>
    <xf numFmtId="0" fontId="0" fillId="0" borderId="0" xfId="0" applyAlignment="1">
      <alignment wrapText="1"/>
    </xf>
    <xf numFmtId="2" fontId="0" fillId="0" borderId="1" xfId="0" applyNumberFormat="1" applyBorder="1" applyAlignment="1">
      <alignment vertical="center"/>
    </xf>
    <xf numFmtId="0" fontId="0" fillId="0" borderId="0" xfId="0" applyAlignment="1">
      <alignment vertical="center"/>
    </xf>
    <xf numFmtId="4" fontId="0" fillId="0" borderId="0" xfId="0" applyNumberFormat="1" applyAlignment="1">
      <alignment vertical="center"/>
    </xf>
    <xf numFmtId="0" fontId="0" fillId="7" borderId="1" xfId="0" applyFill="1" applyBorder="1" applyAlignment="1">
      <alignment vertical="top" wrapText="1"/>
    </xf>
    <xf numFmtId="0" fontId="0" fillId="7" borderId="1" xfId="0" applyFill="1" applyBorder="1"/>
    <xf numFmtId="2" fontId="0" fillId="7" borderId="1" xfId="0" applyNumberFormat="1" applyFill="1" applyBorder="1"/>
    <xf numFmtId="4" fontId="0" fillId="7" borderId="1" xfId="0" applyNumberFormat="1" applyFill="1" applyBorder="1"/>
    <xf numFmtId="0" fontId="0" fillId="0" borderId="1" xfId="0" applyBorder="1" applyAlignment="1">
      <alignment vertical="center" wrapText="1"/>
    </xf>
    <xf numFmtId="0" fontId="0" fillId="7" borderId="1" xfId="0" applyFill="1" applyBorder="1" applyAlignment="1">
      <alignment vertical="center" wrapText="1"/>
    </xf>
    <xf numFmtId="0" fontId="0" fillId="7" borderId="1" xfId="0" applyFill="1" applyBorder="1" applyAlignment="1">
      <alignment vertical="center"/>
    </xf>
    <xf numFmtId="2" fontId="0" fillId="7" borderId="1" xfId="0" applyNumberFormat="1" applyFill="1" applyBorder="1" applyAlignment="1">
      <alignment vertical="center"/>
    </xf>
    <xf numFmtId="4" fontId="0" fillId="7" borderId="1" xfId="0" applyNumberFormat="1" applyFill="1" applyBorder="1" applyAlignment="1">
      <alignment vertical="center"/>
    </xf>
    <xf numFmtId="3" fontId="0" fillId="0" borderId="0" xfId="0" applyNumberFormat="1"/>
    <xf numFmtId="0" fontId="0" fillId="0" borderId="0" xfId="0" applyAlignment="1">
      <alignment horizontal="center"/>
    </xf>
    <xf numFmtId="44" fontId="3" fillId="0" borderId="0" xfId="3"/>
    <xf numFmtId="0" fontId="0" fillId="0" borderId="0" xfId="0" applyAlignment="1">
      <alignment horizontal="right"/>
    </xf>
    <xf numFmtId="0" fontId="10" fillId="0" borderId="0" xfId="0" applyFont="1" applyAlignment="1">
      <alignment horizontal="right"/>
    </xf>
    <xf numFmtId="0" fontId="10" fillId="0" borderId="0" xfId="0" applyFont="1" applyAlignment="1">
      <alignment horizontal="center"/>
    </xf>
    <xf numFmtId="0" fontId="10" fillId="0" borderId="0" xfId="0" applyFont="1" applyAlignment="1">
      <alignment horizontal="left"/>
    </xf>
    <xf numFmtId="0" fontId="10" fillId="10" borderId="15" xfId="0" applyFont="1" applyFill="1" applyBorder="1" applyAlignment="1">
      <alignment horizontal="center" vertical="center"/>
    </xf>
    <xf numFmtId="44" fontId="10" fillId="10" borderId="15" xfId="3" applyFont="1" applyFill="1" applyBorder="1" applyAlignment="1">
      <alignment horizontal="center" vertical="center" wrapText="1"/>
    </xf>
    <xf numFmtId="0" fontId="10" fillId="10" borderId="17" xfId="0" applyFont="1" applyFill="1" applyBorder="1" applyAlignment="1">
      <alignment horizontal="center"/>
    </xf>
    <xf numFmtId="0" fontId="0" fillId="10" borderId="17" xfId="0" applyFill="1" applyBorder="1" applyAlignment="1">
      <alignment horizontal="center"/>
    </xf>
    <xf numFmtId="44" fontId="10" fillId="10" borderId="17" xfId="3" applyFont="1" applyFill="1" applyBorder="1"/>
    <xf numFmtId="0" fontId="8" fillId="11" borderId="17" xfId="0" applyFont="1" applyFill="1" applyBorder="1"/>
    <xf numFmtId="0" fontId="0" fillId="0" borderId="17" xfId="0" applyBorder="1" applyAlignment="1">
      <alignment horizontal="center"/>
    </xf>
    <xf numFmtId="7" fontId="3" fillId="0" borderId="17" xfId="3" applyNumberFormat="1" applyFill="1" applyBorder="1" applyAlignment="1">
      <alignment vertical="center" wrapText="1"/>
    </xf>
    <xf numFmtId="0" fontId="3" fillId="0" borderId="17" xfId="3" applyNumberFormat="1" applyFill="1" applyBorder="1" applyAlignment="1">
      <alignment horizontal="center" vertical="center" wrapText="1"/>
    </xf>
    <xf numFmtId="0" fontId="0" fillId="11" borderId="17" xfId="0" applyFill="1" applyBorder="1" applyAlignment="1">
      <alignment vertical="center" wrapText="1"/>
    </xf>
    <xf numFmtId="0" fontId="0" fillId="0" borderId="17" xfId="0" applyBorder="1" applyAlignment="1">
      <alignment horizontal="center" vertical="center" wrapText="1"/>
    </xf>
    <xf numFmtId="7" fontId="3" fillId="11" borderId="17" xfId="3" applyNumberFormat="1" applyFill="1" applyBorder="1" applyAlignment="1">
      <alignment vertical="center" wrapText="1"/>
    </xf>
    <xf numFmtId="0" fontId="3" fillId="11" borderId="17" xfId="3" applyNumberFormat="1" applyFill="1" applyBorder="1" applyAlignment="1">
      <alignment horizontal="center" vertical="center" wrapText="1"/>
    </xf>
    <xf numFmtId="0" fontId="8" fillId="11" borderId="17" xfId="0" applyFont="1" applyFill="1" applyBorder="1" applyAlignment="1">
      <alignment vertical="center" wrapText="1"/>
    </xf>
    <xf numFmtId="7" fontId="10" fillId="7" borderId="0" xfId="0" applyNumberFormat="1" applyFont="1" applyFill="1"/>
    <xf numFmtId="0" fontId="10" fillId="10" borderId="17" xfId="0" applyFont="1" applyFill="1" applyBorder="1" applyAlignment="1">
      <alignment horizontal="center" vertical="center" wrapText="1"/>
    </xf>
    <xf numFmtId="44" fontId="3" fillId="10" borderId="17" xfId="3" applyFill="1" applyBorder="1"/>
    <xf numFmtId="44" fontId="3" fillId="10" borderId="17" xfId="3" applyFill="1" applyBorder="1" applyAlignment="1">
      <alignment horizontal="center"/>
    </xf>
    <xf numFmtId="0" fontId="10" fillId="0" borderId="17" xfId="0" applyFont="1" applyBorder="1" applyAlignment="1">
      <alignment horizontal="center"/>
    </xf>
    <xf numFmtId="7" fontId="0" fillId="0" borderId="17" xfId="0" applyNumberFormat="1" applyBorder="1" applyAlignment="1">
      <alignment horizontal="center" vertical="center" wrapText="1"/>
    </xf>
    <xf numFmtId="7" fontId="0" fillId="0" borderId="17" xfId="0" applyNumberFormat="1" applyBorder="1" applyAlignment="1">
      <alignment horizontal="center"/>
    </xf>
    <xf numFmtId="0" fontId="0" fillId="11" borderId="17" xfId="0" applyFill="1" applyBorder="1" applyAlignment="1">
      <alignment wrapText="1"/>
    </xf>
    <xf numFmtId="7" fontId="8" fillId="0" borderId="17" xfId="3" applyNumberFormat="1" applyFont="1" applyFill="1" applyBorder="1" applyAlignment="1">
      <alignment horizontal="right"/>
    </xf>
    <xf numFmtId="7" fontId="0" fillId="0" borderId="17" xfId="0" applyNumberFormat="1" applyBorder="1"/>
    <xf numFmtId="7" fontId="0" fillId="0" borderId="17" xfId="0" applyNumberFormat="1" applyBorder="1" applyAlignment="1">
      <alignment horizontal="right"/>
    </xf>
    <xf numFmtId="0" fontId="0" fillId="0" borderId="17" xfId="0" applyBorder="1"/>
    <xf numFmtId="7" fontId="0" fillId="0" borderId="0" xfId="0" applyNumberFormat="1"/>
    <xf numFmtId="0" fontId="0" fillId="11" borderId="17" xfId="0" applyFill="1" applyBorder="1"/>
    <xf numFmtId="0" fontId="0" fillId="11" borderId="17" xfId="0" applyFill="1" applyBorder="1" applyAlignment="1">
      <alignment horizontal="center" vertical="center" wrapText="1"/>
    </xf>
    <xf numFmtId="0" fontId="0" fillId="0" borderId="17" xfId="0" applyBorder="1" applyAlignment="1">
      <alignment horizontal="left"/>
    </xf>
    <xf numFmtId="0" fontId="11" fillId="11" borderId="17" xfId="0" applyFont="1" applyFill="1" applyBorder="1" applyAlignment="1">
      <alignment wrapText="1"/>
    </xf>
    <xf numFmtId="0" fontId="12" fillId="11" borderId="17" xfId="0" applyFont="1" applyFill="1" applyBorder="1" applyAlignment="1">
      <alignment wrapText="1"/>
    </xf>
    <xf numFmtId="7" fontId="13" fillId="0" borderId="17" xfId="0" applyNumberFormat="1" applyFont="1" applyBorder="1" applyAlignment="1">
      <alignment horizontal="center"/>
    </xf>
    <xf numFmtId="164" fontId="0" fillId="0" borderId="17" xfId="3" applyNumberFormat="1" applyFont="1" applyBorder="1" applyAlignment="1">
      <alignment horizontal="center" vertical="center"/>
    </xf>
    <xf numFmtId="7" fontId="10" fillId="7" borderId="17" xfId="3" applyNumberFormat="1" applyFont="1" applyFill="1" applyBorder="1" applyAlignment="1">
      <alignment vertical="center" wrapText="1"/>
    </xf>
    <xf numFmtId="0" fontId="10" fillId="12" borderId="17" xfId="0" applyFont="1" applyFill="1" applyBorder="1" applyAlignment="1">
      <alignment horizontal="right"/>
    </xf>
    <xf numFmtId="0" fontId="11" fillId="11" borderId="17" xfId="0" applyFont="1" applyFill="1" applyBorder="1"/>
    <xf numFmtId="0" fontId="8" fillId="0" borderId="17" xfId="0" applyFont="1" applyBorder="1" applyAlignment="1">
      <alignment horizontal="center" vertical="center" wrapText="1"/>
    </xf>
    <xf numFmtId="0" fontId="12" fillId="11" borderId="17" xfId="0" applyFont="1" applyFill="1" applyBorder="1"/>
    <xf numFmtId="0" fontId="13" fillId="11" borderId="17" xfId="0" applyFont="1" applyFill="1" applyBorder="1"/>
    <xf numFmtId="7" fontId="10" fillId="10" borderId="17" xfId="3" applyNumberFormat="1" applyFont="1" applyFill="1" applyBorder="1" applyAlignment="1">
      <alignment horizontal="right"/>
    </xf>
    <xf numFmtId="7" fontId="10" fillId="10" borderId="17" xfId="3" applyNumberFormat="1" applyFont="1" applyFill="1" applyBorder="1" applyAlignment="1">
      <alignment horizontal="center"/>
    </xf>
    <xf numFmtId="0" fontId="0" fillId="0" borderId="17" xfId="0" applyBorder="1" applyAlignment="1">
      <alignment vertical="center" wrapText="1"/>
    </xf>
    <xf numFmtId="0" fontId="8" fillId="0" borderId="17" xfId="0" applyFont="1" applyBorder="1" applyAlignment="1">
      <alignment vertical="center" wrapText="1"/>
    </xf>
    <xf numFmtId="0" fontId="14" fillId="0" borderId="17" xfId="0" applyFont="1" applyBorder="1"/>
    <xf numFmtId="0" fontId="8" fillId="0" borderId="17" xfId="0" applyFont="1" applyBorder="1"/>
    <xf numFmtId="0" fontId="0" fillId="0" borderId="17" xfId="0" applyBorder="1" applyAlignment="1">
      <alignment horizontal="left" wrapText="1"/>
    </xf>
    <xf numFmtId="0" fontId="0" fillId="0" borderId="17" xfId="0" applyBorder="1" applyAlignment="1">
      <alignment horizontal="center" vertical="center"/>
    </xf>
    <xf numFmtId="7" fontId="8" fillId="0" borderId="17" xfId="3" applyNumberFormat="1" applyFont="1" applyFill="1" applyBorder="1" applyAlignment="1">
      <alignment horizontal="right" vertical="center"/>
    </xf>
    <xf numFmtId="7" fontId="0" fillId="0" borderId="17" xfId="0" applyNumberFormat="1" applyBorder="1" applyAlignment="1">
      <alignment horizontal="center" vertical="center"/>
    </xf>
    <xf numFmtId="7" fontId="10" fillId="7" borderId="17" xfId="3" applyNumberFormat="1" applyFont="1" applyFill="1" applyBorder="1" applyAlignment="1">
      <alignment horizontal="right" vertical="center" wrapText="1"/>
    </xf>
    <xf numFmtId="0" fontId="11" fillId="0" borderId="17" xfId="0" applyFont="1" applyBorder="1"/>
    <xf numFmtId="7" fontId="3" fillId="0" borderId="17" xfId="3" applyNumberFormat="1" applyBorder="1" applyAlignment="1">
      <alignment vertical="center" wrapText="1"/>
    </xf>
    <xf numFmtId="0" fontId="11" fillId="0" borderId="0" xfId="0" applyFont="1"/>
    <xf numFmtId="0" fontId="0" fillId="0" borderId="0" xfId="0" applyAlignment="1">
      <alignment horizontal="center" vertical="center"/>
    </xf>
    <xf numFmtId="7" fontId="10" fillId="7" borderId="0" xfId="0" applyNumberFormat="1" applyFont="1" applyFill="1" applyAlignment="1">
      <alignment horizontal="right" vertical="center"/>
    </xf>
    <xf numFmtId="0" fontId="0" fillId="0" borderId="0" xfId="0" applyAlignment="1">
      <alignment horizontal="center" vertical="center" wrapText="1"/>
    </xf>
    <xf numFmtId="7" fontId="10" fillId="7" borderId="0" xfId="3" applyNumberFormat="1" applyFont="1" applyFill="1" applyBorder="1" applyAlignment="1">
      <alignment vertical="center" wrapText="1"/>
    </xf>
    <xf numFmtId="0" fontId="14" fillId="0" borderId="0" xfId="0" applyFont="1"/>
    <xf numFmtId="7" fontId="3" fillId="0" borderId="0" xfId="3" applyNumberFormat="1" applyFill="1" applyBorder="1" applyAlignment="1">
      <alignment vertical="center" wrapText="1"/>
    </xf>
    <xf numFmtId="0" fontId="10" fillId="0" borderId="18" xfId="0" applyFont="1" applyBorder="1" applyAlignment="1">
      <alignment horizontal="center"/>
    </xf>
    <xf numFmtId="0" fontId="8" fillId="0" borderId="0" xfId="0" applyFont="1" applyAlignment="1">
      <alignment horizontal="center"/>
    </xf>
    <xf numFmtId="7" fontId="3" fillId="0" borderId="0" xfId="3" applyNumberFormat="1" applyFill="1" applyBorder="1"/>
    <xf numFmtId="7" fontId="3" fillId="0" borderId="19" xfId="3" applyNumberFormat="1" applyFill="1" applyBorder="1"/>
    <xf numFmtId="0" fontId="10" fillId="0" borderId="0" xfId="0" applyFont="1"/>
    <xf numFmtId="0" fontId="8" fillId="0" borderId="0" xfId="0" applyFont="1" applyAlignment="1">
      <alignment wrapText="1"/>
    </xf>
    <xf numFmtId="0" fontId="16" fillId="0" borderId="0" xfId="0" applyFont="1"/>
    <xf numFmtId="0" fontId="16" fillId="0" borderId="0" xfId="0" applyFont="1" applyAlignment="1">
      <alignment horizontal="center"/>
    </xf>
    <xf numFmtId="0" fontId="17" fillId="0" borderId="0" xfId="0" applyFont="1" applyAlignment="1">
      <alignment horizontal="left"/>
    </xf>
    <xf numFmtId="7" fontId="10" fillId="0" borderId="0" xfId="3" applyNumberFormat="1" applyFont="1" applyFill="1" applyBorder="1" applyAlignment="1">
      <alignment horizontal="right"/>
    </xf>
    <xf numFmtId="7" fontId="10" fillId="0" borderId="0" xfId="3" applyNumberFormat="1" applyFont="1" applyFill="1" applyBorder="1"/>
    <xf numFmtId="7" fontId="10" fillId="0" borderId="19" xfId="3" applyNumberFormat="1" applyFont="1" applyFill="1" applyBorder="1" applyAlignment="1">
      <alignment horizontal="right"/>
    </xf>
    <xf numFmtId="0" fontId="0" fillId="8" borderId="18" xfId="0" applyFill="1" applyBorder="1" applyAlignment="1">
      <alignment horizontal="center"/>
    </xf>
    <xf numFmtId="0" fontId="0" fillId="8" borderId="0" xfId="0" applyFill="1" applyAlignment="1">
      <alignment horizontal="center"/>
    </xf>
    <xf numFmtId="0" fontId="0" fillId="8" borderId="0" xfId="0" applyFill="1"/>
    <xf numFmtId="44" fontId="8" fillId="8" borderId="0" xfId="3" applyFont="1" applyFill="1" applyBorder="1"/>
    <xf numFmtId="44" fontId="8" fillId="8" borderId="19" xfId="3" applyFont="1" applyFill="1" applyBorder="1"/>
    <xf numFmtId="0" fontId="0" fillId="8" borderId="0" xfId="0" applyFill="1" applyAlignment="1">
      <alignment horizontal="left"/>
    </xf>
    <xf numFmtId="7" fontId="8" fillId="8" borderId="0" xfId="3" applyNumberFormat="1" applyFont="1" applyFill="1" applyBorder="1"/>
    <xf numFmtId="7" fontId="8" fillId="8" borderId="0" xfId="3" applyNumberFormat="1" applyFont="1" applyFill="1" applyBorder="1" applyAlignment="1">
      <alignment vertical="center" wrapText="1"/>
    </xf>
    <xf numFmtId="7" fontId="8" fillId="8" borderId="19" xfId="3" applyNumberFormat="1" applyFont="1" applyFill="1" applyBorder="1"/>
    <xf numFmtId="0" fontId="0" fillId="8" borderId="0" xfId="0" applyFill="1" applyAlignment="1">
      <alignment horizontal="left" wrapText="1"/>
    </xf>
    <xf numFmtId="0" fontId="0" fillId="8" borderId="19" xfId="0" applyFill="1" applyBorder="1" applyAlignment="1">
      <alignment horizontal="left" wrapText="1"/>
    </xf>
    <xf numFmtId="0" fontId="0" fillId="8" borderId="11" xfId="0" applyFill="1" applyBorder="1" applyAlignment="1">
      <alignment horizontal="center"/>
    </xf>
    <xf numFmtId="0" fontId="0" fillId="8" borderId="12" xfId="0" applyFill="1" applyBorder="1" applyAlignment="1">
      <alignment horizontal="center"/>
    </xf>
    <xf numFmtId="0" fontId="0" fillId="8" borderId="12" xfId="0" applyFill="1" applyBorder="1" applyAlignment="1">
      <alignment horizontal="left"/>
    </xf>
    <xf numFmtId="0" fontId="0" fillId="8" borderId="12" xfId="0" applyFill="1" applyBorder="1" applyAlignment="1">
      <alignment horizontal="left" wrapText="1"/>
    </xf>
    <xf numFmtId="0" fontId="0" fillId="8" borderId="13" xfId="0" applyFill="1" applyBorder="1" applyAlignment="1">
      <alignment horizontal="left" wrapText="1"/>
    </xf>
    <xf numFmtId="0" fontId="8" fillId="0" borderId="0" xfId="0" applyFont="1"/>
    <xf numFmtId="44" fontId="3" fillId="0" borderId="0" xfId="3" applyFill="1" applyBorder="1"/>
    <xf numFmtId="44" fontId="10" fillId="0" borderId="0" xfId="3" applyFont="1" applyFill="1" applyBorder="1"/>
    <xf numFmtId="44" fontId="0" fillId="0" borderId="0" xfId="3" applyFont="1"/>
    <xf numFmtId="0" fontId="18" fillId="0" borderId="0" xfId="0" applyFont="1"/>
    <xf numFmtId="0" fontId="0" fillId="11" borderId="0" xfId="0" applyFill="1" applyAlignment="1">
      <alignment vertical="center" wrapText="1"/>
    </xf>
    <xf numFmtId="0" fontId="0" fillId="11" borderId="0" xfId="0" applyFill="1" applyAlignment="1">
      <alignment wrapText="1"/>
    </xf>
    <xf numFmtId="0" fontId="0" fillId="11" borderId="0" xfId="0" applyFill="1"/>
    <xf numFmtId="0" fontId="11" fillId="11" borderId="0" xfId="0" applyFont="1" applyFill="1" applyAlignment="1">
      <alignment wrapText="1"/>
    </xf>
    <xf numFmtId="0" fontId="12" fillId="11" borderId="0" xfId="0" applyFont="1" applyFill="1" applyAlignment="1">
      <alignment wrapText="1"/>
    </xf>
    <xf numFmtId="44" fontId="0" fillId="0" borderId="0" xfId="0" applyNumberFormat="1"/>
    <xf numFmtId="1" fontId="0" fillId="0" borderId="0" xfId="0" applyNumberFormat="1"/>
    <xf numFmtId="0" fontId="19" fillId="0" borderId="0" xfId="0" applyFont="1"/>
    <xf numFmtId="41" fontId="6" fillId="4" borderId="3" xfId="7" applyNumberFormat="1"/>
    <xf numFmtId="0" fontId="21" fillId="0" borderId="2" xfId="6" applyFont="1"/>
    <xf numFmtId="0" fontId="5" fillId="0" borderId="2" xfId="6"/>
    <xf numFmtId="1" fontId="5" fillId="0" borderId="2" xfId="6" applyNumberFormat="1"/>
    <xf numFmtId="0" fontId="22" fillId="0" borderId="2" xfId="6" applyFont="1"/>
    <xf numFmtId="0" fontId="23" fillId="5" borderId="4" xfId="8" applyAlignment="1">
      <alignment horizontal="center"/>
    </xf>
    <xf numFmtId="1" fontId="23" fillId="5" borderId="4" xfId="8" applyNumberFormat="1" applyAlignment="1">
      <alignment horizontal="center"/>
    </xf>
    <xf numFmtId="0" fontId="24" fillId="5" borderId="4" xfId="8" applyFont="1" applyAlignment="1">
      <alignment horizontal="center"/>
    </xf>
    <xf numFmtId="1" fontId="0" fillId="0" borderId="0" xfId="0" applyNumberFormat="1" applyAlignment="1">
      <alignment horizontal="center" vertical="center"/>
    </xf>
    <xf numFmtId="41" fontId="20" fillId="4" borderId="3" xfId="2" applyFont="1" applyFill="1" applyBorder="1" applyAlignment="1">
      <alignment vertical="center"/>
    </xf>
    <xf numFmtId="41" fontId="0" fillId="0" borderId="0" xfId="0" applyNumberFormat="1"/>
    <xf numFmtId="41" fontId="20" fillId="4" borderId="20" xfId="2" applyFont="1" applyFill="1" applyBorder="1" applyAlignment="1">
      <alignment vertical="center"/>
    </xf>
    <xf numFmtId="0" fontId="25" fillId="0" borderId="21" xfId="5" applyFont="1" applyBorder="1" applyAlignment="1">
      <alignment horizontal="left" vertical="center"/>
    </xf>
    <xf numFmtId="0" fontId="0" fillId="0" borderId="21" xfId="0" applyBorder="1"/>
    <xf numFmtId="1" fontId="0" fillId="0" borderId="21" xfId="0" applyNumberFormat="1" applyBorder="1"/>
    <xf numFmtId="41" fontId="0" fillId="0" borderId="21" xfId="0" applyNumberFormat="1" applyBorder="1"/>
    <xf numFmtId="0" fontId="19" fillId="0" borderId="21" xfId="0" applyFont="1" applyBorder="1"/>
    <xf numFmtId="0" fontId="5" fillId="0" borderId="2" xfId="6" applyFill="1"/>
    <xf numFmtId="1" fontId="0" fillId="0" borderId="0" xfId="0" applyNumberFormat="1" applyAlignment="1">
      <alignment horizontal="center"/>
    </xf>
    <xf numFmtId="166" fontId="0" fillId="13" borderId="0" xfId="1" applyNumberFormat="1" applyFont="1" applyFill="1" applyAlignment="1">
      <alignment horizontal="center"/>
    </xf>
    <xf numFmtId="43" fontId="22" fillId="0" borderId="2" xfId="1" applyFont="1" applyBorder="1"/>
    <xf numFmtId="0" fontId="27" fillId="0" borderId="0" xfId="0" applyFont="1"/>
    <xf numFmtId="0" fontId="25" fillId="0" borderId="0" xfId="5" applyFont="1" applyBorder="1" applyAlignment="1">
      <alignment horizontal="left" vertical="center"/>
    </xf>
    <xf numFmtId="1" fontId="0" fillId="0" borderId="0" xfId="0" applyNumberFormat="1" applyAlignment="1">
      <alignment horizontal="left" vertical="center"/>
    </xf>
    <xf numFmtId="41" fontId="6" fillId="4" borderId="3" xfId="7" applyNumberFormat="1" applyAlignment="1">
      <alignment horizontal="center" vertical="center"/>
    </xf>
    <xf numFmtId="41" fontId="0" fillId="0" borderId="0" xfId="0" applyNumberFormat="1" applyAlignment="1">
      <alignment horizontal="center" vertical="center"/>
    </xf>
    <xf numFmtId="41" fontId="0" fillId="0" borderId="0" xfId="2" applyFont="1"/>
    <xf numFmtId="1" fontId="18" fillId="0" borderId="0" xfId="0" applyNumberFormat="1" applyFont="1"/>
    <xf numFmtId="41" fontId="0" fillId="8" borderId="0" xfId="0" applyNumberFormat="1" applyFill="1"/>
    <xf numFmtId="9" fontId="0" fillId="0" borderId="0" xfId="4" applyFont="1" applyAlignment="1">
      <alignment horizontal="center"/>
    </xf>
    <xf numFmtId="0" fontId="28" fillId="0" borderId="21" xfId="5" applyFont="1" applyBorder="1" applyAlignment="1">
      <alignment horizontal="left" vertical="center"/>
    </xf>
    <xf numFmtId="44" fontId="19" fillId="0" borderId="21" xfId="0" applyNumberFormat="1" applyFont="1" applyBorder="1"/>
    <xf numFmtId="9" fontId="6" fillId="4" borderId="3" xfId="7" applyNumberFormat="1" applyAlignment="1">
      <alignment horizontal="center"/>
    </xf>
    <xf numFmtId="44" fontId="19" fillId="0" borderId="0" xfId="0" applyNumberFormat="1" applyFont="1"/>
    <xf numFmtId="43" fontId="19" fillId="0" borderId="0" xfId="0" applyNumberFormat="1" applyFont="1"/>
    <xf numFmtId="0" fontId="26" fillId="0" borderId="0" xfId="5" applyFont="1" applyBorder="1" applyAlignment="1">
      <alignment horizontal="left" vertical="center"/>
    </xf>
    <xf numFmtId="41" fontId="18" fillId="0" borderId="21" xfId="0" applyNumberFormat="1" applyFont="1" applyBorder="1"/>
    <xf numFmtId="0" fontId="0" fillId="0" borderId="21" xfId="0" applyBorder="1" applyAlignment="1">
      <alignment horizontal="center"/>
    </xf>
    <xf numFmtId="41" fontId="20" fillId="0" borderId="0" xfId="2" applyFont="1" applyFill="1" applyBorder="1" applyAlignment="1">
      <alignment vertical="center"/>
    </xf>
    <xf numFmtId="41" fontId="20" fillId="0" borderId="21" xfId="2" applyFont="1" applyFill="1" applyBorder="1" applyAlignment="1">
      <alignment vertical="center"/>
    </xf>
    <xf numFmtId="0" fontId="0" fillId="0" borderId="23" xfId="0" applyBorder="1"/>
    <xf numFmtId="0" fontId="29" fillId="0" borderId="0" xfId="0" applyFont="1"/>
    <xf numFmtId="41" fontId="30" fillId="4" borderId="3" xfId="2" applyFont="1" applyFill="1" applyBorder="1" applyAlignment="1">
      <alignment vertical="center"/>
    </xf>
    <xf numFmtId="41" fontId="30" fillId="4" borderId="20" xfId="2" applyFont="1" applyFill="1" applyBorder="1" applyAlignment="1">
      <alignment vertical="center"/>
    </xf>
    <xf numFmtId="0" fontId="0" fillId="8" borderId="0" xfId="0" applyFill="1" applyAlignment="1">
      <alignment wrapText="1"/>
    </xf>
    <xf numFmtId="1" fontId="0" fillId="8" borderId="0" xfId="0" applyNumberFormat="1" applyFill="1"/>
    <xf numFmtId="41" fontId="18" fillId="0" borderId="0" xfId="0" applyNumberFormat="1" applyFont="1"/>
    <xf numFmtId="0" fontId="25" fillId="0" borderId="23" xfId="5" applyFont="1" applyBorder="1" applyAlignment="1">
      <alignment horizontal="left" vertical="center"/>
    </xf>
    <xf numFmtId="1" fontId="0" fillId="0" borderId="23" xfId="0" applyNumberFormat="1" applyBorder="1"/>
    <xf numFmtId="0" fontId="0" fillId="0" borderId="23" xfId="0" applyBorder="1" applyAlignment="1">
      <alignment horizontal="center"/>
    </xf>
    <xf numFmtId="166" fontId="0" fillId="13" borderId="23" xfId="1" applyNumberFormat="1" applyFont="1" applyFill="1" applyBorder="1" applyAlignment="1">
      <alignment horizontal="center"/>
    </xf>
    <xf numFmtId="41" fontId="20" fillId="4" borderId="24" xfId="2" applyFont="1" applyFill="1" applyBorder="1" applyAlignment="1">
      <alignment vertical="center"/>
    </xf>
    <xf numFmtId="0" fontId="0" fillId="8" borderId="23" xfId="0" applyFill="1" applyBorder="1" applyAlignment="1">
      <alignment wrapText="1"/>
    </xf>
    <xf numFmtId="9" fontId="0" fillId="0" borderId="0" xfId="4" applyFont="1"/>
    <xf numFmtId="0" fontId="0" fillId="0" borderId="25" xfId="0" applyBorder="1"/>
    <xf numFmtId="0" fontId="0" fillId="0" borderId="25" xfId="0" applyBorder="1" applyAlignment="1">
      <alignment horizontal="center"/>
    </xf>
    <xf numFmtId="1" fontId="0" fillId="0" borderId="25" xfId="0" applyNumberFormat="1" applyBorder="1" applyAlignment="1">
      <alignment horizontal="center"/>
    </xf>
    <xf numFmtId="41" fontId="6" fillId="4" borderId="26" xfId="7" applyNumberFormat="1" applyBorder="1"/>
    <xf numFmtId="41" fontId="0" fillId="0" borderId="25" xfId="0" applyNumberFormat="1" applyBorder="1"/>
    <xf numFmtId="0" fontId="19" fillId="0" borderId="25" xfId="0" applyFont="1" applyBorder="1" applyAlignment="1">
      <alignment vertical="center"/>
    </xf>
    <xf numFmtId="9" fontId="0" fillId="0" borderId="25" xfId="4" applyFont="1" applyBorder="1" applyAlignment="1">
      <alignment horizontal="center"/>
    </xf>
    <xf numFmtId="0" fontId="19" fillId="0" borderId="25" xfId="0" applyFont="1" applyBorder="1"/>
    <xf numFmtId="165" fontId="28" fillId="0" borderId="21" xfId="3" applyNumberFormat="1" applyFont="1" applyFill="1" applyBorder="1" applyAlignment="1">
      <alignment horizontal="left" vertical="center"/>
    </xf>
    <xf numFmtId="165" fontId="28" fillId="8" borderId="22" xfId="3" applyNumberFormat="1" applyFont="1" applyFill="1" applyBorder="1" applyAlignment="1">
      <alignment horizontal="left" vertical="center"/>
    </xf>
    <xf numFmtId="0" fontId="11" fillId="11" borderId="23" xfId="0" applyFont="1" applyFill="1" applyBorder="1" applyAlignment="1">
      <alignment wrapText="1"/>
    </xf>
    <xf numFmtId="167" fontId="0" fillId="0" borderId="0" xfId="1" applyNumberFormat="1" applyFont="1"/>
    <xf numFmtId="167" fontId="0" fillId="0" borderId="25" xfId="0" applyNumberFormat="1" applyBorder="1"/>
    <xf numFmtId="0" fontId="0" fillId="11" borderId="23" xfId="0" applyFill="1" applyBorder="1"/>
    <xf numFmtId="0" fontId="0" fillId="0" borderId="0" xfId="0" applyAlignment="1">
      <alignment vertical="center" wrapText="1"/>
    </xf>
    <xf numFmtId="0" fontId="8" fillId="0" borderId="0" xfId="0" applyFont="1" applyAlignment="1">
      <alignment vertical="center" wrapText="1"/>
    </xf>
    <xf numFmtId="0" fontId="0" fillId="0" borderId="23" xfId="0" applyBorder="1" applyAlignment="1">
      <alignment vertical="center" wrapText="1"/>
    </xf>
    <xf numFmtId="0" fontId="31" fillId="0" borderId="0" xfId="5" applyFont="1" applyAlignment="1">
      <alignment horizontal="center" vertical="center"/>
    </xf>
    <xf numFmtId="0" fontId="5" fillId="0" borderId="2" xfId="6" applyAlignment="1">
      <alignment horizontal="center"/>
    </xf>
    <xf numFmtId="41" fontId="29" fillId="4" borderId="20" xfId="2" applyFont="1" applyFill="1" applyBorder="1" applyAlignment="1">
      <alignment vertical="center"/>
    </xf>
    <xf numFmtId="41" fontId="29" fillId="4" borderId="24" xfId="2" applyFont="1" applyFill="1" applyBorder="1" applyAlignment="1">
      <alignment vertical="center"/>
    </xf>
    <xf numFmtId="41" fontId="7" fillId="4" borderId="3" xfId="7" applyNumberFormat="1" applyFont="1" applyAlignment="1">
      <alignment horizontal="center" vertical="center"/>
    </xf>
    <xf numFmtId="41" fontId="29" fillId="4" borderId="3" xfId="7" applyNumberFormat="1" applyFont="1" applyAlignment="1">
      <alignment horizontal="center" vertical="center"/>
    </xf>
    <xf numFmtId="41" fontId="29" fillId="4" borderId="3" xfId="7" applyNumberFormat="1" applyFont="1"/>
    <xf numFmtId="0" fontId="27" fillId="0" borderId="0" xfId="0" applyFont="1" applyAlignment="1">
      <alignment horizontal="left" vertical="center" wrapText="1"/>
    </xf>
    <xf numFmtId="43" fontId="0" fillId="0" borderId="0" xfId="0" applyNumberFormat="1" applyAlignment="1">
      <alignment vertical="center"/>
    </xf>
    <xf numFmtId="0" fontId="32" fillId="14" borderId="17" xfId="0" applyFont="1" applyFill="1" applyBorder="1" applyAlignment="1">
      <alignment vertical="center" wrapText="1"/>
    </xf>
    <xf numFmtId="17" fontId="32" fillId="14" borderId="17" xfId="0" applyNumberFormat="1" applyFont="1" applyFill="1" applyBorder="1" applyAlignment="1">
      <alignment horizontal="center" vertical="center" wrapText="1"/>
    </xf>
    <xf numFmtId="0" fontId="32" fillId="14" borderId="17" xfId="0" applyFont="1" applyFill="1" applyBorder="1" applyAlignment="1">
      <alignment horizontal="center" vertical="center" wrapText="1"/>
    </xf>
    <xf numFmtId="0" fontId="33" fillId="14" borderId="17" xfId="0" applyFont="1" applyFill="1" applyBorder="1" applyAlignment="1">
      <alignment vertical="center" wrapText="1"/>
    </xf>
    <xf numFmtId="8" fontId="33" fillId="0" borderId="17" xfId="0" applyNumberFormat="1" applyFont="1" applyBorder="1" applyAlignment="1">
      <alignment horizontal="center" vertical="center" wrapText="1"/>
    </xf>
    <xf numFmtId="8" fontId="18" fillId="0" borderId="17" xfId="0" applyNumberFormat="1" applyFont="1" applyBorder="1" applyAlignment="1">
      <alignment horizontal="center" vertical="center"/>
    </xf>
    <xf numFmtId="169" fontId="18" fillId="0" borderId="17" xfId="0" applyNumberFormat="1" applyFont="1" applyBorder="1" applyAlignment="1">
      <alignment horizontal="center" vertical="center"/>
    </xf>
    <xf numFmtId="0" fontId="33" fillId="0" borderId="17" xfId="0" applyFont="1" applyBorder="1" applyAlignment="1">
      <alignment horizontal="center" vertical="center" wrapText="1"/>
    </xf>
    <xf numFmtId="8" fontId="0" fillId="0" borderId="17" xfId="0" applyNumberFormat="1" applyBorder="1" applyAlignment="1">
      <alignment horizontal="center" vertical="center"/>
    </xf>
    <xf numFmtId="169" fontId="0" fillId="0" borderId="17" xfId="0" applyNumberFormat="1" applyBorder="1" applyAlignment="1">
      <alignment horizontal="center" vertical="center"/>
    </xf>
    <xf numFmtId="165" fontId="0" fillId="0" borderId="0" xfId="0" applyNumberFormat="1"/>
    <xf numFmtId="0" fontId="0" fillId="0" borderId="17" xfId="0" applyBorder="1" applyAlignment="1">
      <alignment vertical="center"/>
    </xf>
    <xf numFmtId="2" fontId="34" fillId="0" borderId="17" xfId="0" applyNumberFormat="1" applyFont="1" applyBorder="1" applyAlignment="1">
      <alignment vertical="center"/>
    </xf>
    <xf numFmtId="0" fontId="1" fillId="2" borderId="17" xfId="0" applyFont="1" applyFill="1" applyBorder="1" applyAlignment="1">
      <alignment vertical="center"/>
    </xf>
    <xf numFmtId="1" fontId="34" fillId="0" borderId="17" xfId="0" applyNumberFormat="1" applyFont="1" applyBorder="1" applyAlignment="1">
      <alignment vertical="center"/>
    </xf>
    <xf numFmtId="2" fontId="35" fillId="0" borderId="17" xfId="0" applyNumberFormat="1" applyFont="1" applyBorder="1" applyAlignment="1">
      <alignment vertical="center"/>
    </xf>
    <xf numFmtId="9" fontId="34" fillId="0" borderId="17" xfId="0" applyNumberFormat="1" applyFont="1" applyBorder="1" applyAlignment="1">
      <alignment vertical="center"/>
    </xf>
    <xf numFmtId="0" fontId="2" fillId="3" borderId="17" xfId="0" applyFont="1" applyFill="1" applyBorder="1" applyAlignment="1">
      <alignment vertical="center"/>
    </xf>
    <xf numFmtId="168" fontId="0" fillId="0" borderId="17" xfId="0" applyNumberFormat="1" applyBorder="1" applyAlignment="1">
      <alignment vertical="center"/>
    </xf>
    <xf numFmtId="1" fontId="0" fillId="0" borderId="17" xfId="0" applyNumberFormat="1" applyBorder="1" applyAlignment="1">
      <alignment vertical="center"/>
    </xf>
    <xf numFmtId="2" fontId="0" fillId="0" borderId="17" xfId="0" applyNumberFormat="1" applyBorder="1" applyAlignment="1">
      <alignment vertical="center"/>
    </xf>
    <xf numFmtId="165" fontId="0" fillId="0" borderId="17" xfId="3" applyNumberFormat="1" applyFont="1" applyBorder="1" applyAlignment="1">
      <alignment vertical="center"/>
    </xf>
    <xf numFmtId="8" fontId="0" fillId="0" borderId="0" xfId="0" applyNumberFormat="1"/>
    <xf numFmtId="0" fontId="0" fillId="15" borderId="0" xfId="0" applyFill="1"/>
    <xf numFmtId="170" fontId="0" fillId="0" borderId="0" xfId="0" applyNumberFormat="1"/>
    <xf numFmtId="170" fontId="0" fillId="15" borderId="0" xfId="0" applyNumberFormat="1" applyFill="1"/>
    <xf numFmtId="170" fontId="0" fillId="15" borderId="0" xfId="0" applyNumberFormat="1" applyFill="1" applyAlignment="1">
      <alignment horizontal="right"/>
    </xf>
    <xf numFmtId="170" fontId="18" fillId="0" borderId="0" xfId="0" applyNumberFormat="1" applyFont="1"/>
    <xf numFmtId="9" fontId="0" fillId="0" borderId="0" xfId="0" applyNumberFormat="1"/>
    <xf numFmtId="0" fontId="18" fillId="0" borderId="0" xfId="0" applyFont="1" applyAlignment="1">
      <alignment horizontal="center"/>
    </xf>
    <xf numFmtId="0" fontId="38" fillId="0" borderId="27" xfId="0" applyFont="1" applyBorder="1"/>
    <xf numFmtId="0" fontId="38" fillId="0" borderId="28" xfId="0" applyFont="1" applyBorder="1"/>
    <xf numFmtId="0" fontId="38" fillId="0" borderId="29" xfId="0" applyFont="1" applyBorder="1"/>
    <xf numFmtId="0" fontId="38" fillId="0" borderId="30" xfId="0" applyFont="1" applyBorder="1"/>
    <xf numFmtId="0" fontId="38" fillId="0" borderId="31" xfId="0" applyFont="1" applyBorder="1"/>
    <xf numFmtId="4" fontId="38" fillId="0" borderId="31" xfId="0" applyNumberFormat="1" applyFont="1" applyBorder="1"/>
    <xf numFmtId="4" fontId="39" fillId="0" borderId="32" xfId="0" applyNumberFormat="1" applyFont="1" applyBorder="1"/>
    <xf numFmtId="0" fontId="39" fillId="0" borderId="30" xfId="0" applyFont="1" applyBorder="1"/>
    <xf numFmtId="0" fontId="38" fillId="0" borderId="33" xfId="0" applyFont="1" applyBorder="1"/>
    <xf numFmtId="0" fontId="38" fillId="0" borderId="34" xfId="0" applyFont="1" applyBorder="1"/>
    <xf numFmtId="4" fontId="39" fillId="0" borderId="35" xfId="0" applyNumberFormat="1" applyFont="1" applyBorder="1"/>
    <xf numFmtId="0" fontId="42" fillId="16" borderId="17" xfId="0" applyFont="1" applyFill="1" applyBorder="1"/>
    <xf numFmtId="0" fontId="43" fillId="0" borderId="36" xfId="0" applyFont="1" applyBorder="1"/>
    <xf numFmtId="0" fontId="38" fillId="0" borderId="36" xfId="0" applyFont="1" applyBorder="1"/>
    <xf numFmtId="0" fontId="44" fillId="0" borderId="37" xfId="0" applyFont="1" applyBorder="1"/>
    <xf numFmtId="0" fontId="0" fillId="0" borderId="37" xfId="0" applyBorder="1"/>
    <xf numFmtId="0" fontId="43" fillId="0" borderId="37" xfId="0" applyFont="1" applyBorder="1"/>
    <xf numFmtId="0" fontId="43" fillId="0" borderId="37" xfId="0" applyFont="1" applyBorder="1" applyAlignment="1">
      <alignment wrapText="1"/>
    </xf>
    <xf numFmtId="0" fontId="43" fillId="0" borderId="38" xfId="0" applyFont="1" applyBorder="1"/>
    <xf numFmtId="0" fontId="0" fillId="0" borderId="38" xfId="0" applyBorder="1"/>
    <xf numFmtId="0" fontId="44" fillId="0" borderId="17" xfId="0" applyFont="1" applyBorder="1"/>
    <xf numFmtId="0" fontId="38" fillId="0" borderId="17" xfId="0" applyFont="1" applyBorder="1"/>
    <xf numFmtId="0" fontId="43" fillId="0" borderId="17" xfId="0" applyFont="1" applyBorder="1"/>
    <xf numFmtId="0" fontId="47" fillId="0" borderId="0" xfId="0" applyFont="1"/>
    <xf numFmtId="0" fontId="47" fillId="0" borderId="41" xfId="0" applyFont="1" applyBorder="1"/>
    <xf numFmtId="0" fontId="49" fillId="0" borderId="42" xfId="0" applyFont="1" applyBorder="1"/>
    <xf numFmtId="0" fontId="0" fillId="0" borderId="43" xfId="0" applyBorder="1"/>
    <xf numFmtId="0" fontId="47" fillId="0" borderId="44" xfId="0" applyFont="1" applyBorder="1"/>
    <xf numFmtId="0" fontId="0" fillId="0" borderId="45" xfId="0" applyBorder="1"/>
    <xf numFmtId="164" fontId="0" fillId="0" borderId="0" xfId="0" applyNumberFormat="1"/>
    <xf numFmtId="164" fontId="0" fillId="0" borderId="45" xfId="0" applyNumberFormat="1" applyBorder="1"/>
    <xf numFmtId="0" fontId="45" fillId="0" borderId="44" xfId="0" applyFont="1" applyBorder="1"/>
    <xf numFmtId="0" fontId="45" fillId="0" borderId="44" xfId="0" quotePrefix="1" applyFont="1" applyBorder="1"/>
    <xf numFmtId="0" fontId="47" fillId="0" borderId="44" xfId="0" quotePrefix="1" applyFont="1" applyBorder="1"/>
    <xf numFmtId="0" fontId="48" fillId="0" borderId="44" xfId="0" applyFont="1" applyBorder="1"/>
    <xf numFmtId="0" fontId="0" fillId="0" borderId="44" xfId="0" applyBorder="1"/>
    <xf numFmtId="0" fontId="18" fillId="0" borderId="47" xfId="0" applyFont="1" applyBorder="1"/>
    <xf numFmtId="170" fontId="18" fillId="0" borderId="48" xfId="0" applyNumberFormat="1" applyFont="1" applyBorder="1"/>
    <xf numFmtId="0" fontId="42" fillId="0" borderId="44" xfId="0" applyFont="1" applyBorder="1"/>
    <xf numFmtId="170" fontId="18" fillId="0" borderId="45" xfId="0" applyNumberFormat="1" applyFont="1" applyBorder="1"/>
    <xf numFmtId="0" fontId="49" fillId="0" borderId="0" xfId="0" applyFont="1"/>
    <xf numFmtId="4" fontId="36" fillId="0" borderId="0" xfId="0" applyNumberFormat="1" applyFont="1"/>
    <xf numFmtId="4" fontId="0" fillId="0" borderId="45" xfId="0" applyNumberFormat="1" applyBorder="1"/>
    <xf numFmtId="4" fontId="47" fillId="0" borderId="0" xfId="0" applyNumberFormat="1" applyFont="1"/>
    <xf numFmtId="0" fontId="18" fillId="0" borderId="46" xfId="0" applyFont="1" applyBorder="1"/>
    <xf numFmtId="165" fontId="18" fillId="0" borderId="0" xfId="3" applyNumberFormat="1" applyFont="1"/>
    <xf numFmtId="165" fontId="18" fillId="0" borderId="0" xfId="0" applyNumberFormat="1" applyFont="1"/>
    <xf numFmtId="9" fontId="0" fillId="0" borderId="0" xfId="0" applyNumberFormat="1" applyAlignment="1">
      <alignment horizontal="center"/>
    </xf>
    <xf numFmtId="6" fontId="0" fillId="0" borderId="0" xfId="0" applyNumberFormat="1" applyAlignment="1">
      <alignment horizontal="center"/>
    </xf>
    <xf numFmtId="0" fontId="23" fillId="17" borderId="0" xfId="0" applyFont="1" applyFill="1"/>
    <xf numFmtId="0" fontId="18" fillId="18" borderId="0" xfId="0" applyFont="1" applyFill="1" applyAlignment="1">
      <alignment vertical="center"/>
    </xf>
    <xf numFmtId="0" fontId="0" fillId="18" borderId="0" xfId="0" applyFill="1" applyAlignment="1">
      <alignment vertical="center" wrapText="1"/>
    </xf>
    <xf numFmtId="165" fontId="18" fillId="18" borderId="0" xfId="3" applyNumberFormat="1" applyFont="1" applyFill="1" applyAlignment="1">
      <alignment vertical="center"/>
    </xf>
    <xf numFmtId="0" fontId="0" fillId="0" borderId="0" xfId="0" applyAlignment="1">
      <alignment horizontal="left" vertical="center"/>
    </xf>
    <xf numFmtId="0" fontId="0" fillId="0" borderId="0" xfId="0" applyAlignment="1">
      <alignment horizontal="left" vertical="center" wrapText="1"/>
    </xf>
    <xf numFmtId="165" fontId="0" fillId="0" borderId="0" xfId="3" applyNumberFormat="1" applyFont="1" applyAlignment="1">
      <alignment horizontal="left" vertical="center"/>
    </xf>
    <xf numFmtId="165" fontId="0" fillId="0" borderId="0" xfId="0" applyNumberFormat="1" applyAlignment="1">
      <alignment vertical="center"/>
    </xf>
    <xf numFmtId="0" fontId="23" fillId="17" borderId="0" xfId="0" applyFont="1" applyFill="1" applyAlignment="1">
      <alignment horizontal="center"/>
    </xf>
    <xf numFmtId="43" fontId="0" fillId="0" borderId="0" xfId="0" applyNumberFormat="1"/>
    <xf numFmtId="0" fontId="29" fillId="0" borderId="0" xfId="0" applyFont="1" applyAlignment="1">
      <alignment vertical="center"/>
    </xf>
    <xf numFmtId="0" fontId="35" fillId="0" borderId="0" xfId="0" applyFont="1" applyAlignment="1">
      <alignment vertical="center"/>
    </xf>
    <xf numFmtId="0" fontId="50" fillId="0" borderId="0" xfId="0" applyFont="1"/>
    <xf numFmtId="0" fontId="1" fillId="2" borderId="1" xfId="0" applyFont="1" applyFill="1" applyBorder="1" applyAlignment="1">
      <alignment horizontal="center" vertical="center" wrapText="1"/>
    </xf>
    <xf numFmtId="43" fontId="0" fillId="0" borderId="0" xfId="0" applyNumberFormat="1" applyAlignment="1">
      <alignment horizontal="center"/>
    </xf>
    <xf numFmtId="43" fontId="2" fillId="3" borderId="1" xfId="1" applyFont="1" applyFill="1" applyBorder="1" applyAlignment="1">
      <alignment horizontal="center" vertical="center" wrapText="1"/>
    </xf>
    <xf numFmtId="1" fontId="0" fillId="0" borderId="1" xfId="0" applyNumberFormat="1" applyBorder="1"/>
    <xf numFmtId="1" fontId="0" fillId="0" borderId="1" xfId="0" applyNumberFormat="1" applyBorder="1" applyAlignment="1">
      <alignment vertical="top" wrapText="1"/>
    </xf>
    <xf numFmtId="1" fontId="0" fillId="6" borderId="1" xfId="0" applyNumberFormat="1" applyFill="1" applyBorder="1"/>
    <xf numFmtId="1" fontId="0" fillId="6" borderId="1" xfId="0" applyNumberFormat="1" applyFill="1" applyBorder="1" applyAlignment="1">
      <alignment vertical="top" wrapText="1"/>
    </xf>
    <xf numFmtId="1" fontId="0" fillId="0" borderId="1" xfId="0" applyNumberFormat="1" applyBorder="1" applyAlignment="1">
      <alignment vertical="center"/>
    </xf>
    <xf numFmtId="1" fontId="0" fillId="0" borderId="1" xfId="0" applyNumberFormat="1" applyBorder="1" applyAlignment="1">
      <alignment vertical="center" wrapText="1"/>
    </xf>
    <xf numFmtId="1" fontId="0" fillId="0" borderId="1" xfId="0" applyNumberFormat="1" applyBorder="1" applyAlignment="1">
      <alignment horizontal="center" vertical="center"/>
    </xf>
    <xf numFmtId="165" fontId="0" fillId="6" borderId="0" xfId="3" applyNumberFormat="1" applyFont="1" applyFill="1" applyAlignment="1">
      <alignment horizontal="center" vertical="center"/>
    </xf>
    <xf numFmtId="165" fontId="0" fillId="6" borderId="1" xfId="3" applyNumberFormat="1" applyFont="1" applyFill="1" applyBorder="1" applyAlignment="1">
      <alignment horizontal="center" vertical="center"/>
    </xf>
    <xf numFmtId="167" fontId="2" fillId="3" borderId="1" xfId="1" applyNumberFormat="1" applyFont="1" applyFill="1" applyBorder="1" applyAlignment="1">
      <alignment vertical="center" wrapText="1"/>
    </xf>
    <xf numFmtId="165" fontId="2" fillId="3" borderId="1" xfId="3" applyNumberFormat="1" applyFont="1" applyFill="1" applyBorder="1" applyAlignment="1">
      <alignment vertical="center" wrapText="1"/>
    </xf>
    <xf numFmtId="44" fontId="0" fillId="0" borderId="1" xfId="3" applyFont="1" applyBorder="1" applyAlignment="1">
      <alignment horizontal="center" vertical="center"/>
    </xf>
    <xf numFmtId="0" fontId="18" fillId="19" borderId="17" xfId="0" applyFont="1" applyFill="1" applyBorder="1"/>
    <xf numFmtId="165" fontId="0" fillId="0" borderId="17" xfId="3" applyNumberFormat="1" applyFont="1" applyBorder="1"/>
    <xf numFmtId="44" fontId="0" fillId="0" borderId="0" xfId="0" applyNumberFormat="1" applyAlignment="1">
      <alignment vertical="center"/>
    </xf>
    <xf numFmtId="165" fontId="0" fillId="0" borderId="1" xfId="3" applyNumberFormat="1" applyFont="1" applyBorder="1" applyAlignment="1">
      <alignment horizontal="center" vertical="center"/>
    </xf>
    <xf numFmtId="0" fontId="0" fillId="0" borderId="1" xfId="3" applyNumberFormat="1" applyFont="1" applyBorder="1" applyAlignment="1">
      <alignment horizontal="center" vertical="center"/>
    </xf>
    <xf numFmtId="0" fontId="0" fillId="0" borderId="1" xfId="3" applyNumberFormat="1" applyFont="1" applyFill="1" applyBorder="1" applyAlignment="1">
      <alignment horizontal="center" vertical="center"/>
    </xf>
    <xf numFmtId="0" fontId="0" fillId="0" borderId="1" xfId="0" applyBorder="1" applyAlignment="1">
      <alignment horizontal="center" vertical="center"/>
    </xf>
    <xf numFmtId="0" fontId="51" fillId="0" borderId="1" xfId="3" applyNumberFormat="1" applyFont="1" applyFill="1" applyBorder="1" applyAlignment="1">
      <alignment horizontal="center" vertical="center"/>
    </xf>
    <xf numFmtId="165" fontId="0" fillId="0" borderId="17" xfId="0" applyNumberFormat="1" applyBorder="1"/>
    <xf numFmtId="0" fontId="18" fillId="20" borderId="17" xfId="0" applyFont="1" applyFill="1" applyBorder="1"/>
    <xf numFmtId="0" fontId="52" fillId="0" borderId="0" xfId="9" applyFont="1" applyAlignment="1">
      <alignment horizontal="center" vertical="top"/>
    </xf>
    <xf numFmtId="0" fontId="52" fillId="0" borderId="0" xfId="9" applyFont="1" applyAlignment="1">
      <alignment vertical="top"/>
    </xf>
    <xf numFmtId="0" fontId="53" fillId="11" borderId="0" xfId="9" applyFont="1" applyFill="1" applyAlignment="1">
      <alignment vertical="top"/>
    </xf>
    <xf numFmtId="0" fontId="54" fillId="11" borderId="0" xfId="9" applyFont="1" applyFill="1" applyAlignment="1">
      <alignment horizontal="center" vertical="top"/>
    </xf>
    <xf numFmtId="0" fontId="56" fillId="21" borderId="54" xfId="9" applyFont="1" applyFill="1" applyBorder="1" applyAlignment="1">
      <alignment horizontal="center" vertical="center" wrapText="1"/>
    </xf>
    <xf numFmtId="0" fontId="57" fillId="6" borderId="55" xfId="9" applyFont="1" applyFill="1" applyBorder="1" applyAlignment="1">
      <alignment horizontal="center" vertical="center"/>
    </xf>
    <xf numFmtId="0" fontId="57" fillId="6" borderId="56" xfId="9" applyFont="1" applyFill="1" applyBorder="1" applyAlignment="1">
      <alignment vertical="center"/>
    </xf>
    <xf numFmtId="0" fontId="57" fillId="6" borderId="56" xfId="9" applyFont="1" applyFill="1" applyBorder="1" applyAlignment="1">
      <alignment horizontal="center" vertical="center"/>
    </xf>
    <xf numFmtId="165" fontId="52" fillId="0" borderId="0" xfId="9" applyNumberFormat="1" applyFont="1" applyAlignment="1">
      <alignment vertical="top"/>
    </xf>
    <xf numFmtId="0" fontId="59" fillId="0" borderId="55" xfId="10" applyNumberFormat="1" applyFont="1" applyBorder="1" applyAlignment="1">
      <alignment horizontal="center" vertical="center" wrapText="1"/>
    </xf>
    <xf numFmtId="0" fontId="60" fillId="0" borderId="56" xfId="11" applyFont="1" applyBorder="1" applyAlignment="1">
      <alignment horizontal="justify" vertical="center" wrapText="1"/>
    </xf>
    <xf numFmtId="0" fontId="59" fillId="0" borderId="56" xfId="9" applyFont="1" applyBorder="1" applyAlignment="1">
      <alignment horizontal="center" vertical="center" wrapText="1"/>
    </xf>
    <xf numFmtId="165" fontId="52" fillId="0" borderId="0" xfId="10" applyNumberFormat="1" applyFont="1" applyAlignment="1">
      <alignment vertical="top"/>
    </xf>
    <xf numFmtId="0" fontId="61" fillId="0" borderId="56" xfId="11" applyFont="1" applyBorder="1" applyAlignment="1">
      <alignment horizontal="justify" vertical="center" wrapText="1"/>
    </xf>
    <xf numFmtId="0" fontId="52" fillId="0" borderId="55" xfId="9" applyFont="1" applyBorder="1" applyAlignment="1">
      <alignment horizontal="center" vertical="center"/>
    </xf>
    <xf numFmtId="0" fontId="62" fillId="0" borderId="55" xfId="11" applyFont="1" applyBorder="1" applyAlignment="1">
      <alignment horizontal="center" vertical="center"/>
    </xf>
    <xf numFmtId="0" fontId="63" fillId="0" borderId="57" xfId="11" applyFont="1" applyBorder="1" applyAlignment="1">
      <alignment horizontal="justify" vertical="center" wrapText="1"/>
    </xf>
    <xf numFmtId="0" fontId="64" fillId="0" borderId="57" xfId="11" applyFont="1" applyBorder="1" applyAlignment="1">
      <alignment horizontal="center" vertical="center" wrapText="1"/>
    </xf>
    <xf numFmtId="0" fontId="62" fillId="0" borderId="58" xfId="11" applyFont="1" applyBorder="1" applyAlignment="1">
      <alignment horizontal="center" vertical="center"/>
    </xf>
    <xf numFmtId="0" fontId="63" fillId="0" borderId="59" xfId="11" applyFont="1" applyBorder="1" applyAlignment="1">
      <alignment horizontal="justify" vertical="center" wrapText="1"/>
    </xf>
    <xf numFmtId="0" fontId="64" fillId="0" borderId="59" xfId="11" applyFont="1" applyBorder="1" applyAlignment="1">
      <alignment horizontal="center" vertical="center" wrapText="1"/>
    </xf>
    <xf numFmtId="0" fontId="57" fillId="6" borderId="0" xfId="9" applyFont="1" applyFill="1" applyAlignment="1">
      <alignment horizontal="center" vertical="center"/>
    </xf>
    <xf numFmtId="0" fontId="57" fillId="6" borderId="0" xfId="9" applyFont="1" applyFill="1" applyAlignment="1">
      <alignment vertical="center"/>
    </xf>
    <xf numFmtId="165" fontId="0" fillId="0" borderId="0" xfId="3" applyNumberFormat="1" applyFont="1" applyFill="1" applyAlignment="1">
      <alignment horizontal="left" vertical="center"/>
    </xf>
    <xf numFmtId="171" fontId="0" fillId="0" borderId="0" xfId="4" applyNumberFormat="1" applyFont="1"/>
    <xf numFmtId="169" fontId="0" fillId="0" borderId="0" xfId="0" applyNumberFormat="1"/>
    <xf numFmtId="168" fontId="34" fillId="0" borderId="17" xfId="0" applyNumberFormat="1" applyFont="1" applyBorder="1" applyAlignment="1">
      <alignment vertical="center"/>
    </xf>
    <xf numFmtId="0" fontId="55" fillId="21" borderId="49" xfId="9" applyFont="1" applyFill="1" applyBorder="1" applyAlignment="1">
      <alignment horizontal="center" vertical="center"/>
    </xf>
    <xf numFmtId="0" fontId="55" fillId="21" borderId="53" xfId="9" applyFont="1" applyFill="1" applyBorder="1" applyAlignment="1">
      <alignment horizontal="center" vertical="center"/>
    </xf>
    <xf numFmtId="0" fontId="55" fillId="21" borderId="50" xfId="9" applyFont="1" applyFill="1" applyBorder="1" applyAlignment="1">
      <alignment horizontal="center" vertical="center"/>
    </xf>
    <xf numFmtId="0" fontId="55" fillId="21" borderId="51" xfId="9" applyFont="1" applyFill="1" applyBorder="1" applyAlignment="1">
      <alignment horizontal="center" vertical="center"/>
    </xf>
    <xf numFmtId="0" fontId="55" fillId="21" borderId="52" xfId="9" applyFont="1" applyFill="1" applyBorder="1" applyAlignment="1">
      <alignment horizontal="center" vertical="center"/>
    </xf>
    <xf numFmtId="0" fontId="52" fillId="0" borderId="0" xfId="9" applyFont="1" applyAlignment="1">
      <alignment horizontal="left" vertical="top"/>
    </xf>
    <xf numFmtId="0" fontId="43" fillId="0" borderId="39" xfId="0" applyFont="1" applyBorder="1"/>
    <xf numFmtId="0" fontId="43" fillId="0" borderId="40" xfId="0" applyFont="1" applyBorder="1"/>
    <xf numFmtId="0" fontId="9" fillId="8" borderId="5" xfId="0" applyFont="1" applyFill="1" applyBorder="1" applyAlignment="1">
      <alignment horizontal="center" vertical="center"/>
    </xf>
    <xf numFmtId="0" fontId="9" fillId="8" borderId="6" xfId="0" applyFont="1" applyFill="1" applyBorder="1" applyAlignment="1">
      <alignment horizontal="center" vertical="center"/>
    </xf>
    <xf numFmtId="0" fontId="9" fillId="8" borderId="7" xfId="0" applyFont="1" applyFill="1" applyBorder="1" applyAlignment="1">
      <alignment horizontal="center" vertic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9" borderId="10"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10" fillId="10" borderId="14" xfId="0" applyFont="1" applyFill="1" applyBorder="1" applyAlignment="1">
      <alignment horizontal="center" vertical="center"/>
    </xf>
    <xf numFmtId="0" fontId="10" fillId="10" borderId="16" xfId="0" applyFont="1" applyFill="1" applyBorder="1" applyAlignment="1">
      <alignment horizontal="center" vertical="center"/>
    </xf>
    <xf numFmtId="0" fontId="10" fillId="8" borderId="5" xfId="0" applyFont="1" applyFill="1" applyBorder="1" applyAlignment="1">
      <alignment horizontal="center"/>
    </xf>
    <xf numFmtId="0" fontId="10" fillId="8" borderId="6" xfId="0" applyFont="1" applyFill="1" applyBorder="1" applyAlignment="1">
      <alignment horizontal="center"/>
    </xf>
    <xf numFmtId="0" fontId="10" fillId="8" borderId="7" xfId="0" applyFont="1" applyFill="1" applyBorder="1" applyAlignment="1">
      <alignment horizontal="center"/>
    </xf>
    <xf numFmtId="0" fontId="0" fillId="8" borderId="0" xfId="0" applyFill="1" applyAlignment="1">
      <alignment horizontal="left" wrapText="1"/>
    </xf>
    <xf numFmtId="0" fontId="0" fillId="8" borderId="19" xfId="0" applyFill="1" applyBorder="1" applyAlignment="1">
      <alignment horizontal="left" wrapText="1"/>
    </xf>
    <xf numFmtId="164" fontId="10" fillId="12" borderId="17" xfId="0" applyNumberFormat="1" applyFont="1" applyFill="1" applyBorder="1" applyAlignment="1">
      <alignment horizontal="center"/>
    </xf>
    <xf numFmtId="0" fontId="10" fillId="12" borderId="17" xfId="0" applyFont="1" applyFill="1" applyBorder="1" applyAlignment="1">
      <alignment horizontal="center"/>
    </xf>
    <xf numFmtId="0" fontId="15" fillId="8" borderId="5" xfId="0" applyFont="1" applyFill="1" applyBorder="1" applyAlignment="1">
      <alignment horizontal="center"/>
    </xf>
    <xf numFmtId="0" fontId="15" fillId="8" borderId="6" xfId="0" applyFont="1" applyFill="1" applyBorder="1" applyAlignment="1">
      <alignment horizontal="center"/>
    </xf>
    <xf numFmtId="0" fontId="15" fillId="8" borderId="7" xfId="0" applyFont="1" applyFill="1" applyBorder="1" applyAlignment="1">
      <alignment horizontal="center"/>
    </xf>
    <xf numFmtId="0" fontId="0" fillId="0" borderId="8" xfId="0" applyBorder="1" applyAlignment="1">
      <alignment horizontal="justify" vertical="center" wrapText="1"/>
    </xf>
    <xf numFmtId="0" fontId="0" fillId="0" borderId="9" xfId="0" applyBorder="1" applyAlignment="1">
      <alignment horizontal="justify" vertical="center" wrapText="1"/>
    </xf>
    <xf numFmtId="0" fontId="0" fillId="0" borderId="10" xfId="0" applyBorder="1" applyAlignment="1">
      <alignment horizontal="justify" vertical="center" wrapText="1"/>
    </xf>
    <xf numFmtId="0" fontId="0" fillId="0" borderId="18" xfId="0" applyBorder="1" applyAlignment="1">
      <alignment horizontal="justify" vertical="center" wrapText="1"/>
    </xf>
    <xf numFmtId="0" fontId="0" fillId="0" borderId="0" xfId="0" applyAlignment="1">
      <alignment horizontal="justify" vertical="center" wrapText="1"/>
    </xf>
    <xf numFmtId="0" fontId="0" fillId="0" borderId="19" xfId="0" applyBorder="1" applyAlignment="1">
      <alignment horizontal="justify" vertical="center" wrapText="1"/>
    </xf>
    <xf numFmtId="0" fontId="0" fillId="0" borderId="11" xfId="0" applyBorder="1" applyAlignment="1">
      <alignment horizontal="justify" vertical="center" wrapText="1"/>
    </xf>
    <xf numFmtId="0" fontId="0" fillId="0" borderId="12" xfId="0" applyBorder="1" applyAlignment="1">
      <alignment horizontal="justify" vertical="center" wrapText="1"/>
    </xf>
    <xf numFmtId="0" fontId="0" fillId="0" borderId="13" xfId="0" applyBorder="1" applyAlignment="1">
      <alignment horizontal="justify" vertical="center" wrapText="1"/>
    </xf>
    <xf numFmtId="0" fontId="17" fillId="0" borderId="0" xfId="0" applyFont="1" applyAlignment="1">
      <alignment horizontal="left"/>
    </xf>
    <xf numFmtId="0" fontId="17" fillId="0" borderId="19" xfId="0" applyFont="1" applyBorder="1" applyAlignment="1">
      <alignment horizontal="left"/>
    </xf>
    <xf numFmtId="0" fontId="0" fillId="8" borderId="0" xfId="0" applyFill="1" applyAlignment="1">
      <alignment horizontal="left" vertical="top" wrapText="1"/>
    </xf>
  </cellXfs>
  <cellStyles count="12">
    <cellStyle name="Comma" xfId="1" builtinId="3"/>
    <cellStyle name="Comma [0]" xfId="2" builtinId="6"/>
    <cellStyle name="Currency" xfId="3" builtinId="4"/>
    <cellStyle name="Currency 2" xfId="10" xr:uid="{D7B48520-8EC5-46C9-ACFE-07415F6ECC2F}"/>
    <cellStyle name="Encabezado de tabla" xfId="8" xr:uid="{11EBBE79-3BA8-954F-9356-A7FCFC115DFA}"/>
    <cellStyle name="Heading 1" xfId="6" builtinId="16"/>
    <cellStyle name="Input" xfId="7" builtinId="20"/>
    <cellStyle name="Normal" xfId="0" builtinId="0"/>
    <cellStyle name="Normal 2" xfId="9" xr:uid="{930DB0F9-8F06-4DFB-9918-5D7F70777E54}"/>
    <cellStyle name="Normal 3" xfId="11" xr:uid="{7063F409-72CE-4999-A7AF-1A09C6A59053}"/>
    <cellStyle name="Percent" xfId="4" builtinId="5"/>
    <cellStyle name="Title" xfId="5"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'OPEX (2)'!$C$50</c:f>
              <c:strCache>
                <c:ptCount val="1"/>
                <c:pt idx="0">
                  <c:v>Annual 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'OPEX (2)'!$B$51:$B$59</c:f>
              <c:strCache>
                <c:ptCount val="9"/>
                <c:pt idx="0">
                  <c:v>NOC</c:v>
                </c:pt>
                <c:pt idx="1">
                  <c:v>FSCA</c:v>
                </c:pt>
                <c:pt idx="2">
                  <c:v>Energy</c:v>
                </c:pt>
                <c:pt idx="3">
                  <c:v>Brokkr Platform</c:v>
                </c:pt>
                <c:pt idx="4">
                  <c:v>OEM Support</c:v>
                </c:pt>
                <c:pt idx="5">
                  <c:v>Personnel</c:v>
                </c:pt>
                <c:pt idx="6">
                  <c:v>O&amp;M Infra</c:v>
                </c:pt>
                <c:pt idx="7">
                  <c:v>Seguros</c:v>
                </c:pt>
                <c:pt idx="8">
                  <c:v>Telecom</c:v>
                </c:pt>
              </c:strCache>
            </c:strRef>
          </c:cat>
          <c:val>
            <c:numRef>
              <c:f>'OPEX (2)'!$C$51:$C$59</c:f>
              <c:numCache>
                <c:formatCode>_-"$"* #,##0_-;\-"$"* #,##0_-;_-"$"* "-"??_-;_-@_-</c:formatCode>
                <c:ptCount val="9"/>
                <c:pt idx="0">
                  <c:v>48837.20930232558</c:v>
                </c:pt>
                <c:pt idx="1">
                  <c:v>46744.186046511633</c:v>
                </c:pt>
                <c:pt idx="2">
                  <c:v>1246772.0930232559</c:v>
                </c:pt>
                <c:pt idx="3">
                  <c:v>27906.976744186049</c:v>
                </c:pt>
                <c:pt idx="4">
                  <c:v>101162.79069767443</c:v>
                </c:pt>
                <c:pt idx="5">
                  <c:v>286046.51162790699</c:v>
                </c:pt>
                <c:pt idx="6">
                  <c:v>316744.18604651163</c:v>
                </c:pt>
                <c:pt idx="7">
                  <c:v>244186.04651162791</c:v>
                </c:pt>
                <c:pt idx="8">
                  <c:v>456962.79069767444</c:v>
                </c:pt>
              </c:numCache>
            </c:numRef>
          </c:val>
          <c:extLst>
            <c:ext xmlns:c16="http://schemas.microsoft.com/office/drawing/2014/chart" uri="{C3380CC4-5D6E-409C-BE32-E72D297353CC}">
              <c16:uniqueId val="{00000000-7E1F-4A1E-8F41-5C7C75097124}"/>
            </c:ext>
          </c:extLst>
        </c:ser>
        <c:dLbls>
          <c:showLegendKey val="0"/>
          <c:showVal val="0"/>
          <c:showCatName val="0"/>
          <c:showSerName val="0"/>
          <c:showPercent val="0"/>
          <c:showBubbleSize val="0"/>
        </c:dLbls>
        <c:gapWidth val="219"/>
        <c:overlap val="-27"/>
        <c:axId val="1149866736"/>
        <c:axId val="1149877776"/>
      </c:barChart>
      <c:catAx>
        <c:axId val="114986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877776"/>
        <c:crosses val="autoZero"/>
        <c:auto val="1"/>
        <c:lblAlgn val="ctr"/>
        <c:lblOffset val="100"/>
        <c:noMultiLvlLbl val="0"/>
      </c:catAx>
      <c:valAx>
        <c:axId val="1149877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86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O&amp;M Expense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O&amp;M Expense</a:t>
          </a:r>
        </a:p>
      </cx:txPr>
    </cx:title>
    <cx:plotArea>
      <cx:plotAreaRegion>
        <cx:series layoutId="treemap" uniqueId="{22A10DC8-7399-4E31-847B-56ADAFDBBB98}">
          <cx:tx>
            <cx:txData>
              <cx:f>_xlchart.v1.1</cx:f>
              <cx:v>Annual Expense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YEARLY OPEX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YEARLY OPEX Waterfall</a:t>
          </a:r>
        </a:p>
      </cx:txPr>
    </cx:title>
    <cx:plotArea>
      <cx:plotAreaRegion>
        <cx:series layoutId="waterfall" uniqueId="{0A8C7DE7-0994-4420-A91F-70B5FEE1916A}">
          <cx:tx>
            <cx:txData>
              <cx:f>_xlchart.v1.4</cx:f>
              <cx:v>Annual Expense</cx:v>
            </cx:txData>
          </cx:tx>
          <cx:spPr>
            <a:solidFill>
              <a:srgbClr val="002060"/>
            </a:solidFill>
          </cx:spPr>
          <cx:dataPt idx="9">
            <cx:spPr>
              <a:solidFill>
                <a:srgbClr val="FFC000"/>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dataLabel idx="9">
              <cx:txPr>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Calibri"/>
                    </a:rPr>
                    <a:t>-$2,402,612 </a:t>
                  </a:r>
                </a:p>
              </cx:txPr>
            </cx:dataLabel>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16</xdr:row>
      <xdr:rowOff>330942</xdr:rowOff>
    </xdr:from>
    <xdr:to>
      <xdr:col>4</xdr:col>
      <xdr:colOff>360</xdr:colOff>
      <xdr:row>17</xdr:row>
      <xdr:rowOff>1102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2">
              <a:extLst>
                <a:ext uri="{FF2B5EF4-FFF2-40B4-BE49-F238E27FC236}">
                  <a16:creationId xmlns:a16="http://schemas.microsoft.com/office/drawing/2014/main" id="{B598D80E-0443-49E0-A473-E595289B99AF}"/>
                </a:ext>
              </a:extLst>
            </xdr14:cNvPr>
            <xdr14:cNvContentPartPr/>
          </xdr14:nvContentPartPr>
          <xdr14:nvPr macro=""/>
          <xdr14:xfrm>
            <a:off x="13145400" y="16583918"/>
            <a:ext cx="360" cy="360"/>
          </xdr14:xfrm>
        </xdr:contentPart>
      </mc:Choice>
      <mc:Fallback xmlns="">
        <xdr:pic>
          <xdr:nvPicPr>
            <xdr:cNvPr id="3" name="Entrada de lápiz 2">
              <a:extLst>
                <a:ext uri="{FF2B5EF4-FFF2-40B4-BE49-F238E27FC236}">
                  <a16:creationId xmlns:a16="http://schemas.microsoft.com/office/drawing/2014/main" id="{6C373ABC-18FF-068C-88F6-A1348C5EB041}"/>
                </a:ext>
              </a:extLst>
            </xdr:cNvPr>
            <xdr:cNvPicPr/>
          </xdr:nvPicPr>
          <xdr:blipFill>
            <a:blip xmlns:r="http://schemas.openxmlformats.org/officeDocument/2006/relationships" r:embed="rId3"/>
            <a:stretch>
              <a:fillRect/>
            </a:stretch>
          </xdr:blipFill>
          <xdr:spPr>
            <a:xfrm>
              <a:off x="13140720" y="16579238"/>
              <a:ext cx="9360" cy="93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407456</xdr:colOff>
      <xdr:row>48</xdr:row>
      <xdr:rowOff>110066</xdr:rowOff>
    </xdr:from>
    <xdr:to>
      <xdr:col>12</xdr:col>
      <xdr:colOff>642936</xdr:colOff>
      <xdr:row>90</xdr:row>
      <xdr:rowOff>71437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93EC347-A8D5-6B7F-DFD2-3FEE2A2905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3381" y="15673916"/>
              <a:ext cx="9903355" cy="79623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1333499</xdr:colOff>
      <xdr:row>49</xdr:row>
      <xdr:rowOff>120648</xdr:rowOff>
    </xdr:from>
    <xdr:to>
      <xdr:col>26</xdr:col>
      <xdr:colOff>174625</xdr:colOff>
      <xdr:row>92</xdr:row>
      <xdr:rowOff>119062</xdr:rowOff>
    </xdr:to>
    <xdr:graphicFrame macro="">
      <xdr:nvGraphicFramePr>
        <xdr:cNvPr id="3" name="Chart 2">
          <a:extLst>
            <a:ext uri="{FF2B5EF4-FFF2-40B4-BE49-F238E27FC236}">
              <a16:creationId xmlns:a16="http://schemas.microsoft.com/office/drawing/2014/main" id="{78D17A72-7792-A59C-D545-571107CCA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521073</xdr:colOff>
      <xdr:row>49</xdr:row>
      <xdr:rowOff>135589</xdr:rowOff>
    </xdr:from>
    <xdr:to>
      <xdr:col>48</xdr:col>
      <xdr:colOff>176892</xdr:colOff>
      <xdr:row>93</xdr:row>
      <xdr:rowOff>40821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9D664D7-0461-4C4C-34CC-F53FB0371B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476823" y="15889939"/>
              <a:ext cx="12647919" cy="82872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279400</xdr:colOff>
      <xdr:row>4</xdr:row>
      <xdr:rowOff>2540</xdr:rowOff>
    </xdr:from>
    <xdr:to>
      <xdr:col>0</xdr:col>
      <xdr:colOff>1943671</xdr:colOff>
      <xdr:row>5</xdr:row>
      <xdr:rowOff>42333</xdr:rowOff>
    </xdr:to>
    <xdr:sp macro="" textlink="">
      <xdr:nvSpPr>
        <xdr:cNvPr id="2" name="Text Box 11">
          <a:extLst>
            <a:ext uri="{FF2B5EF4-FFF2-40B4-BE49-F238E27FC236}">
              <a16:creationId xmlns:a16="http://schemas.microsoft.com/office/drawing/2014/main" id="{51732415-DCD3-1B48-9C42-F14F83CADD54}"/>
            </a:ext>
          </a:extLst>
        </xdr:cNvPr>
        <xdr:cNvSpPr txBox="1">
          <a:spLocks noChangeArrowheads="1"/>
        </xdr:cNvSpPr>
      </xdr:nvSpPr>
      <xdr:spPr bwMode="auto">
        <a:xfrm>
          <a:off x="279400" y="789940"/>
          <a:ext cx="1664271" cy="217593"/>
        </a:xfrm>
        <a:prstGeom prst="rect">
          <a:avLst/>
        </a:prstGeom>
        <a:noFill/>
        <a:ln>
          <a:noFill/>
        </a:ln>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s-MX" sz="1000" b="1" i="0" baseline="0">
              <a:effectLst/>
              <a:latin typeface="+mn-lt"/>
              <a:ea typeface="+mn-ea"/>
              <a:cs typeface="+mn-cs"/>
            </a:rPr>
            <a:t>www.atn.com.mx</a:t>
          </a:r>
          <a:endParaRPr lang="es-MX" sz="800" b="1" i="0" u="none" strike="noStrike" baseline="0">
            <a:solidFill>
              <a:srgbClr val="2E5588"/>
            </a:solidFill>
            <a:latin typeface="Arial"/>
            <a:cs typeface="Arial"/>
          </a:endParaRPr>
        </a:p>
      </xdr:txBody>
    </xdr:sp>
    <xdr:clientData/>
  </xdr:twoCellAnchor>
  <xdr:oneCellAnchor>
    <xdr:from>
      <xdr:col>0</xdr:col>
      <xdr:colOff>152400</xdr:colOff>
      <xdr:row>0</xdr:row>
      <xdr:rowOff>160867</xdr:rowOff>
    </xdr:from>
    <xdr:ext cx="1579418" cy="641350"/>
    <xdr:pic>
      <xdr:nvPicPr>
        <xdr:cNvPr id="3" name="Imagen 2">
          <a:extLst>
            <a:ext uri="{FF2B5EF4-FFF2-40B4-BE49-F238E27FC236}">
              <a16:creationId xmlns:a16="http://schemas.microsoft.com/office/drawing/2014/main" id="{6E89F605-3279-5343-9A47-AA1E998514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60867"/>
          <a:ext cx="1579418" cy="64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2-17T17:59:39.621"/>
    </inkml:context>
    <inkml:brush xml:id="br0">
      <inkml:brushProperty name="width" value="0.02646" units="cm"/>
      <inkml:brushProperty name="height" value="0.02646" units="cm"/>
      <inkml:brushProperty name="fitToCurve" value="1"/>
    </inkml:brush>
  </inkml:definitions>
  <inkml:trace contextRef="#ctx0" brushRef="#br0">1 0 10064 0 0</inkml:trace>
</inkml:ink>
</file>

<file path=xl/persons/person.xml><?xml version="1.0" encoding="utf-8"?>
<personList xmlns="http://schemas.microsoft.com/office/spreadsheetml/2018/threadedcomments" xmlns:x="http://schemas.openxmlformats.org/spreadsheetml/2006/main">
  <person displayName="Santiago Miranda" id="{54509834-DE77-47D2-AB11-A4C154AE867B}" userId="S::smiranda@fermacadreams.com.mx::9ecb541a-48cb-46be-9715-3984b65cb76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2" dT="2025-12-29T17:40:15.87" personId="{54509834-DE77-47D2-AB11-A4C154AE867B}" id="{8EFF6F21-7C31-4BA1-AB45-AE79121752EB}">
    <text>Hacer total por seccion</text>
  </threadedComment>
</ThreadedComments>
</file>

<file path=xl/threadedComments/threadedComment2.xml><?xml version="1.0" encoding="utf-8"?>
<ThreadedComments xmlns="http://schemas.microsoft.com/office/spreadsheetml/2018/threadedcomments" xmlns:x="http://schemas.openxmlformats.org/spreadsheetml/2006/main">
  <threadedComment ref="I20" dT="2026-02-18T00:29:51.43" personId="{54509834-DE77-47D2-AB11-A4C154AE867B}" id="{4E771096-69C1-4368-B9D8-02D068739343}">
    <text>Agregar NOC</text>
  </threadedComment>
  <threadedComment ref="I35" dT="2026-02-18T00:43:09.93" personId="{54509834-DE77-47D2-AB11-A4C154AE867B}" id="{47802C06-DC5D-439B-BB72-E0A588630422}">
    <text>QUITAR</text>
  </threadedComment>
  <threadedComment ref="G44" dT="2025-12-29T17:40:15.87" personId="{54509834-DE77-47D2-AB11-A4C154AE867B}" id="{C2AEC786-D664-4C08-B2CF-F1CB65E71EE1}">
    <text>Hacer total por seccion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5B505C7-58A0-410F-A925-1EF325C36518}">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showGridLines="0" workbookViewId="0">
      <pane ySplit="1" topLeftCell="A2" activePane="bottomLeft" state="frozen"/>
      <selection pane="bottomLeft" activeCell="B3" sqref="B3"/>
    </sheetView>
  </sheetViews>
  <sheetFormatPr defaultColWidth="8.85546875" defaultRowHeight="15" x14ac:dyDescent="0.25"/>
  <cols>
    <col min="1" max="1" width="26" customWidth="1"/>
    <col min="2" max="2" width="28" customWidth="1"/>
    <col min="3" max="3" width="80" customWidth="1"/>
  </cols>
  <sheetData>
    <row r="1" spans="1:3" x14ac:dyDescent="0.25">
      <c r="A1" s="1" t="s">
        <v>366</v>
      </c>
      <c r="B1" s="1" t="s">
        <v>367</v>
      </c>
      <c r="C1" s="1" t="s">
        <v>368</v>
      </c>
    </row>
    <row r="2" spans="1:3" ht="51" customHeight="1" x14ac:dyDescent="0.25">
      <c r="A2" s="7" t="s">
        <v>210</v>
      </c>
      <c r="B2" s="7" t="s">
        <v>369</v>
      </c>
      <c r="C2" s="7" t="s">
        <v>370</v>
      </c>
    </row>
    <row r="3" spans="1:3" ht="51" customHeight="1" x14ac:dyDescent="0.25">
      <c r="A3" s="7" t="s">
        <v>7</v>
      </c>
      <c r="B3" s="7" t="s">
        <v>371</v>
      </c>
      <c r="C3" s="7" t="s">
        <v>372</v>
      </c>
    </row>
    <row r="4" spans="1:3" ht="51" customHeight="1" x14ac:dyDescent="0.25">
      <c r="A4" s="7" t="s">
        <v>373</v>
      </c>
      <c r="B4" s="7" t="s">
        <v>374</v>
      </c>
      <c r="C4" s="7" t="s">
        <v>375</v>
      </c>
    </row>
    <row r="5" spans="1:3" ht="51" customHeight="1" x14ac:dyDescent="0.25">
      <c r="A5" s="7" t="s">
        <v>376</v>
      </c>
      <c r="B5" s="7" t="s">
        <v>377</v>
      </c>
      <c r="C5" s="7" t="s">
        <v>378</v>
      </c>
    </row>
    <row r="6" spans="1:3" ht="51" customHeight="1" x14ac:dyDescent="0.25">
      <c r="A6" s="7" t="s">
        <v>379</v>
      </c>
      <c r="B6" s="7" t="s">
        <v>380</v>
      </c>
      <c r="C6" s="7" t="s">
        <v>381</v>
      </c>
    </row>
    <row r="7" spans="1:3" ht="51" customHeight="1" x14ac:dyDescent="0.25">
      <c r="A7" s="7" t="s">
        <v>382</v>
      </c>
      <c r="B7" s="7" t="s">
        <v>383</v>
      </c>
      <c r="C7" s="7" t="s">
        <v>384</v>
      </c>
    </row>
    <row r="8" spans="1:3" ht="51" customHeight="1" x14ac:dyDescent="0.25">
      <c r="A8" s="7" t="s">
        <v>385</v>
      </c>
      <c r="B8" s="7" t="s">
        <v>386</v>
      </c>
      <c r="C8" s="7" t="s">
        <v>387</v>
      </c>
    </row>
    <row r="9" spans="1:3" ht="51" customHeight="1" x14ac:dyDescent="0.25">
      <c r="A9" s="7" t="s">
        <v>388</v>
      </c>
      <c r="B9" s="7" t="s">
        <v>389</v>
      </c>
      <c r="C9" s="7" t="s">
        <v>390</v>
      </c>
    </row>
    <row r="10" spans="1:3" ht="51" customHeight="1" x14ac:dyDescent="0.25">
      <c r="A10" s="7" t="s">
        <v>391</v>
      </c>
      <c r="B10" s="7" t="s">
        <v>392</v>
      </c>
      <c r="C10" s="7" t="s">
        <v>393</v>
      </c>
    </row>
    <row r="11" spans="1:3" ht="51" customHeight="1" x14ac:dyDescent="0.25">
      <c r="A11" s="7" t="s">
        <v>394</v>
      </c>
      <c r="B11" s="7" t="s">
        <v>395</v>
      </c>
      <c r="C11" s="7" t="s">
        <v>396</v>
      </c>
    </row>
    <row r="12" spans="1:3" ht="51" customHeight="1" x14ac:dyDescent="0.25">
      <c r="A12" s="7" t="s">
        <v>259</v>
      </c>
      <c r="B12" s="7" t="s">
        <v>397</v>
      </c>
      <c r="C12" s="7" t="s">
        <v>398</v>
      </c>
    </row>
    <row r="13" spans="1:3" ht="51" customHeight="1" x14ac:dyDescent="0.25">
      <c r="A13" s="7" t="s">
        <v>399</v>
      </c>
      <c r="B13" s="7" t="s">
        <v>400</v>
      </c>
      <c r="C13" s="7" t="s">
        <v>401</v>
      </c>
    </row>
    <row r="14" spans="1:3" ht="51" customHeight="1" x14ac:dyDescent="0.25">
      <c r="A14" s="7" t="s">
        <v>402</v>
      </c>
      <c r="B14" s="7" t="s">
        <v>403</v>
      </c>
      <c r="C14" s="7" t="s">
        <v>404</v>
      </c>
    </row>
    <row r="15" spans="1:3" ht="51" customHeight="1" x14ac:dyDescent="0.25">
      <c r="A15" s="7" t="s">
        <v>405</v>
      </c>
      <c r="B15" s="7" t="s">
        <v>406</v>
      </c>
      <c r="C15" s="7" t="s">
        <v>407</v>
      </c>
    </row>
    <row r="16" spans="1:3" ht="51" customHeight="1" x14ac:dyDescent="0.25">
      <c r="A16" s="7" t="s">
        <v>408</v>
      </c>
      <c r="B16" s="7" t="s">
        <v>409</v>
      </c>
      <c r="C16" s="7" t="s">
        <v>410</v>
      </c>
    </row>
    <row r="17" spans="1:3" ht="51" customHeight="1" x14ac:dyDescent="0.25">
      <c r="A17" s="7" t="s">
        <v>411</v>
      </c>
      <c r="B17" s="7" t="s">
        <v>412</v>
      </c>
      <c r="C17" s="7" t="s">
        <v>413</v>
      </c>
    </row>
    <row r="18" spans="1:3" ht="51" customHeight="1" x14ac:dyDescent="0.25">
      <c r="A18" s="7" t="s">
        <v>414</v>
      </c>
      <c r="B18" s="7" t="s">
        <v>415</v>
      </c>
      <c r="C18" s="7" t="s">
        <v>416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showGridLines="0" workbookViewId="0">
      <selection activeCell="C10" sqref="C10"/>
    </sheetView>
  </sheetViews>
  <sheetFormatPr defaultColWidth="8.85546875" defaultRowHeight="15" x14ac:dyDescent="0.25"/>
  <cols>
    <col min="1" max="2" width="28" customWidth="1"/>
    <col min="3" max="3" width="16" customWidth="1"/>
    <col min="4" max="4" width="40" customWidth="1"/>
  </cols>
  <sheetData>
    <row r="1" spans="1:4" x14ac:dyDescent="0.25">
      <c r="A1" s="232" t="s">
        <v>0</v>
      </c>
      <c r="B1" s="232" t="s">
        <v>1</v>
      </c>
      <c r="C1" s="232" t="s">
        <v>2</v>
      </c>
      <c r="D1" s="232" t="s">
        <v>3</v>
      </c>
    </row>
    <row r="2" spans="1:4" s="20" customFormat="1" ht="23.1" customHeight="1" x14ac:dyDescent="0.25">
      <c r="A2" s="230" t="s">
        <v>4</v>
      </c>
      <c r="B2" s="230" t="s">
        <v>5</v>
      </c>
      <c r="C2" s="231">
        <v>1</v>
      </c>
      <c r="D2" s="230" t="s">
        <v>6</v>
      </c>
    </row>
    <row r="3" spans="1:4" s="20" customFormat="1" ht="23.1" customHeight="1" x14ac:dyDescent="0.25">
      <c r="A3" s="230" t="s">
        <v>7</v>
      </c>
      <c r="B3" s="230" t="s">
        <v>8</v>
      </c>
      <c r="C3" s="231">
        <v>1.2</v>
      </c>
      <c r="D3" s="230" t="s">
        <v>9</v>
      </c>
    </row>
    <row r="4" spans="1:4" s="20" customFormat="1" ht="23.1" customHeight="1" x14ac:dyDescent="0.25">
      <c r="A4" s="230" t="s">
        <v>10</v>
      </c>
      <c r="B4" s="230" t="s">
        <v>11</v>
      </c>
      <c r="C4" s="233">
        <v>8760</v>
      </c>
      <c r="D4" s="230" t="s">
        <v>12</v>
      </c>
    </row>
    <row r="5" spans="1:4" s="20" customFormat="1" ht="23.1" customHeight="1" x14ac:dyDescent="0.25">
      <c r="A5" s="230" t="s">
        <v>13</v>
      </c>
      <c r="B5" s="230" t="s">
        <v>14</v>
      </c>
      <c r="C5" s="234">
        <f>'Bloque IBD'!R8</f>
        <v>0.1186046511627907</v>
      </c>
      <c r="D5" s="230" t="s">
        <v>15</v>
      </c>
    </row>
    <row r="6" spans="1:4" s="20" customFormat="1" ht="23.1" customHeight="1" x14ac:dyDescent="0.25">
      <c r="A6" s="230" t="s">
        <v>16</v>
      </c>
      <c r="B6" s="230" t="s">
        <v>17</v>
      </c>
      <c r="C6" s="235">
        <v>0.3</v>
      </c>
      <c r="D6" s="230" t="s">
        <v>18</v>
      </c>
    </row>
    <row r="7" spans="1:4" s="20" customFormat="1" ht="23.1" customHeight="1" x14ac:dyDescent="0.25">
      <c r="A7" s="230" t="s">
        <v>19</v>
      </c>
      <c r="B7" s="230" t="s">
        <v>17</v>
      </c>
      <c r="C7" s="235">
        <v>0.1</v>
      </c>
      <c r="D7" s="230" t="s">
        <v>20</v>
      </c>
    </row>
    <row r="8" spans="1:4" s="20" customFormat="1" ht="23.1" customHeight="1" x14ac:dyDescent="0.25">
      <c r="A8" s="230" t="s">
        <v>21</v>
      </c>
      <c r="B8" s="230" t="s">
        <v>5</v>
      </c>
      <c r="C8" s="231">
        <v>1</v>
      </c>
      <c r="D8" s="230" t="s">
        <v>22</v>
      </c>
    </row>
    <row r="9" spans="1:4" s="20" customFormat="1" ht="23.1" customHeight="1" x14ac:dyDescent="0.25">
      <c r="A9" s="230" t="s">
        <v>23</v>
      </c>
      <c r="B9" s="230" t="s">
        <v>24</v>
      </c>
      <c r="C9" s="233">
        <v>1000</v>
      </c>
      <c r="D9" s="230"/>
    </row>
    <row r="10" spans="1:4" s="20" customFormat="1" ht="23.1" customHeight="1" x14ac:dyDescent="0.25">
      <c r="A10" s="230" t="s">
        <v>25</v>
      </c>
      <c r="B10" s="230" t="s">
        <v>24</v>
      </c>
      <c r="C10" s="362">
        <v>17.2</v>
      </c>
      <c r="D10" s="230"/>
    </row>
    <row r="12" spans="1:4" x14ac:dyDescent="0.25">
      <c r="A12" s="236" t="s">
        <v>26</v>
      </c>
      <c r="B12" s="236"/>
      <c r="C12" s="236" t="s">
        <v>27</v>
      </c>
      <c r="D12" s="236" t="s">
        <v>28</v>
      </c>
    </row>
    <row r="13" spans="1:4" ht="21.95" customHeight="1" x14ac:dyDescent="0.25">
      <c r="A13" s="230" t="s">
        <v>29</v>
      </c>
      <c r="B13" s="230" t="s">
        <v>5</v>
      </c>
      <c r="C13" s="237">
        <f>C2*C3</f>
        <v>1.2</v>
      </c>
      <c r="D13" s="230" t="s">
        <v>30</v>
      </c>
    </row>
    <row r="14" spans="1:4" ht="21.95" customHeight="1" x14ac:dyDescent="0.25">
      <c r="A14" s="230" t="s">
        <v>31</v>
      </c>
      <c r="B14" s="230" t="s">
        <v>32</v>
      </c>
      <c r="C14" s="238">
        <f>C2*C3*C9*C4</f>
        <v>10512000</v>
      </c>
      <c r="D14" s="230" t="s">
        <v>33</v>
      </c>
    </row>
    <row r="15" spans="1:4" ht="21.95" customHeight="1" x14ac:dyDescent="0.25">
      <c r="A15" s="230" t="s">
        <v>34</v>
      </c>
      <c r="B15" s="230" t="s">
        <v>14</v>
      </c>
      <c r="C15" s="239">
        <f>C5</f>
        <v>0.1186046511627907</v>
      </c>
      <c r="D15" s="230">
        <f>C13*C5</f>
        <v>0.14232558139534884</v>
      </c>
    </row>
    <row r="16" spans="1:4" ht="21.95" customHeight="1" x14ac:dyDescent="0.25">
      <c r="A16" s="230" t="s">
        <v>35</v>
      </c>
      <c r="B16" s="230" t="s">
        <v>14</v>
      </c>
      <c r="C16" s="240">
        <f>C14*C15</f>
        <v>1246772.0930232559</v>
      </c>
      <c r="D16" s="230">
        <f>C14/12</f>
        <v>876000</v>
      </c>
    </row>
    <row r="17" spans="3:3" x14ac:dyDescent="0.25">
      <c r="C17" s="229"/>
    </row>
    <row r="18" spans="3:3" x14ac:dyDescent="0.25">
      <c r="C18" s="22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87D24-D2D9-47CF-8D15-1ED48AC3BAD1}">
  <dimension ref="B2:K43"/>
  <sheetViews>
    <sheetView showGridLines="0" topLeftCell="D11" zoomScale="120" zoomScaleNormal="120" workbookViewId="0">
      <selection activeCell="D30" sqref="D30"/>
    </sheetView>
  </sheetViews>
  <sheetFormatPr defaultRowHeight="15" x14ac:dyDescent="0.25"/>
  <cols>
    <col min="2" max="2" width="26.42578125" bestFit="1" customWidth="1"/>
    <col min="3" max="3" width="34" bestFit="1" customWidth="1"/>
    <col min="4" max="4" width="15.28515625" customWidth="1"/>
    <col min="6" max="6" width="64.42578125" customWidth="1"/>
    <col min="7" max="7" width="58.140625" customWidth="1"/>
    <col min="8" max="8" width="16.28515625" customWidth="1"/>
    <col min="10" max="10" width="12" bestFit="1" customWidth="1"/>
    <col min="11" max="11" width="15.28515625" bestFit="1" customWidth="1"/>
  </cols>
  <sheetData>
    <row r="2" spans="2:8" x14ac:dyDescent="0.25">
      <c r="B2" s="130"/>
    </row>
    <row r="3" spans="2:8" x14ac:dyDescent="0.25">
      <c r="B3" s="298" t="s">
        <v>570</v>
      </c>
      <c r="C3" s="306" t="s">
        <v>571</v>
      </c>
      <c r="D3" s="306" t="s">
        <v>572</v>
      </c>
    </row>
    <row r="4" spans="2:8" x14ac:dyDescent="0.25">
      <c r="B4" s="298" t="s">
        <v>691</v>
      </c>
      <c r="C4" s="32" t="s">
        <v>17</v>
      </c>
      <c r="D4" s="296">
        <v>0.8</v>
      </c>
    </row>
    <row r="5" spans="2:8" x14ac:dyDescent="0.25">
      <c r="B5" s="298" t="s">
        <v>692</v>
      </c>
      <c r="C5" s="32" t="s">
        <v>17</v>
      </c>
      <c r="D5" s="296">
        <v>0.12</v>
      </c>
    </row>
    <row r="6" spans="2:8" x14ac:dyDescent="0.25">
      <c r="B6" s="298" t="s">
        <v>693</v>
      </c>
      <c r="C6" s="32" t="s">
        <v>703</v>
      </c>
      <c r="D6" s="32">
        <v>3</v>
      </c>
    </row>
    <row r="7" spans="2:8" x14ac:dyDescent="0.25">
      <c r="B7" s="298" t="s">
        <v>694</v>
      </c>
      <c r="C7" s="32" t="s">
        <v>568</v>
      </c>
      <c r="D7" s="297">
        <f>PMT(D5/12,D6*12,-D16)</f>
        <v>1005641.641926676</v>
      </c>
    </row>
    <row r="8" spans="2:8" x14ac:dyDescent="0.25">
      <c r="B8" s="298" t="s">
        <v>695</v>
      </c>
      <c r="C8" s="32" t="s">
        <v>17</v>
      </c>
      <c r="D8" s="296">
        <v>0.8</v>
      </c>
    </row>
    <row r="9" spans="2:8" x14ac:dyDescent="0.25">
      <c r="B9" s="298" t="s">
        <v>696</v>
      </c>
      <c r="C9" s="32" t="s">
        <v>17</v>
      </c>
      <c r="D9" s="296">
        <v>0.08</v>
      </c>
    </row>
    <row r="10" spans="2:8" x14ac:dyDescent="0.25">
      <c r="B10" s="298" t="s">
        <v>697</v>
      </c>
      <c r="C10" s="32" t="s">
        <v>703</v>
      </c>
      <c r="D10" s="32">
        <v>10</v>
      </c>
    </row>
    <row r="11" spans="2:8" x14ac:dyDescent="0.25">
      <c r="B11" s="298" t="s">
        <v>698</v>
      </c>
      <c r="C11" s="32" t="s">
        <v>568</v>
      </c>
      <c r="D11" s="297">
        <f>PMT(D9/12,D10*12,-D17)</f>
        <v>70551.35989150597</v>
      </c>
      <c r="E11" s="360"/>
    </row>
    <row r="12" spans="2:8" x14ac:dyDescent="0.25">
      <c r="B12" s="298" t="s">
        <v>567</v>
      </c>
      <c r="C12" s="32" t="s">
        <v>569</v>
      </c>
      <c r="D12" s="32">
        <v>0</v>
      </c>
    </row>
    <row r="13" spans="2:8" x14ac:dyDescent="0.25">
      <c r="B13" s="298" t="s">
        <v>557</v>
      </c>
      <c r="C13" s="296" t="s">
        <v>17</v>
      </c>
      <c r="D13" s="296">
        <v>0.1</v>
      </c>
    </row>
    <row r="15" spans="2:8" x14ac:dyDescent="0.25">
      <c r="B15" s="298" t="s">
        <v>461</v>
      </c>
      <c r="C15" s="298" t="s">
        <v>549</v>
      </c>
      <c r="D15" s="298" t="s">
        <v>556</v>
      </c>
      <c r="F15" s="298" t="s">
        <v>462</v>
      </c>
      <c r="G15" s="298" t="s">
        <v>549</v>
      </c>
      <c r="H15" s="298" t="s">
        <v>556</v>
      </c>
    </row>
    <row r="16" spans="2:8" x14ac:dyDescent="0.25">
      <c r="B16" s="20" t="s">
        <v>699</v>
      </c>
      <c r="C16" s="20" t="s">
        <v>700</v>
      </c>
      <c r="D16" s="305">
        <f>H16*D4</f>
        <v>30277360.800000001</v>
      </c>
      <c r="F16" s="299" t="s">
        <v>685</v>
      </c>
      <c r="G16" s="299" t="s">
        <v>689</v>
      </c>
      <c r="H16" s="301">
        <f>Hoja1!E45</f>
        <v>37846701</v>
      </c>
    </row>
    <row r="17" spans="2:8" x14ac:dyDescent="0.25">
      <c r="B17" s="20" t="s">
        <v>701</v>
      </c>
      <c r="C17" s="20" t="s">
        <v>702</v>
      </c>
      <c r="D17" s="305">
        <f>D8*H17</f>
        <v>5814947.5612998456</v>
      </c>
      <c r="F17" s="299" t="s">
        <v>686</v>
      </c>
      <c r="G17" s="299" t="s">
        <v>687</v>
      </c>
      <c r="H17" s="301">
        <f>SUM(H18:H29)</f>
        <v>7268684.451624807</v>
      </c>
    </row>
    <row r="18" spans="2:8" x14ac:dyDescent="0.25">
      <c r="B18" s="20" t="s">
        <v>554</v>
      </c>
      <c r="C18" s="20" t="s">
        <v>560</v>
      </c>
      <c r="D18" s="305">
        <v>3000000</v>
      </c>
      <c r="F18" s="302" t="s">
        <v>634</v>
      </c>
      <c r="G18" s="303" t="s">
        <v>677</v>
      </c>
      <c r="H18" s="304">
        <f>Hoja1!E8</f>
        <v>933813.56854603172</v>
      </c>
    </row>
    <row r="19" spans="2:8" x14ac:dyDescent="0.25">
      <c r="B19" s="20" t="s">
        <v>555</v>
      </c>
      <c r="C19" s="20" t="s">
        <v>561</v>
      </c>
      <c r="D19" s="305">
        <f>H41-D20-D18-D17-D16</f>
        <v>8420151.6964682378</v>
      </c>
      <c r="F19" s="302" t="s">
        <v>637</v>
      </c>
      <c r="G19" s="303" t="s">
        <v>677</v>
      </c>
      <c r="H19" s="304">
        <f>Hoja1!E10</f>
        <v>192932.8731911112</v>
      </c>
    </row>
    <row r="20" spans="2:8" x14ac:dyDescent="0.25">
      <c r="B20" s="20" t="s">
        <v>557</v>
      </c>
      <c r="C20" s="20" t="s">
        <v>562</v>
      </c>
      <c r="D20" s="305">
        <f>D13*(H31+H32)</f>
        <v>90000</v>
      </c>
      <c r="F20" s="302" t="s">
        <v>639</v>
      </c>
      <c r="G20" s="303" t="s">
        <v>677</v>
      </c>
      <c r="H20" s="304">
        <f>Hoja1!E12</f>
        <v>222740.82429206348</v>
      </c>
    </row>
    <row r="21" spans="2:8" x14ac:dyDescent="0.25">
      <c r="F21" s="302" t="s">
        <v>641</v>
      </c>
      <c r="G21" s="303" t="s">
        <v>677</v>
      </c>
      <c r="H21" s="304">
        <f>Hoja1!E14</f>
        <v>1050171.7543174603</v>
      </c>
    </row>
    <row r="22" spans="2:8" x14ac:dyDescent="0.25">
      <c r="B22" t="s">
        <v>558</v>
      </c>
      <c r="D22" s="229">
        <f>SUM(D16:D20)</f>
        <v>47602460.057768077</v>
      </c>
      <c r="F22" s="302" t="s">
        <v>643</v>
      </c>
      <c r="G22" s="303" t="s">
        <v>677</v>
      </c>
      <c r="H22" s="304">
        <f>Hoja1!E16</f>
        <v>402506.94001851854</v>
      </c>
    </row>
    <row r="23" spans="2:8" x14ac:dyDescent="0.25">
      <c r="F23" s="302" t="s">
        <v>645</v>
      </c>
      <c r="G23" s="303" t="s">
        <v>677</v>
      </c>
      <c r="H23" s="304">
        <f>Hoja1!E18</f>
        <v>168563.46</v>
      </c>
    </row>
    <row r="24" spans="2:8" x14ac:dyDescent="0.25">
      <c r="D24" t="b">
        <f>D22=H41</f>
        <v>1</v>
      </c>
      <c r="F24" s="302" t="s">
        <v>647</v>
      </c>
      <c r="G24" s="303" t="s">
        <v>677</v>
      </c>
      <c r="H24" s="304">
        <f>Hoja1!E20</f>
        <v>544324.94852592598</v>
      </c>
    </row>
    <row r="25" spans="2:8" x14ac:dyDescent="0.25">
      <c r="D25" t="s">
        <v>566</v>
      </c>
      <c r="F25" s="302" t="s">
        <v>649</v>
      </c>
      <c r="G25" s="303" t="s">
        <v>677</v>
      </c>
      <c r="H25" s="304">
        <f>Hoja1!E21</f>
        <v>1565349.2801173034</v>
      </c>
    </row>
    <row r="26" spans="2:8" x14ac:dyDescent="0.25">
      <c r="F26" s="302" t="s">
        <v>234</v>
      </c>
      <c r="G26" s="303" t="s">
        <v>677</v>
      </c>
      <c r="H26" s="304">
        <f>Hoja1!E25</f>
        <v>460244.49926447403</v>
      </c>
    </row>
    <row r="27" spans="2:8" x14ac:dyDescent="0.25">
      <c r="D27" s="302"/>
      <c r="F27" s="302" t="s">
        <v>660</v>
      </c>
      <c r="G27" s="303" t="s">
        <v>677</v>
      </c>
      <c r="H27" s="304">
        <f>Hoja1!E31</f>
        <v>303759.50335191848</v>
      </c>
    </row>
    <row r="28" spans="2:8" x14ac:dyDescent="0.25">
      <c r="F28" s="302" t="s">
        <v>704</v>
      </c>
      <c r="G28" s="303" t="s">
        <v>677</v>
      </c>
      <c r="H28" s="304">
        <f>Hoja1!E34</f>
        <v>1218276.8</v>
      </c>
    </row>
    <row r="29" spans="2:8" x14ac:dyDescent="0.25">
      <c r="F29" s="302" t="s">
        <v>688</v>
      </c>
      <c r="G29" s="303" t="s">
        <v>677</v>
      </c>
      <c r="H29" s="304">
        <f>Hoja1!E46</f>
        <v>206000</v>
      </c>
    </row>
    <row r="30" spans="2:8" ht="30" x14ac:dyDescent="0.25">
      <c r="F30" s="299" t="s">
        <v>550</v>
      </c>
      <c r="G30" s="300" t="s">
        <v>690</v>
      </c>
      <c r="H30" s="301">
        <f>SUM(H31:H36)</f>
        <v>1838847.3780649924</v>
      </c>
    </row>
    <row r="31" spans="2:8" x14ac:dyDescent="0.25">
      <c r="F31" s="302" t="s">
        <v>678</v>
      </c>
      <c r="G31" s="207" t="s">
        <v>678</v>
      </c>
      <c r="H31" s="359">
        <v>300000</v>
      </c>
    </row>
    <row r="32" spans="2:8" x14ac:dyDescent="0.25">
      <c r="F32" s="302" t="s">
        <v>679</v>
      </c>
      <c r="G32" s="207" t="s">
        <v>682</v>
      </c>
      <c r="H32" s="359">
        <v>600000</v>
      </c>
    </row>
    <row r="33" spans="6:11" x14ac:dyDescent="0.25">
      <c r="F33" s="302" t="s">
        <v>683</v>
      </c>
      <c r="G33" s="207" t="s">
        <v>684</v>
      </c>
      <c r="H33" s="359">
        <v>110000</v>
      </c>
    </row>
    <row r="34" spans="6:11" x14ac:dyDescent="0.25">
      <c r="F34" s="302" t="s">
        <v>680</v>
      </c>
      <c r="G34" s="207" t="s">
        <v>551</v>
      </c>
      <c r="H34" s="359">
        <f>(1043900+40000+3870100)/20</f>
        <v>247700</v>
      </c>
    </row>
    <row r="35" spans="6:11" x14ac:dyDescent="0.25">
      <c r="F35" s="302" t="s">
        <v>134</v>
      </c>
      <c r="G35" s="207" t="s">
        <v>552</v>
      </c>
      <c r="H35" s="359">
        <v>250000</v>
      </c>
    </row>
    <row r="36" spans="6:11" x14ac:dyDescent="0.25">
      <c r="F36" s="302" t="s">
        <v>136</v>
      </c>
      <c r="G36" s="207" t="s">
        <v>552</v>
      </c>
      <c r="H36" s="359">
        <f>0.04*(H17+H31+H32+H33)</f>
        <v>331147.37806499231</v>
      </c>
      <c r="J36" t="s">
        <v>553</v>
      </c>
      <c r="K36" s="247">
        <v>7.0000000000000007E-2</v>
      </c>
    </row>
    <row r="37" spans="6:11" x14ac:dyDescent="0.25">
      <c r="F37" s="299" t="s">
        <v>125</v>
      </c>
      <c r="G37" s="300" t="s">
        <v>563</v>
      </c>
      <c r="H37" s="301">
        <v>10000</v>
      </c>
      <c r="J37" t="s">
        <v>443</v>
      </c>
      <c r="K37" s="229">
        <f>(H17+H30+H37)*1</f>
        <v>9117531.8296897989</v>
      </c>
    </row>
    <row r="38" spans="6:11" x14ac:dyDescent="0.25">
      <c r="F38" s="299" t="s">
        <v>553</v>
      </c>
      <c r="G38" s="300" t="s">
        <v>565</v>
      </c>
      <c r="H38" s="301">
        <f>K37*K36</f>
        <v>638227.22807828593</v>
      </c>
    </row>
    <row r="39" spans="6:11" x14ac:dyDescent="0.25">
      <c r="F39" s="299" t="s">
        <v>573</v>
      </c>
      <c r="G39" s="300" t="s">
        <v>564</v>
      </c>
      <c r="H39" s="301">
        <f>D7*D12</f>
        <v>0</v>
      </c>
    </row>
    <row r="40" spans="6:11" x14ac:dyDescent="0.25">
      <c r="H40" s="229"/>
    </row>
    <row r="41" spans="6:11" x14ac:dyDescent="0.25">
      <c r="F41" s="130" t="s">
        <v>559</v>
      </c>
      <c r="G41" s="130"/>
      <c r="H41" s="295">
        <f>H16+H17+H30+H37+H38+H39</f>
        <v>47602460.057768084</v>
      </c>
    </row>
    <row r="42" spans="6:11" x14ac:dyDescent="0.25">
      <c r="F42" s="130"/>
      <c r="G42" s="130"/>
      <c r="H42" s="130"/>
    </row>
    <row r="43" spans="6:11" x14ac:dyDescent="0.25">
      <c r="F43" s="130"/>
      <c r="G43" s="130"/>
      <c r="H43" s="2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9DDC-826A-43D3-8F93-C3CC09AA3FFE}">
  <dimension ref="A1:G51"/>
  <sheetViews>
    <sheetView showGridLines="0" topLeftCell="A33" zoomScale="80" zoomScaleNormal="80" workbookViewId="0">
      <selection activeCell="E33" sqref="E33"/>
    </sheetView>
  </sheetViews>
  <sheetFormatPr defaultColWidth="13.140625" defaultRowHeight="14.25" x14ac:dyDescent="0.25"/>
  <cols>
    <col min="1" max="1" width="16.42578125" style="336" customWidth="1"/>
    <col min="2" max="2" width="112.42578125" style="337" customWidth="1"/>
    <col min="3" max="3" width="10.140625" style="336" customWidth="1"/>
    <col min="4" max="4" width="14.140625" style="336" customWidth="1"/>
    <col min="5" max="5" width="15.42578125" style="337" bestFit="1" customWidth="1"/>
    <col min="6" max="6" width="14.42578125" style="337" bestFit="1" customWidth="1"/>
    <col min="7" max="198" width="13.140625" style="337"/>
    <col min="199" max="199" width="2.85546875" style="337" customWidth="1"/>
    <col min="200" max="200" width="13.5703125" style="337" customWidth="1"/>
    <col min="201" max="201" width="41.7109375" style="337" customWidth="1"/>
    <col min="202" max="202" width="12.42578125" style="337" customWidth="1"/>
    <col min="203" max="203" width="11.85546875" style="337" customWidth="1"/>
    <col min="204" max="204" width="2.85546875" style="337" customWidth="1"/>
    <col min="205" max="205" width="21.7109375" style="337" customWidth="1"/>
    <col min="206" max="206" width="24" style="337" customWidth="1"/>
    <col min="207" max="207" width="2.85546875" style="337" customWidth="1"/>
    <col min="208" max="208" width="21.7109375" style="337" customWidth="1"/>
    <col min="209" max="209" width="24" style="337" customWidth="1"/>
    <col min="210" max="210" width="2.85546875" style="337" customWidth="1"/>
    <col min="211" max="211" width="21.7109375" style="337" customWidth="1"/>
    <col min="212" max="212" width="23.42578125" style="337" bestFit="1" customWidth="1"/>
    <col min="213" max="213" width="2.85546875" style="337" customWidth="1"/>
    <col min="214" max="214" width="21.7109375" style="337" customWidth="1"/>
    <col min="215" max="215" width="27.28515625" style="337" customWidth="1"/>
    <col min="216" max="216" width="2.85546875" style="337" customWidth="1"/>
    <col min="217" max="217" width="21.7109375" style="337" customWidth="1"/>
    <col min="218" max="218" width="23.42578125" style="337" bestFit="1" customWidth="1"/>
    <col min="219" max="219" width="2.85546875" style="337" customWidth="1"/>
    <col min="220" max="220" width="21.7109375" style="337" customWidth="1"/>
    <col min="221" max="221" width="27.42578125" style="337" customWidth="1"/>
    <col min="222" max="222" width="2.85546875" style="337" customWidth="1"/>
    <col min="223" max="230" width="0" style="337" hidden="1" customWidth="1"/>
    <col min="231" max="231" width="21.7109375" style="337" customWidth="1"/>
    <col min="232" max="232" width="27.42578125" style="337" customWidth="1"/>
    <col min="233" max="454" width="13.140625" style="337"/>
    <col min="455" max="455" width="2.85546875" style="337" customWidth="1"/>
    <col min="456" max="456" width="13.5703125" style="337" customWidth="1"/>
    <col min="457" max="457" width="41.7109375" style="337" customWidth="1"/>
    <col min="458" max="458" width="12.42578125" style="337" customWidth="1"/>
    <col min="459" max="459" width="11.85546875" style="337" customWidth="1"/>
    <col min="460" max="460" width="2.85546875" style="337" customWidth="1"/>
    <col min="461" max="461" width="21.7109375" style="337" customWidth="1"/>
    <col min="462" max="462" width="24" style="337" customWidth="1"/>
    <col min="463" max="463" width="2.85546875" style="337" customWidth="1"/>
    <col min="464" max="464" width="21.7109375" style="337" customWidth="1"/>
    <col min="465" max="465" width="24" style="337" customWidth="1"/>
    <col min="466" max="466" width="2.85546875" style="337" customWidth="1"/>
    <col min="467" max="467" width="21.7109375" style="337" customWidth="1"/>
    <col min="468" max="468" width="23.42578125" style="337" bestFit="1" customWidth="1"/>
    <col min="469" max="469" width="2.85546875" style="337" customWidth="1"/>
    <col min="470" max="470" width="21.7109375" style="337" customWidth="1"/>
    <col min="471" max="471" width="27.28515625" style="337" customWidth="1"/>
    <col min="472" max="472" width="2.85546875" style="337" customWidth="1"/>
    <col min="473" max="473" width="21.7109375" style="337" customWidth="1"/>
    <col min="474" max="474" width="23.42578125" style="337" bestFit="1" customWidth="1"/>
    <col min="475" max="475" width="2.85546875" style="337" customWidth="1"/>
    <col min="476" max="476" width="21.7109375" style="337" customWidth="1"/>
    <col min="477" max="477" width="27.42578125" style="337" customWidth="1"/>
    <col min="478" max="478" width="2.85546875" style="337" customWidth="1"/>
    <col min="479" max="486" width="0" style="337" hidden="1" customWidth="1"/>
    <col min="487" max="487" width="21.7109375" style="337" customWidth="1"/>
    <col min="488" max="488" width="27.42578125" style="337" customWidth="1"/>
    <col min="489" max="710" width="13.140625" style="337"/>
    <col min="711" max="711" width="2.85546875" style="337" customWidth="1"/>
    <col min="712" max="712" width="13.5703125" style="337" customWidth="1"/>
    <col min="713" max="713" width="41.7109375" style="337" customWidth="1"/>
    <col min="714" max="714" width="12.42578125" style="337" customWidth="1"/>
    <col min="715" max="715" width="11.85546875" style="337" customWidth="1"/>
    <col min="716" max="716" width="2.85546875" style="337" customWidth="1"/>
    <col min="717" max="717" width="21.7109375" style="337" customWidth="1"/>
    <col min="718" max="718" width="24" style="337" customWidth="1"/>
    <col min="719" max="719" width="2.85546875" style="337" customWidth="1"/>
    <col min="720" max="720" width="21.7109375" style="337" customWidth="1"/>
    <col min="721" max="721" width="24" style="337" customWidth="1"/>
    <col min="722" max="722" width="2.85546875" style="337" customWidth="1"/>
    <col min="723" max="723" width="21.7109375" style="337" customWidth="1"/>
    <col min="724" max="724" width="23.42578125" style="337" bestFit="1" customWidth="1"/>
    <col min="725" max="725" width="2.85546875" style="337" customWidth="1"/>
    <col min="726" max="726" width="21.7109375" style="337" customWidth="1"/>
    <col min="727" max="727" width="27.28515625" style="337" customWidth="1"/>
    <col min="728" max="728" width="2.85546875" style="337" customWidth="1"/>
    <col min="729" max="729" width="21.7109375" style="337" customWidth="1"/>
    <col min="730" max="730" width="23.42578125" style="337" bestFit="1" customWidth="1"/>
    <col min="731" max="731" width="2.85546875" style="337" customWidth="1"/>
    <col min="732" max="732" width="21.7109375" style="337" customWidth="1"/>
    <col min="733" max="733" width="27.42578125" style="337" customWidth="1"/>
    <col min="734" max="734" width="2.85546875" style="337" customWidth="1"/>
    <col min="735" max="742" width="0" style="337" hidden="1" customWidth="1"/>
    <col min="743" max="743" width="21.7109375" style="337" customWidth="1"/>
    <col min="744" max="744" width="27.42578125" style="337" customWidth="1"/>
    <col min="745" max="966" width="13.140625" style="337"/>
    <col min="967" max="967" width="2.85546875" style="337" customWidth="1"/>
    <col min="968" max="968" width="13.5703125" style="337" customWidth="1"/>
    <col min="969" max="969" width="41.7109375" style="337" customWidth="1"/>
    <col min="970" max="970" width="12.42578125" style="337" customWidth="1"/>
    <col min="971" max="971" width="11.85546875" style="337" customWidth="1"/>
    <col min="972" max="972" width="2.85546875" style="337" customWidth="1"/>
    <col min="973" max="973" width="21.7109375" style="337" customWidth="1"/>
    <col min="974" max="974" width="24" style="337" customWidth="1"/>
    <col min="975" max="975" width="2.85546875" style="337" customWidth="1"/>
    <col min="976" max="976" width="21.7109375" style="337" customWidth="1"/>
    <col min="977" max="977" width="24" style="337" customWidth="1"/>
    <col min="978" max="978" width="2.85546875" style="337" customWidth="1"/>
    <col min="979" max="979" width="21.7109375" style="337" customWidth="1"/>
    <col min="980" max="980" width="23.42578125" style="337" bestFit="1" customWidth="1"/>
    <col min="981" max="981" width="2.85546875" style="337" customWidth="1"/>
    <col min="982" max="982" width="21.7109375" style="337" customWidth="1"/>
    <col min="983" max="983" width="27.28515625" style="337" customWidth="1"/>
    <col min="984" max="984" width="2.85546875" style="337" customWidth="1"/>
    <col min="985" max="985" width="21.7109375" style="337" customWidth="1"/>
    <col min="986" max="986" width="23.42578125" style="337" bestFit="1" customWidth="1"/>
    <col min="987" max="987" width="2.85546875" style="337" customWidth="1"/>
    <col min="988" max="988" width="21.7109375" style="337" customWidth="1"/>
    <col min="989" max="989" width="27.42578125" style="337" customWidth="1"/>
    <col min="990" max="990" width="2.85546875" style="337" customWidth="1"/>
    <col min="991" max="998" width="0" style="337" hidden="1" customWidth="1"/>
    <col min="999" max="999" width="21.7109375" style="337" customWidth="1"/>
    <col min="1000" max="1000" width="27.42578125" style="337" customWidth="1"/>
    <col min="1001" max="1222" width="13.140625" style="337"/>
    <col min="1223" max="1223" width="2.85546875" style="337" customWidth="1"/>
    <col min="1224" max="1224" width="13.5703125" style="337" customWidth="1"/>
    <col min="1225" max="1225" width="41.7109375" style="337" customWidth="1"/>
    <col min="1226" max="1226" width="12.42578125" style="337" customWidth="1"/>
    <col min="1227" max="1227" width="11.85546875" style="337" customWidth="1"/>
    <col min="1228" max="1228" width="2.85546875" style="337" customWidth="1"/>
    <col min="1229" max="1229" width="21.7109375" style="337" customWidth="1"/>
    <col min="1230" max="1230" width="24" style="337" customWidth="1"/>
    <col min="1231" max="1231" width="2.85546875" style="337" customWidth="1"/>
    <col min="1232" max="1232" width="21.7109375" style="337" customWidth="1"/>
    <col min="1233" max="1233" width="24" style="337" customWidth="1"/>
    <col min="1234" max="1234" width="2.85546875" style="337" customWidth="1"/>
    <col min="1235" max="1235" width="21.7109375" style="337" customWidth="1"/>
    <col min="1236" max="1236" width="23.42578125" style="337" bestFit="1" customWidth="1"/>
    <col min="1237" max="1237" width="2.85546875" style="337" customWidth="1"/>
    <col min="1238" max="1238" width="21.7109375" style="337" customWidth="1"/>
    <col min="1239" max="1239" width="27.28515625" style="337" customWidth="1"/>
    <col min="1240" max="1240" width="2.85546875" style="337" customWidth="1"/>
    <col min="1241" max="1241" width="21.7109375" style="337" customWidth="1"/>
    <col min="1242" max="1242" width="23.42578125" style="337" bestFit="1" customWidth="1"/>
    <col min="1243" max="1243" width="2.85546875" style="337" customWidth="1"/>
    <col min="1244" max="1244" width="21.7109375" style="337" customWidth="1"/>
    <col min="1245" max="1245" width="27.42578125" style="337" customWidth="1"/>
    <col min="1246" max="1246" width="2.85546875" style="337" customWidth="1"/>
    <col min="1247" max="1254" width="0" style="337" hidden="1" customWidth="1"/>
    <col min="1255" max="1255" width="21.7109375" style="337" customWidth="1"/>
    <col min="1256" max="1256" width="27.42578125" style="337" customWidth="1"/>
    <col min="1257" max="1478" width="13.140625" style="337"/>
    <col min="1479" max="1479" width="2.85546875" style="337" customWidth="1"/>
    <col min="1480" max="1480" width="13.5703125" style="337" customWidth="1"/>
    <col min="1481" max="1481" width="41.7109375" style="337" customWidth="1"/>
    <col min="1482" max="1482" width="12.42578125" style="337" customWidth="1"/>
    <col min="1483" max="1483" width="11.85546875" style="337" customWidth="1"/>
    <col min="1484" max="1484" width="2.85546875" style="337" customWidth="1"/>
    <col min="1485" max="1485" width="21.7109375" style="337" customWidth="1"/>
    <col min="1486" max="1486" width="24" style="337" customWidth="1"/>
    <col min="1487" max="1487" width="2.85546875" style="337" customWidth="1"/>
    <col min="1488" max="1488" width="21.7109375" style="337" customWidth="1"/>
    <col min="1489" max="1489" width="24" style="337" customWidth="1"/>
    <col min="1490" max="1490" width="2.85546875" style="337" customWidth="1"/>
    <col min="1491" max="1491" width="21.7109375" style="337" customWidth="1"/>
    <col min="1492" max="1492" width="23.42578125" style="337" bestFit="1" customWidth="1"/>
    <col min="1493" max="1493" width="2.85546875" style="337" customWidth="1"/>
    <col min="1494" max="1494" width="21.7109375" style="337" customWidth="1"/>
    <col min="1495" max="1495" width="27.28515625" style="337" customWidth="1"/>
    <col min="1496" max="1496" width="2.85546875" style="337" customWidth="1"/>
    <col min="1497" max="1497" width="21.7109375" style="337" customWidth="1"/>
    <col min="1498" max="1498" width="23.42578125" style="337" bestFit="1" customWidth="1"/>
    <col min="1499" max="1499" width="2.85546875" style="337" customWidth="1"/>
    <col min="1500" max="1500" width="21.7109375" style="337" customWidth="1"/>
    <col min="1501" max="1501" width="27.42578125" style="337" customWidth="1"/>
    <col min="1502" max="1502" width="2.85546875" style="337" customWidth="1"/>
    <col min="1503" max="1510" width="0" style="337" hidden="1" customWidth="1"/>
    <col min="1511" max="1511" width="21.7109375" style="337" customWidth="1"/>
    <col min="1512" max="1512" width="27.42578125" style="337" customWidth="1"/>
    <col min="1513" max="1734" width="13.140625" style="337"/>
    <col min="1735" max="1735" width="2.85546875" style="337" customWidth="1"/>
    <col min="1736" max="1736" width="13.5703125" style="337" customWidth="1"/>
    <col min="1737" max="1737" width="41.7109375" style="337" customWidth="1"/>
    <col min="1738" max="1738" width="12.42578125" style="337" customWidth="1"/>
    <col min="1739" max="1739" width="11.85546875" style="337" customWidth="1"/>
    <col min="1740" max="1740" width="2.85546875" style="337" customWidth="1"/>
    <col min="1741" max="1741" width="21.7109375" style="337" customWidth="1"/>
    <col min="1742" max="1742" width="24" style="337" customWidth="1"/>
    <col min="1743" max="1743" width="2.85546875" style="337" customWidth="1"/>
    <col min="1744" max="1744" width="21.7109375" style="337" customWidth="1"/>
    <col min="1745" max="1745" width="24" style="337" customWidth="1"/>
    <col min="1746" max="1746" width="2.85546875" style="337" customWidth="1"/>
    <col min="1747" max="1747" width="21.7109375" style="337" customWidth="1"/>
    <col min="1748" max="1748" width="23.42578125" style="337" bestFit="1" customWidth="1"/>
    <col min="1749" max="1749" width="2.85546875" style="337" customWidth="1"/>
    <col min="1750" max="1750" width="21.7109375" style="337" customWidth="1"/>
    <col min="1751" max="1751" width="27.28515625" style="337" customWidth="1"/>
    <col min="1752" max="1752" width="2.85546875" style="337" customWidth="1"/>
    <col min="1753" max="1753" width="21.7109375" style="337" customWidth="1"/>
    <col min="1754" max="1754" width="23.42578125" style="337" bestFit="1" customWidth="1"/>
    <col min="1755" max="1755" width="2.85546875" style="337" customWidth="1"/>
    <col min="1756" max="1756" width="21.7109375" style="337" customWidth="1"/>
    <col min="1757" max="1757" width="27.42578125" style="337" customWidth="1"/>
    <col min="1758" max="1758" width="2.85546875" style="337" customWidth="1"/>
    <col min="1759" max="1766" width="0" style="337" hidden="1" customWidth="1"/>
    <col min="1767" max="1767" width="21.7109375" style="337" customWidth="1"/>
    <col min="1768" max="1768" width="27.42578125" style="337" customWidth="1"/>
    <col min="1769" max="1990" width="13.140625" style="337"/>
    <col min="1991" max="1991" width="2.85546875" style="337" customWidth="1"/>
    <col min="1992" max="1992" width="13.5703125" style="337" customWidth="1"/>
    <col min="1993" max="1993" width="41.7109375" style="337" customWidth="1"/>
    <col min="1994" max="1994" width="12.42578125" style="337" customWidth="1"/>
    <col min="1995" max="1995" width="11.85546875" style="337" customWidth="1"/>
    <col min="1996" max="1996" width="2.85546875" style="337" customWidth="1"/>
    <col min="1997" max="1997" width="21.7109375" style="337" customWidth="1"/>
    <col min="1998" max="1998" width="24" style="337" customWidth="1"/>
    <col min="1999" max="1999" width="2.85546875" style="337" customWidth="1"/>
    <col min="2000" max="2000" width="21.7109375" style="337" customWidth="1"/>
    <col min="2001" max="2001" width="24" style="337" customWidth="1"/>
    <col min="2002" max="2002" width="2.85546875" style="337" customWidth="1"/>
    <col min="2003" max="2003" width="21.7109375" style="337" customWidth="1"/>
    <col min="2004" max="2004" width="23.42578125" style="337" bestFit="1" customWidth="1"/>
    <col min="2005" max="2005" width="2.85546875" style="337" customWidth="1"/>
    <col min="2006" max="2006" width="21.7109375" style="337" customWidth="1"/>
    <col min="2007" max="2007" width="27.28515625" style="337" customWidth="1"/>
    <col min="2008" max="2008" width="2.85546875" style="337" customWidth="1"/>
    <col min="2009" max="2009" width="21.7109375" style="337" customWidth="1"/>
    <col min="2010" max="2010" width="23.42578125" style="337" bestFit="1" customWidth="1"/>
    <col min="2011" max="2011" width="2.85546875" style="337" customWidth="1"/>
    <col min="2012" max="2012" width="21.7109375" style="337" customWidth="1"/>
    <col min="2013" max="2013" width="27.42578125" style="337" customWidth="1"/>
    <col min="2014" max="2014" width="2.85546875" style="337" customWidth="1"/>
    <col min="2015" max="2022" width="0" style="337" hidden="1" customWidth="1"/>
    <col min="2023" max="2023" width="21.7109375" style="337" customWidth="1"/>
    <col min="2024" max="2024" width="27.42578125" style="337" customWidth="1"/>
    <col min="2025" max="2246" width="13.140625" style="337"/>
    <col min="2247" max="2247" width="2.85546875" style="337" customWidth="1"/>
    <col min="2248" max="2248" width="13.5703125" style="337" customWidth="1"/>
    <col min="2249" max="2249" width="41.7109375" style="337" customWidth="1"/>
    <col min="2250" max="2250" width="12.42578125" style="337" customWidth="1"/>
    <col min="2251" max="2251" width="11.85546875" style="337" customWidth="1"/>
    <col min="2252" max="2252" width="2.85546875" style="337" customWidth="1"/>
    <col min="2253" max="2253" width="21.7109375" style="337" customWidth="1"/>
    <col min="2254" max="2254" width="24" style="337" customWidth="1"/>
    <col min="2255" max="2255" width="2.85546875" style="337" customWidth="1"/>
    <col min="2256" max="2256" width="21.7109375" style="337" customWidth="1"/>
    <col min="2257" max="2257" width="24" style="337" customWidth="1"/>
    <col min="2258" max="2258" width="2.85546875" style="337" customWidth="1"/>
    <col min="2259" max="2259" width="21.7109375" style="337" customWidth="1"/>
    <col min="2260" max="2260" width="23.42578125" style="337" bestFit="1" customWidth="1"/>
    <col min="2261" max="2261" width="2.85546875" style="337" customWidth="1"/>
    <col min="2262" max="2262" width="21.7109375" style="337" customWidth="1"/>
    <col min="2263" max="2263" width="27.28515625" style="337" customWidth="1"/>
    <col min="2264" max="2264" width="2.85546875" style="337" customWidth="1"/>
    <col min="2265" max="2265" width="21.7109375" style="337" customWidth="1"/>
    <col min="2266" max="2266" width="23.42578125" style="337" bestFit="1" customWidth="1"/>
    <col min="2267" max="2267" width="2.85546875" style="337" customWidth="1"/>
    <col min="2268" max="2268" width="21.7109375" style="337" customWidth="1"/>
    <col min="2269" max="2269" width="27.42578125" style="337" customWidth="1"/>
    <col min="2270" max="2270" width="2.85546875" style="337" customWidth="1"/>
    <col min="2271" max="2278" width="0" style="337" hidden="1" customWidth="1"/>
    <col min="2279" max="2279" width="21.7109375" style="337" customWidth="1"/>
    <col min="2280" max="2280" width="27.42578125" style="337" customWidth="1"/>
    <col min="2281" max="2502" width="13.140625" style="337"/>
    <col min="2503" max="2503" width="2.85546875" style="337" customWidth="1"/>
    <col min="2504" max="2504" width="13.5703125" style="337" customWidth="1"/>
    <col min="2505" max="2505" width="41.7109375" style="337" customWidth="1"/>
    <col min="2506" max="2506" width="12.42578125" style="337" customWidth="1"/>
    <col min="2507" max="2507" width="11.85546875" style="337" customWidth="1"/>
    <col min="2508" max="2508" width="2.85546875" style="337" customWidth="1"/>
    <col min="2509" max="2509" width="21.7109375" style="337" customWidth="1"/>
    <col min="2510" max="2510" width="24" style="337" customWidth="1"/>
    <col min="2511" max="2511" width="2.85546875" style="337" customWidth="1"/>
    <col min="2512" max="2512" width="21.7109375" style="337" customWidth="1"/>
    <col min="2513" max="2513" width="24" style="337" customWidth="1"/>
    <col min="2514" max="2514" width="2.85546875" style="337" customWidth="1"/>
    <col min="2515" max="2515" width="21.7109375" style="337" customWidth="1"/>
    <col min="2516" max="2516" width="23.42578125" style="337" bestFit="1" customWidth="1"/>
    <col min="2517" max="2517" width="2.85546875" style="337" customWidth="1"/>
    <col min="2518" max="2518" width="21.7109375" style="337" customWidth="1"/>
    <col min="2519" max="2519" width="27.28515625" style="337" customWidth="1"/>
    <col min="2520" max="2520" width="2.85546875" style="337" customWidth="1"/>
    <col min="2521" max="2521" width="21.7109375" style="337" customWidth="1"/>
    <col min="2522" max="2522" width="23.42578125" style="337" bestFit="1" customWidth="1"/>
    <col min="2523" max="2523" width="2.85546875" style="337" customWidth="1"/>
    <col min="2524" max="2524" width="21.7109375" style="337" customWidth="1"/>
    <col min="2525" max="2525" width="27.42578125" style="337" customWidth="1"/>
    <col min="2526" max="2526" width="2.85546875" style="337" customWidth="1"/>
    <col min="2527" max="2534" width="0" style="337" hidden="1" customWidth="1"/>
    <col min="2535" max="2535" width="21.7109375" style="337" customWidth="1"/>
    <col min="2536" max="2536" width="27.42578125" style="337" customWidth="1"/>
    <col min="2537" max="2758" width="13.140625" style="337"/>
    <col min="2759" max="2759" width="2.85546875" style="337" customWidth="1"/>
    <col min="2760" max="2760" width="13.5703125" style="337" customWidth="1"/>
    <col min="2761" max="2761" width="41.7109375" style="337" customWidth="1"/>
    <col min="2762" max="2762" width="12.42578125" style="337" customWidth="1"/>
    <col min="2763" max="2763" width="11.85546875" style="337" customWidth="1"/>
    <col min="2764" max="2764" width="2.85546875" style="337" customWidth="1"/>
    <col min="2765" max="2765" width="21.7109375" style="337" customWidth="1"/>
    <col min="2766" max="2766" width="24" style="337" customWidth="1"/>
    <col min="2767" max="2767" width="2.85546875" style="337" customWidth="1"/>
    <col min="2768" max="2768" width="21.7109375" style="337" customWidth="1"/>
    <col min="2769" max="2769" width="24" style="337" customWidth="1"/>
    <col min="2770" max="2770" width="2.85546875" style="337" customWidth="1"/>
    <col min="2771" max="2771" width="21.7109375" style="337" customWidth="1"/>
    <col min="2772" max="2772" width="23.42578125" style="337" bestFit="1" customWidth="1"/>
    <col min="2773" max="2773" width="2.85546875" style="337" customWidth="1"/>
    <col min="2774" max="2774" width="21.7109375" style="337" customWidth="1"/>
    <col min="2775" max="2775" width="27.28515625" style="337" customWidth="1"/>
    <col min="2776" max="2776" width="2.85546875" style="337" customWidth="1"/>
    <col min="2777" max="2777" width="21.7109375" style="337" customWidth="1"/>
    <col min="2778" max="2778" width="23.42578125" style="337" bestFit="1" customWidth="1"/>
    <col min="2779" max="2779" width="2.85546875" style="337" customWidth="1"/>
    <col min="2780" max="2780" width="21.7109375" style="337" customWidth="1"/>
    <col min="2781" max="2781" width="27.42578125" style="337" customWidth="1"/>
    <col min="2782" max="2782" width="2.85546875" style="337" customWidth="1"/>
    <col min="2783" max="2790" width="0" style="337" hidden="1" customWidth="1"/>
    <col min="2791" max="2791" width="21.7109375" style="337" customWidth="1"/>
    <col min="2792" max="2792" width="27.42578125" style="337" customWidth="1"/>
    <col min="2793" max="3014" width="13.140625" style="337"/>
    <col min="3015" max="3015" width="2.85546875" style="337" customWidth="1"/>
    <col min="3016" max="3016" width="13.5703125" style="337" customWidth="1"/>
    <col min="3017" max="3017" width="41.7109375" style="337" customWidth="1"/>
    <col min="3018" max="3018" width="12.42578125" style="337" customWidth="1"/>
    <col min="3019" max="3019" width="11.85546875" style="337" customWidth="1"/>
    <col min="3020" max="3020" width="2.85546875" style="337" customWidth="1"/>
    <col min="3021" max="3021" width="21.7109375" style="337" customWidth="1"/>
    <col min="3022" max="3022" width="24" style="337" customWidth="1"/>
    <col min="3023" max="3023" width="2.85546875" style="337" customWidth="1"/>
    <col min="3024" max="3024" width="21.7109375" style="337" customWidth="1"/>
    <col min="3025" max="3025" width="24" style="337" customWidth="1"/>
    <col min="3026" max="3026" width="2.85546875" style="337" customWidth="1"/>
    <col min="3027" max="3027" width="21.7109375" style="337" customWidth="1"/>
    <col min="3028" max="3028" width="23.42578125" style="337" bestFit="1" customWidth="1"/>
    <col min="3029" max="3029" width="2.85546875" style="337" customWidth="1"/>
    <col min="3030" max="3030" width="21.7109375" style="337" customWidth="1"/>
    <col min="3031" max="3031" width="27.28515625" style="337" customWidth="1"/>
    <col min="3032" max="3032" width="2.85546875" style="337" customWidth="1"/>
    <col min="3033" max="3033" width="21.7109375" style="337" customWidth="1"/>
    <col min="3034" max="3034" width="23.42578125" style="337" bestFit="1" customWidth="1"/>
    <col min="3035" max="3035" width="2.85546875" style="337" customWidth="1"/>
    <col min="3036" max="3036" width="21.7109375" style="337" customWidth="1"/>
    <col min="3037" max="3037" width="27.42578125" style="337" customWidth="1"/>
    <col min="3038" max="3038" width="2.85546875" style="337" customWidth="1"/>
    <col min="3039" max="3046" width="0" style="337" hidden="1" customWidth="1"/>
    <col min="3047" max="3047" width="21.7109375" style="337" customWidth="1"/>
    <col min="3048" max="3048" width="27.42578125" style="337" customWidth="1"/>
    <col min="3049" max="3270" width="13.140625" style="337"/>
    <col min="3271" max="3271" width="2.85546875" style="337" customWidth="1"/>
    <col min="3272" max="3272" width="13.5703125" style="337" customWidth="1"/>
    <col min="3273" max="3273" width="41.7109375" style="337" customWidth="1"/>
    <col min="3274" max="3274" width="12.42578125" style="337" customWidth="1"/>
    <col min="3275" max="3275" width="11.85546875" style="337" customWidth="1"/>
    <col min="3276" max="3276" width="2.85546875" style="337" customWidth="1"/>
    <col min="3277" max="3277" width="21.7109375" style="337" customWidth="1"/>
    <col min="3278" max="3278" width="24" style="337" customWidth="1"/>
    <col min="3279" max="3279" width="2.85546875" style="337" customWidth="1"/>
    <col min="3280" max="3280" width="21.7109375" style="337" customWidth="1"/>
    <col min="3281" max="3281" width="24" style="337" customWidth="1"/>
    <col min="3282" max="3282" width="2.85546875" style="337" customWidth="1"/>
    <col min="3283" max="3283" width="21.7109375" style="337" customWidth="1"/>
    <col min="3284" max="3284" width="23.42578125" style="337" bestFit="1" customWidth="1"/>
    <col min="3285" max="3285" width="2.85546875" style="337" customWidth="1"/>
    <col min="3286" max="3286" width="21.7109375" style="337" customWidth="1"/>
    <col min="3287" max="3287" width="27.28515625" style="337" customWidth="1"/>
    <col min="3288" max="3288" width="2.85546875" style="337" customWidth="1"/>
    <col min="3289" max="3289" width="21.7109375" style="337" customWidth="1"/>
    <col min="3290" max="3290" width="23.42578125" style="337" bestFit="1" customWidth="1"/>
    <col min="3291" max="3291" width="2.85546875" style="337" customWidth="1"/>
    <col min="3292" max="3292" width="21.7109375" style="337" customWidth="1"/>
    <col min="3293" max="3293" width="27.42578125" style="337" customWidth="1"/>
    <col min="3294" max="3294" width="2.85546875" style="337" customWidth="1"/>
    <col min="3295" max="3302" width="0" style="337" hidden="1" customWidth="1"/>
    <col min="3303" max="3303" width="21.7109375" style="337" customWidth="1"/>
    <col min="3304" max="3304" width="27.42578125" style="337" customWidth="1"/>
    <col min="3305" max="3526" width="13.140625" style="337"/>
    <col min="3527" max="3527" width="2.85546875" style="337" customWidth="1"/>
    <col min="3528" max="3528" width="13.5703125" style="337" customWidth="1"/>
    <col min="3529" max="3529" width="41.7109375" style="337" customWidth="1"/>
    <col min="3530" max="3530" width="12.42578125" style="337" customWidth="1"/>
    <col min="3531" max="3531" width="11.85546875" style="337" customWidth="1"/>
    <col min="3532" max="3532" width="2.85546875" style="337" customWidth="1"/>
    <col min="3533" max="3533" width="21.7109375" style="337" customWidth="1"/>
    <col min="3534" max="3534" width="24" style="337" customWidth="1"/>
    <col min="3535" max="3535" width="2.85546875" style="337" customWidth="1"/>
    <col min="3536" max="3536" width="21.7109375" style="337" customWidth="1"/>
    <col min="3537" max="3537" width="24" style="337" customWidth="1"/>
    <col min="3538" max="3538" width="2.85546875" style="337" customWidth="1"/>
    <col min="3539" max="3539" width="21.7109375" style="337" customWidth="1"/>
    <col min="3540" max="3540" width="23.42578125" style="337" bestFit="1" customWidth="1"/>
    <col min="3541" max="3541" width="2.85546875" style="337" customWidth="1"/>
    <col min="3542" max="3542" width="21.7109375" style="337" customWidth="1"/>
    <col min="3543" max="3543" width="27.28515625" style="337" customWidth="1"/>
    <col min="3544" max="3544" width="2.85546875" style="337" customWidth="1"/>
    <col min="3545" max="3545" width="21.7109375" style="337" customWidth="1"/>
    <col min="3546" max="3546" width="23.42578125" style="337" bestFit="1" customWidth="1"/>
    <col min="3547" max="3547" width="2.85546875" style="337" customWidth="1"/>
    <col min="3548" max="3548" width="21.7109375" style="337" customWidth="1"/>
    <col min="3549" max="3549" width="27.42578125" style="337" customWidth="1"/>
    <col min="3550" max="3550" width="2.85546875" style="337" customWidth="1"/>
    <col min="3551" max="3558" width="0" style="337" hidden="1" customWidth="1"/>
    <col min="3559" max="3559" width="21.7109375" style="337" customWidth="1"/>
    <col min="3560" max="3560" width="27.42578125" style="337" customWidth="1"/>
    <col min="3561" max="3782" width="13.140625" style="337"/>
    <col min="3783" max="3783" width="2.85546875" style="337" customWidth="1"/>
    <col min="3784" max="3784" width="13.5703125" style="337" customWidth="1"/>
    <col min="3785" max="3785" width="41.7109375" style="337" customWidth="1"/>
    <col min="3786" max="3786" width="12.42578125" style="337" customWidth="1"/>
    <col min="3787" max="3787" width="11.85546875" style="337" customWidth="1"/>
    <col min="3788" max="3788" width="2.85546875" style="337" customWidth="1"/>
    <col min="3789" max="3789" width="21.7109375" style="337" customWidth="1"/>
    <col min="3790" max="3790" width="24" style="337" customWidth="1"/>
    <col min="3791" max="3791" width="2.85546875" style="337" customWidth="1"/>
    <col min="3792" max="3792" width="21.7109375" style="337" customWidth="1"/>
    <col min="3793" max="3793" width="24" style="337" customWidth="1"/>
    <col min="3794" max="3794" width="2.85546875" style="337" customWidth="1"/>
    <col min="3795" max="3795" width="21.7109375" style="337" customWidth="1"/>
    <col min="3796" max="3796" width="23.42578125" style="337" bestFit="1" customWidth="1"/>
    <col min="3797" max="3797" width="2.85546875" style="337" customWidth="1"/>
    <col min="3798" max="3798" width="21.7109375" style="337" customWidth="1"/>
    <col min="3799" max="3799" width="27.28515625" style="337" customWidth="1"/>
    <col min="3800" max="3800" width="2.85546875" style="337" customWidth="1"/>
    <col min="3801" max="3801" width="21.7109375" style="337" customWidth="1"/>
    <col min="3802" max="3802" width="23.42578125" style="337" bestFit="1" customWidth="1"/>
    <col min="3803" max="3803" width="2.85546875" style="337" customWidth="1"/>
    <col min="3804" max="3804" width="21.7109375" style="337" customWidth="1"/>
    <col min="3805" max="3805" width="27.42578125" style="337" customWidth="1"/>
    <col min="3806" max="3806" width="2.85546875" style="337" customWidth="1"/>
    <col min="3807" max="3814" width="0" style="337" hidden="1" customWidth="1"/>
    <col min="3815" max="3815" width="21.7109375" style="337" customWidth="1"/>
    <col min="3816" max="3816" width="27.42578125" style="337" customWidth="1"/>
    <col min="3817" max="4038" width="13.140625" style="337"/>
    <col min="4039" max="4039" width="2.85546875" style="337" customWidth="1"/>
    <col min="4040" max="4040" width="13.5703125" style="337" customWidth="1"/>
    <col min="4041" max="4041" width="41.7109375" style="337" customWidth="1"/>
    <col min="4042" max="4042" width="12.42578125" style="337" customWidth="1"/>
    <col min="4043" max="4043" width="11.85546875" style="337" customWidth="1"/>
    <col min="4044" max="4044" width="2.85546875" style="337" customWidth="1"/>
    <col min="4045" max="4045" width="21.7109375" style="337" customWidth="1"/>
    <col min="4046" max="4046" width="24" style="337" customWidth="1"/>
    <col min="4047" max="4047" width="2.85546875" style="337" customWidth="1"/>
    <col min="4048" max="4048" width="21.7109375" style="337" customWidth="1"/>
    <col min="4049" max="4049" width="24" style="337" customWidth="1"/>
    <col min="4050" max="4050" width="2.85546875" style="337" customWidth="1"/>
    <col min="4051" max="4051" width="21.7109375" style="337" customWidth="1"/>
    <col min="4052" max="4052" width="23.42578125" style="337" bestFit="1" customWidth="1"/>
    <col min="4053" max="4053" width="2.85546875" style="337" customWidth="1"/>
    <col min="4054" max="4054" width="21.7109375" style="337" customWidth="1"/>
    <col min="4055" max="4055" width="27.28515625" style="337" customWidth="1"/>
    <col min="4056" max="4056" width="2.85546875" style="337" customWidth="1"/>
    <col min="4057" max="4057" width="21.7109375" style="337" customWidth="1"/>
    <col min="4058" max="4058" width="23.42578125" style="337" bestFit="1" customWidth="1"/>
    <col min="4059" max="4059" width="2.85546875" style="337" customWidth="1"/>
    <col min="4060" max="4060" width="21.7109375" style="337" customWidth="1"/>
    <col min="4061" max="4061" width="27.42578125" style="337" customWidth="1"/>
    <col min="4062" max="4062" width="2.85546875" style="337" customWidth="1"/>
    <col min="4063" max="4070" width="0" style="337" hidden="1" customWidth="1"/>
    <col min="4071" max="4071" width="21.7109375" style="337" customWidth="1"/>
    <col min="4072" max="4072" width="27.42578125" style="337" customWidth="1"/>
    <col min="4073" max="4294" width="13.140625" style="337"/>
    <col min="4295" max="4295" width="2.85546875" style="337" customWidth="1"/>
    <col min="4296" max="4296" width="13.5703125" style="337" customWidth="1"/>
    <col min="4297" max="4297" width="41.7109375" style="337" customWidth="1"/>
    <col min="4298" max="4298" width="12.42578125" style="337" customWidth="1"/>
    <col min="4299" max="4299" width="11.85546875" style="337" customWidth="1"/>
    <col min="4300" max="4300" width="2.85546875" style="337" customWidth="1"/>
    <col min="4301" max="4301" width="21.7109375" style="337" customWidth="1"/>
    <col min="4302" max="4302" width="24" style="337" customWidth="1"/>
    <col min="4303" max="4303" width="2.85546875" style="337" customWidth="1"/>
    <col min="4304" max="4304" width="21.7109375" style="337" customWidth="1"/>
    <col min="4305" max="4305" width="24" style="337" customWidth="1"/>
    <col min="4306" max="4306" width="2.85546875" style="337" customWidth="1"/>
    <col min="4307" max="4307" width="21.7109375" style="337" customWidth="1"/>
    <col min="4308" max="4308" width="23.42578125" style="337" bestFit="1" customWidth="1"/>
    <col min="4309" max="4309" width="2.85546875" style="337" customWidth="1"/>
    <col min="4310" max="4310" width="21.7109375" style="337" customWidth="1"/>
    <col min="4311" max="4311" width="27.28515625" style="337" customWidth="1"/>
    <col min="4312" max="4312" width="2.85546875" style="337" customWidth="1"/>
    <col min="4313" max="4313" width="21.7109375" style="337" customWidth="1"/>
    <col min="4314" max="4314" width="23.42578125" style="337" bestFit="1" customWidth="1"/>
    <col min="4315" max="4315" width="2.85546875" style="337" customWidth="1"/>
    <col min="4316" max="4316" width="21.7109375" style="337" customWidth="1"/>
    <col min="4317" max="4317" width="27.42578125" style="337" customWidth="1"/>
    <col min="4318" max="4318" width="2.85546875" style="337" customWidth="1"/>
    <col min="4319" max="4326" width="0" style="337" hidden="1" customWidth="1"/>
    <col min="4327" max="4327" width="21.7109375" style="337" customWidth="1"/>
    <col min="4328" max="4328" width="27.42578125" style="337" customWidth="1"/>
    <col min="4329" max="4550" width="13.140625" style="337"/>
    <col min="4551" max="4551" width="2.85546875" style="337" customWidth="1"/>
    <col min="4552" max="4552" width="13.5703125" style="337" customWidth="1"/>
    <col min="4553" max="4553" width="41.7109375" style="337" customWidth="1"/>
    <col min="4554" max="4554" width="12.42578125" style="337" customWidth="1"/>
    <col min="4555" max="4555" width="11.85546875" style="337" customWidth="1"/>
    <col min="4556" max="4556" width="2.85546875" style="337" customWidth="1"/>
    <col min="4557" max="4557" width="21.7109375" style="337" customWidth="1"/>
    <col min="4558" max="4558" width="24" style="337" customWidth="1"/>
    <col min="4559" max="4559" width="2.85546875" style="337" customWidth="1"/>
    <col min="4560" max="4560" width="21.7109375" style="337" customWidth="1"/>
    <col min="4561" max="4561" width="24" style="337" customWidth="1"/>
    <col min="4562" max="4562" width="2.85546875" style="337" customWidth="1"/>
    <col min="4563" max="4563" width="21.7109375" style="337" customWidth="1"/>
    <col min="4564" max="4564" width="23.42578125" style="337" bestFit="1" customWidth="1"/>
    <col min="4565" max="4565" width="2.85546875" style="337" customWidth="1"/>
    <col min="4566" max="4566" width="21.7109375" style="337" customWidth="1"/>
    <col min="4567" max="4567" width="27.28515625" style="337" customWidth="1"/>
    <col min="4568" max="4568" width="2.85546875" style="337" customWidth="1"/>
    <col min="4569" max="4569" width="21.7109375" style="337" customWidth="1"/>
    <col min="4570" max="4570" width="23.42578125" style="337" bestFit="1" customWidth="1"/>
    <col min="4571" max="4571" width="2.85546875" style="337" customWidth="1"/>
    <col min="4572" max="4572" width="21.7109375" style="337" customWidth="1"/>
    <col min="4573" max="4573" width="27.42578125" style="337" customWidth="1"/>
    <col min="4574" max="4574" width="2.85546875" style="337" customWidth="1"/>
    <col min="4575" max="4582" width="0" style="337" hidden="1" customWidth="1"/>
    <col min="4583" max="4583" width="21.7109375" style="337" customWidth="1"/>
    <col min="4584" max="4584" width="27.42578125" style="337" customWidth="1"/>
    <col min="4585" max="4806" width="13.140625" style="337"/>
    <col min="4807" max="4807" width="2.85546875" style="337" customWidth="1"/>
    <col min="4808" max="4808" width="13.5703125" style="337" customWidth="1"/>
    <col min="4809" max="4809" width="41.7109375" style="337" customWidth="1"/>
    <col min="4810" max="4810" width="12.42578125" style="337" customWidth="1"/>
    <col min="4811" max="4811" width="11.85546875" style="337" customWidth="1"/>
    <col min="4812" max="4812" width="2.85546875" style="337" customWidth="1"/>
    <col min="4813" max="4813" width="21.7109375" style="337" customWidth="1"/>
    <col min="4814" max="4814" width="24" style="337" customWidth="1"/>
    <col min="4815" max="4815" width="2.85546875" style="337" customWidth="1"/>
    <col min="4816" max="4816" width="21.7109375" style="337" customWidth="1"/>
    <col min="4817" max="4817" width="24" style="337" customWidth="1"/>
    <col min="4818" max="4818" width="2.85546875" style="337" customWidth="1"/>
    <col min="4819" max="4819" width="21.7109375" style="337" customWidth="1"/>
    <col min="4820" max="4820" width="23.42578125" style="337" bestFit="1" customWidth="1"/>
    <col min="4821" max="4821" width="2.85546875" style="337" customWidth="1"/>
    <col min="4822" max="4822" width="21.7109375" style="337" customWidth="1"/>
    <col min="4823" max="4823" width="27.28515625" style="337" customWidth="1"/>
    <col min="4824" max="4824" width="2.85546875" style="337" customWidth="1"/>
    <col min="4825" max="4825" width="21.7109375" style="337" customWidth="1"/>
    <col min="4826" max="4826" width="23.42578125" style="337" bestFit="1" customWidth="1"/>
    <col min="4827" max="4827" width="2.85546875" style="337" customWidth="1"/>
    <col min="4828" max="4828" width="21.7109375" style="337" customWidth="1"/>
    <col min="4829" max="4829" width="27.42578125" style="337" customWidth="1"/>
    <col min="4830" max="4830" width="2.85546875" style="337" customWidth="1"/>
    <col min="4831" max="4838" width="0" style="337" hidden="1" customWidth="1"/>
    <col min="4839" max="4839" width="21.7109375" style="337" customWidth="1"/>
    <col min="4840" max="4840" width="27.42578125" style="337" customWidth="1"/>
    <col min="4841" max="5062" width="13.140625" style="337"/>
    <col min="5063" max="5063" width="2.85546875" style="337" customWidth="1"/>
    <col min="5064" max="5064" width="13.5703125" style="337" customWidth="1"/>
    <col min="5065" max="5065" width="41.7109375" style="337" customWidth="1"/>
    <col min="5066" max="5066" width="12.42578125" style="337" customWidth="1"/>
    <col min="5067" max="5067" width="11.85546875" style="337" customWidth="1"/>
    <col min="5068" max="5068" width="2.85546875" style="337" customWidth="1"/>
    <col min="5069" max="5069" width="21.7109375" style="337" customWidth="1"/>
    <col min="5070" max="5070" width="24" style="337" customWidth="1"/>
    <col min="5071" max="5071" width="2.85546875" style="337" customWidth="1"/>
    <col min="5072" max="5072" width="21.7109375" style="337" customWidth="1"/>
    <col min="5073" max="5073" width="24" style="337" customWidth="1"/>
    <col min="5074" max="5074" width="2.85546875" style="337" customWidth="1"/>
    <col min="5075" max="5075" width="21.7109375" style="337" customWidth="1"/>
    <col min="5076" max="5076" width="23.42578125" style="337" bestFit="1" customWidth="1"/>
    <col min="5077" max="5077" width="2.85546875" style="337" customWidth="1"/>
    <col min="5078" max="5078" width="21.7109375" style="337" customWidth="1"/>
    <col min="5079" max="5079" width="27.28515625" style="337" customWidth="1"/>
    <col min="5080" max="5080" width="2.85546875" style="337" customWidth="1"/>
    <col min="5081" max="5081" width="21.7109375" style="337" customWidth="1"/>
    <col min="5082" max="5082" width="23.42578125" style="337" bestFit="1" customWidth="1"/>
    <col min="5083" max="5083" width="2.85546875" style="337" customWidth="1"/>
    <col min="5084" max="5084" width="21.7109375" style="337" customWidth="1"/>
    <col min="5085" max="5085" width="27.42578125" style="337" customWidth="1"/>
    <col min="5086" max="5086" width="2.85546875" style="337" customWidth="1"/>
    <col min="5087" max="5094" width="0" style="337" hidden="1" customWidth="1"/>
    <col min="5095" max="5095" width="21.7109375" style="337" customWidth="1"/>
    <col min="5096" max="5096" width="27.42578125" style="337" customWidth="1"/>
    <col min="5097" max="5318" width="13.140625" style="337"/>
    <col min="5319" max="5319" width="2.85546875" style="337" customWidth="1"/>
    <col min="5320" max="5320" width="13.5703125" style="337" customWidth="1"/>
    <col min="5321" max="5321" width="41.7109375" style="337" customWidth="1"/>
    <col min="5322" max="5322" width="12.42578125" style="337" customWidth="1"/>
    <col min="5323" max="5323" width="11.85546875" style="337" customWidth="1"/>
    <col min="5324" max="5324" width="2.85546875" style="337" customWidth="1"/>
    <col min="5325" max="5325" width="21.7109375" style="337" customWidth="1"/>
    <col min="5326" max="5326" width="24" style="337" customWidth="1"/>
    <col min="5327" max="5327" width="2.85546875" style="337" customWidth="1"/>
    <col min="5328" max="5328" width="21.7109375" style="337" customWidth="1"/>
    <col min="5329" max="5329" width="24" style="337" customWidth="1"/>
    <col min="5330" max="5330" width="2.85546875" style="337" customWidth="1"/>
    <col min="5331" max="5331" width="21.7109375" style="337" customWidth="1"/>
    <col min="5332" max="5332" width="23.42578125" style="337" bestFit="1" customWidth="1"/>
    <col min="5333" max="5333" width="2.85546875" style="337" customWidth="1"/>
    <col min="5334" max="5334" width="21.7109375" style="337" customWidth="1"/>
    <col min="5335" max="5335" width="27.28515625" style="337" customWidth="1"/>
    <col min="5336" max="5336" width="2.85546875" style="337" customWidth="1"/>
    <col min="5337" max="5337" width="21.7109375" style="337" customWidth="1"/>
    <col min="5338" max="5338" width="23.42578125" style="337" bestFit="1" customWidth="1"/>
    <col min="5339" max="5339" width="2.85546875" style="337" customWidth="1"/>
    <col min="5340" max="5340" width="21.7109375" style="337" customWidth="1"/>
    <col min="5341" max="5341" width="27.42578125" style="337" customWidth="1"/>
    <col min="5342" max="5342" width="2.85546875" style="337" customWidth="1"/>
    <col min="5343" max="5350" width="0" style="337" hidden="1" customWidth="1"/>
    <col min="5351" max="5351" width="21.7109375" style="337" customWidth="1"/>
    <col min="5352" max="5352" width="27.42578125" style="337" customWidth="1"/>
    <col min="5353" max="5574" width="13.140625" style="337"/>
    <col min="5575" max="5575" width="2.85546875" style="337" customWidth="1"/>
    <col min="5576" max="5576" width="13.5703125" style="337" customWidth="1"/>
    <col min="5577" max="5577" width="41.7109375" style="337" customWidth="1"/>
    <col min="5578" max="5578" width="12.42578125" style="337" customWidth="1"/>
    <col min="5579" max="5579" width="11.85546875" style="337" customWidth="1"/>
    <col min="5580" max="5580" width="2.85546875" style="337" customWidth="1"/>
    <col min="5581" max="5581" width="21.7109375" style="337" customWidth="1"/>
    <col min="5582" max="5582" width="24" style="337" customWidth="1"/>
    <col min="5583" max="5583" width="2.85546875" style="337" customWidth="1"/>
    <col min="5584" max="5584" width="21.7109375" style="337" customWidth="1"/>
    <col min="5585" max="5585" width="24" style="337" customWidth="1"/>
    <col min="5586" max="5586" width="2.85546875" style="337" customWidth="1"/>
    <col min="5587" max="5587" width="21.7109375" style="337" customWidth="1"/>
    <col min="5588" max="5588" width="23.42578125" style="337" bestFit="1" customWidth="1"/>
    <col min="5589" max="5589" width="2.85546875" style="337" customWidth="1"/>
    <col min="5590" max="5590" width="21.7109375" style="337" customWidth="1"/>
    <col min="5591" max="5591" width="27.28515625" style="337" customWidth="1"/>
    <col min="5592" max="5592" width="2.85546875" style="337" customWidth="1"/>
    <col min="5593" max="5593" width="21.7109375" style="337" customWidth="1"/>
    <col min="5594" max="5594" width="23.42578125" style="337" bestFit="1" customWidth="1"/>
    <col min="5595" max="5595" width="2.85546875" style="337" customWidth="1"/>
    <col min="5596" max="5596" width="21.7109375" style="337" customWidth="1"/>
    <col min="5597" max="5597" width="27.42578125" style="337" customWidth="1"/>
    <col min="5598" max="5598" width="2.85546875" style="337" customWidth="1"/>
    <col min="5599" max="5606" width="0" style="337" hidden="1" customWidth="1"/>
    <col min="5607" max="5607" width="21.7109375" style="337" customWidth="1"/>
    <col min="5608" max="5608" width="27.42578125" style="337" customWidth="1"/>
    <col min="5609" max="5830" width="13.140625" style="337"/>
    <col min="5831" max="5831" width="2.85546875" style="337" customWidth="1"/>
    <col min="5832" max="5832" width="13.5703125" style="337" customWidth="1"/>
    <col min="5833" max="5833" width="41.7109375" style="337" customWidth="1"/>
    <col min="5834" max="5834" width="12.42578125" style="337" customWidth="1"/>
    <col min="5835" max="5835" width="11.85546875" style="337" customWidth="1"/>
    <col min="5836" max="5836" width="2.85546875" style="337" customWidth="1"/>
    <col min="5837" max="5837" width="21.7109375" style="337" customWidth="1"/>
    <col min="5838" max="5838" width="24" style="337" customWidth="1"/>
    <col min="5839" max="5839" width="2.85546875" style="337" customWidth="1"/>
    <col min="5840" max="5840" width="21.7109375" style="337" customWidth="1"/>
    <col min="5841" max="5841" width="24" style="337" customWidth="1"/>
    <col min="5842" max="5842" width="2.85546875" style="337" customWidth="1"/>
    <col min="5843" max="5843" width="21.7109375" style="337" customWidth="1"/>
    <col min="5844" max="5844" width="23.42578125" style="337" bestFit="1" customWidth="1"/>
    <col min="5845" max="5845" width="2.85546875" style="337" customWidth="1"/>
    <col min="5846" max="5846" width="21.7109375" style="337" customWidth="1"/>
    <col min="5847" max="5847" width="27.28515625" style="337" customWidth="1"/>
    <col min="5848" max="5848" width="2.85546875" style="337" customWidth="1"/>
    <col min="5849" max="5849" width="21.7109375" style="337" customWidth="1"/>
    <col min="5850" max="5850" width="23.42578125" style="337" bestFit="1" customWidth="1"/>
    <col min="5851" max="5851" width="2.85546875" style="337" customWidth="1"/>
    <col min="5852" max="5852" width="21.7109375" style="337" customWidth="1"/>
    <col min="5853" max="5853" width="27.42578125" style="337" customWidth="1"/>
    <col min="5854" max="5854" width="2.85546875" style="337" customWidth="1"/>
    <col min="5855" max="5862" width="0" style="337" hidden="1" customWidth="1"/>
    <col min="5863" max="5863" width="21.7109375" style="337" customWidth="1"/>
    <col min="5864" max="5864" width="27.42578125" style="337" customWidth="1"/>
    <col min="5865" max="6086" width="13.140625" style="337"/>
    <col min="6087" max="6087" width="2.85546875" style="337" customWidth="1"/>
    <col min="6088" max="6088" width="13.5703125" style="337" customWidth="1"/>
    <col min="6089" max="6089" width="41.7109375" style="337" customWidth="1"/>
    <col min="6090" max="6090" width="12.42578125" style="337" customWidth="1"/>
    <col min="6091" max="6091" width="11.85546875" style="337" customWidth="1"/>
    <col min="6092" max="6092" width="2.85546875" style="337" customWidth="1"/>
    <col min="6093" max="6093" width="21.7109375" style="337" customWidth="1"/>
    <col min="6094" max="6094" width="24" style="337" customWidth="1"/>
    <col min="6095" max="6095" width="2.85546875" style="337" customWidth="1"/>
    <col min="6096" max="6096" width="21.7109375" style="337" customWidth="1"/>
    <col min="6097" max="6097" width="24" style="337" customWidth="1"/>
    <col min="6098" max="6098" width="2.85546875" style="337" customWidth="1"/>
    <col min="6099" max="6099" width="21.7109375" style="337" customWidth="1"/>
    <col min="6100" max="6100" width="23.42578125" style="337" bestFit="1" customWidth="1"/>
    <col min="6101" max="6101" width="2.85546875" style="337" customWidth="1"/>
    <col min="6102" max="6102" width="21.7109375" style="337" customWidth="1"/>
    <col min="6103" max="6103" width="27.28515625" style="337" customWidth="1"/>
    <col min="6104" max="6104" width="2.85546875" style="337" customWidth="1"/>
    <col min="6105" max="6105" width="21.7109375" style="337" customWidth="1"/>
    <col min="6106" max="6106" width="23.42578125" style="337" bestFit="1" customWidth="1"/>
    <col min="6107" max="6107" width="2.85546875" style="337" customWidth="1"/>
    <col min="6108" max="6108" width="21.7109375" style="337" customWidth="1"/>
    <col min="6109" max="6109" width="27.42578125" style="337" customWidth="1"/>
    <col min="6110" max="6110" width="2.85546875" style="337" customWidth="1"/>
    <col min="6111" max="6118" width="0" style="337" hidden="1" customWidth="1"/>
    <col min="6119" max="6119" width="21.7109375" style="337" customWidth="1"/>
    <col min="6120" max="6120" width="27.42578125" style="337" customWidth="1"/>
    <col min="6121" max="6342" width="13.140625" style="337"/>
    <col min="6343" max="6343" width="2.85546875" style="337" customWidth="1"/>
    <col min="6344" max="6344" width="13.5703125" style="337" customWidth="1"/>
    <col min="6345" max="6345" width="41.7109375" style="337" customWidth="1"/>
    <col min="6346" max="6346" width="12.42578125" style="337" customWidth="1"/>
    <col min="6347" max="6347" width="11.85546875" style="337" customWidth="1"/>
    <col min="6348" max="6348" width="2.85546875" style="337" customWidth="1"/>
    <col min="6349" max="6349" width="21.7109375" style="337" customWidth="1"/>
    <col min="6350" max="6350" width="24" style="337" customWidth="1"/>
    <col min="6351" max="6351" width="2.85546875" style="337" customWidth="1"/>
    <col min="6352" max="6352" width="21.7109375" style="337" customWidth="1"/>
    <col min="6353" max="6353" width="24" style="337" customWidth="1"/>
    <col min="6354" max="6354" width="2.85546875" style="337" customWidth="1"/>
    <col min="6355" max="6355" width="21.7109375" style="337" customWidth="1"/>
    <col min="6356" max="6356" width="23.42578125" style="337" bestFit="1" customWidth="1"/>
    <col min="6357" max="6357" width="2.85546875" style="337" customWidth="1"/>
    <col min="6358" max="6358" width="21.7109375" style="337" customWidth="1"/>
    <col min="6359" max="6359" width="27.28515625" style="337" customWidth="1"/>
    <col min="6360" max="6360" width="2.85546875" style="337" customWidth="1"/>
    <col min="6361" max="6361" width="21.7109375" style="337" customWidth="1"/>
    <col min="6362" max="6362" width="23.42578125" style="337" bestFit="1" customWidth="1"/>
    <col min="6363" max="6363" width="2.85546875" style="337" customWidth="1"/>
    <col min="6364" max="6364" width="21.7109375" style="337" customWidth="1"/>
    <col min="6365" max="6365" width="27.42578125" style="337" customWidth="1"/>
    <col min="6366" max="6366" width="2.85546875" style="337" customWidth="1"/>
    <col min="6367" max="6374" width="0" style="337" hidden="1" customWidth="1"/>
    <col min="6375" max="6375" width="21.7109375" style="337" customWidth="1"/>
    <col min="6376" max="6376" width="27.42578125" style="337" customWidth="1"/>
    <col min="6377" max="6598" width="13.140625" style="337"/>
    <col min="6599" max="6599" width="2.85546875" style="337" customWidth="1"/>
    <col min="6600" max="6600" width="13.5703125" style="337" customWidth="1"/>
    <col min="6601" max="6601" width="41.7109375" style="337" customWidth="1"/>
    <col min="6602" max="6602" width="12.42578125" style="337" customWidth="1"/>
    <col min="6603" max="6603" width="11.85546875" style="337" customWidth="1"/>
    <col min="6604" max="6604" width="2.85546875" style="337" customWidth="1"/>
    <col min="6605" max="6605" width="21.7109375" style="337" customWidth="1"/>
    <col min="6606" max="6606" width="24" style="337" customWidth="1"/>
    <col min="6607" max="6607" width="2.85546875" style="337" customWidth="1"/>
    <col min="6608" max="6608" width="21.7109375" style="337" customWidth="1"/>
    <col min="6609" max="6609" width="24" style="337" customWidth="1"/>
    <col min="6610" max="6610" width="2.85546875" style="337" customWidth="1"/>
    <col min="6611" max="6611" width="21.7109375" style="337" customWidth="1"/>
    <col min="6612" max="6612" width="23.42578125" style="337" bestFit="1" customWidth="1"/>
    <col min="6613" max="6613" width="2.85546875" style="337" customWidth="1"/>
    <col min="6614" max="6614" width="21.7109375" style="337" customWidth="1"/>
    <col min="6615" max="6615" width="27.28515625" style="337" customWidth="1"/>
    <col min="6616" max="6616" width="2.85546875" style="337" customWidth="1"/>
    <col min="6617" max="6617" width="21.7109375" style="337" customWidth="1"/>
    <col min="6618" max="6618" width="23.42578125" style="337" bestFit="1" customWidth="1"/>
    <col min="6619" max="6619" width="2.85546875" style="337" customWidth="1"/>
    <col min="6620" max="6620" width="21.7109375" style="337" customWidth="1"/>
    <col min="6621" max="6621" width="27.42578125" style="337" customWidth="1"/>
    <col min="6622" max="6622" width="2.85546875" style="337" customWidth="1"/>
    <col min="6623" max="6630" width="0" style="337" hidden="1" customWidth="1"/>
    <col min="6631" max="6631" width="21.7109375" style="337" customWidth="1"/>
    <col min="6632" max="6632" width="27.42578125" style="337" customWidth="1"/>
    <col min="6633" max="6854" width="13.140625" style="337"/>
    <col min="6855" max="6855" width="2.85546875" style="337" customWidth="1"/>
    <col min="6856" max="6856" width="13.5703125" style="337" customWidth="1"/>
    <col min="6857" max="6857" width="41.7109375" style="337" customWidth="1"/>
    <col min="6858" max="6858" width="12.42578125" style="337" customWidth="1"/>
    <col min="6859" max="6859" width="11.85546875" style="337" customWidth="1"/>
    <col min="6860" max="6860" width="2.85546875" style="337" customWidth="1"/>
    <col min="6861" max="6861" width="21.7109375" style="337" customWidth="1"/>
    <col min="6862" max="6862" width="24" style="337" customWidth="1"/>
    <col min="6863" max="6863" width="2.85546875" style="337" customWidth="1"/>
    <col min="6864" max="6864" width="21.7109375" style="337" customWidth="1"/>
    <col min="6865" max="6865" width="24" style="337" customWidth="1"/>
    <col min="6866" max="6866" width="2.85546875" style="337" customWidth="1"/>
    <col min="6867" max="6867" width="21.7109375" style="337" customWidth="1"/>
    <col min="6868" max="6868" width="23.42578125" style="337" bestFit="1" customWidth="1"/>
    <col min="6869" max="6869" width="2.85546875" style="337" customWidth="1"/>
    <col min="6870" max="6870" width="21.7109375" style="337" customWidth="1"/>
    <col min="6871" max="6871" width="27.28515625" style="337" customWidth="1"/>
    <col min="6872" max="6872" width="2.85546875" style="337" customWidth="1"/>
    <col min="6873" max="6873" width="21.7109375" style="337" customWidth="1"/>
    <col min="6874" max="6874" width="23.42578125" style="337" bestFit="1" customWidth="1"/>
    <col min="6875" max="6875" width="2.85546875" style="337" customWidth="1"/>
    <col min="6876" max="6876" width="21.7109375" style="337" customWidth="1"/>
    <col min="6877" max="6877" width="27.42578125" style="337" customWidth="1"/>
    <col min="6878" max="6878" width="2.85546875" style="337" customWidth="1"/>
    <col min="6879" max="6886" width="0" style="337" hidden="1" customWidth="1"/>
    <col min="6887" max="6887" width="21.7109375" style="337" customWidth="1"/>
    <col min="6888" max="6888" width="27.42578125" style="337" customWidth="1"/>
    <col min="6889" max="7110" width="13.140625" style="337"/>
    <col min="7111" max="7111" width="2.85546875" style="337" customWidth="1"/>
    <col min="7112" max="7112" width="13.5703125" style="337" customWidth="1"/>
    <col min="7113" max="7113" width="41.7109375" style="337" customWidth="1"/>
    <col min="7114" max="7114" width="12.42578125" style="337" customWidth="1"/>
    <col min="7115" max="7115" width="11.85546875" style="337" customWidth="1"/>
    <col min="7116" max="7116" width="2.85546875" style="337" customWidth="1"/>
    <col min="7117" max="7117" width="21.7109375" style="337" customWidth="1"/>
    <col min="7118" max="7118" width="24" style="337" customWidth="1"/>
    <col min="7119" max="7119" width="2.85546875" style="337" customWidth="1"/>
    <col min="7120" max="7120" width="21.7109375" style="337" customWidth="1"/>
    <col min="7121" max="7121" width="24" style="337" customWidth="1"/>
    <col min="7122" max="7122" width="2.85546875" style="337" customWidth="1"/>
    <col min="7123" max="7123" width="21.7109375" style="337" customWidth="1"/>
    <col min="7124" max="7124" width="23.42578125" style="337" bestFit="1" customWidth="1"/>
    <col min="7125" max="7125" width="2.85546875" style="337" customWidth="1"/>
    <col min="7126" max="7126" width="21.7109375" style="337" customWidth="1"/>
    <col min="7127" max="7127" width="27.28515625" style="337" customWidth="1"/>
    <col min="7128" max="7128" width="2.85546875" style="337" customWidth="1"/>
    <col min="7129" max="7129" width="21.7109375" style="337" customWidth="1"/>
    <col min="7130" max="7130" width="23.42578125" style="337" bestFit="1" customWidth="1"/>
    <col min="7131" max="7131" width="2.85546875" style="337" customWidth="1"/>
    <col min="7132" max="7132" width="21.7109375" style="337" customWidth="1"/>
    <col min="7133" max="7133" width="27.42578125" style="337" customWidth="1"/>
    <col min="7134" max="7134" width="2.85546875" style="337" customWidth="1"/>
    <col min="7135" max="7142" width="0" style="337" hidden="1" customWidth="1"/>
    <col min="7143" max="7143" width="21.7109375" style="337" customWidth="1"/>
    <col min="7144" max="7144" width="27.42578125" style="337" customWidth="1"/>
    <col min="7145" max="7366" width="13.140625" style="337"/>
    <col min="7367" max="7367" width="2.85546875" style="337" customWidth="1"/>
    <col min="7368" max="7368" width="13.5703125" style="337" customWidth="1"/>
    <col min="7369" max="7369" width="41.7109375" style="337" customWidth="1"/>
    <col min="7370" max="7370" width="12.42578125" style="337" customWidth="1"/>
    <col min="7371" max="7371" width="11.85546875" style="337" customWidth="1"/>
    <col min="7372" max="7372" width="2.85546875" style="337" customWidth="1"/>
    <col min="7373" max="7373" width="21.7109375" style="337" customWidth="1"/>
    <col min="7374" max="7374" width="24" style="337" customWidth="1"/>
    <col min="7375" max="7375" width="2.85546875" style="337" customWidth="1"/>
    <col min="7376" max="7376" width="21.7109375" style="337" customWidth="1"/>
    <col min="7377" max="7377" width="24" style="337" customWidth="1"/>
    <col min="7378" max="7378" width="2.85546875" style="337" customWidth="1"/>
    <col min="7379" max="7379" width="21.7109375" style="337" customWidth="1"/>
    <col min="7380" max="7380" width="23.42578125" style="337" bestFit="1" customWidth="1"/>
    <col min="7381" max="7381" width="2.85546875" style="337" customWidth="1"/>
    <col min="7382" max="7382" width="21.7109375" style="337" customWidth="1"/>
    <col min="7383" max="7383" width="27.28515625" style="337" customWidth="1"/>
    <col min="7384" max="7384" width="2.85546875" style="337" customWidth="1"/>
    <col min="7385" max="7385" width="21.7109375" style="337" customWidth="1"/>
    <col min="7386" max="7386" width="23.42578125" style="337" bestFit="1" customWidth="1"/>
    <col min="7387" max="7387" width="2.85546875" style="337" customWidth="1"/>
    <col min="7388" max="7388" width="21.7109375" style="337" customWidth="1"/>
    <col min="7389" max="7389" width="27.42578125" style="337" customWidth="1"/>
    <col min="7390" max="7390" width="2.85546875" style="337" customWidth="1"/>
    <col min="7391" max="7398" width="0" style="337" hidden="1" customWidth="1"/>
    <col min="7399" max="7399" width="21.7109375" style="337" customWidth="1"/>
    <col min="7400" max="7400" width="27.42578125" style="337" customWidth="1"/>
    <col min="7401" max="7622" width="13.140625" style="337"/>
    <col min="7623" max="7623" width="2.85546875" style="337" customWidth="1"/>
    <col min="7624" max="7624" width="13.5703125" style="337" customWidth="1"/>
    <col min="7625" max="7625" width="41.7109375" style="337" customWidth="1"/>
    <col min="7626" max="7626" width="12.42578125" style="337" customWidth="1"/>
    <col min="7627" max="7627" width="11.85546875" style="337" customWidth="1"/>
    <col min="7628" max="7628" width="2.85546875" style="337" customWidth="1"/>
    <col min="7629" max="7629" width="21.7109375" style="337" customWidth="1"/>
    <col min="7630" max="7630" width="24" style="337" customWidth="1"/>
    <col min="7631" max="7631" width="2.85546875" style="337" customWidth="1"/>
    <col min="7632" max="7632" width="21.7109375" style="337" customWidth="1"/>
    <col min="7633" max="7633" width="24" style="337" customWidth="1"/>
    <col min="7634" max="7634" width="2.85546875" style="337" customWidth="1"/>
    <col min="7635" max="7635" width="21.7109375" style="337" customWidth="1"/>
    <col min="7636" max="7636" width="23.42578125" style="337" bestFit="1" customWidth="1"/>
    <col min="7637" max="7637" width="2.85546875" style="337" customWidth="1"/>
    <col min="7638" max="7638" width="21.7109375" style="337" customWidth="1"/>
    <col min="7639" max="7639" width="27.28515625" style="337" customWidth="1"/>
    <col min="7640" max="7640" width="2.85546875" style="337" customWidth="1"/>
    <col min="7641" max="7641" width="21.7109375" style="337" customWidth="1"/>
    <col min="7642" max="7642" width="23.42578125" style="337" bestFit="1" customWidth="1"/>
    <col min="7643" max="7643" width="2.85546875" style="337" customWidth="1"/>
    <col min="7644" max="7644" width="21.7109375" style="337" customWidth="1"/>
    <col min="7645" max="7645" width="27.42578125" style="337" customWidth="1"/>
    <col min="7646" max="7646" width="2.85546875" style="337" customWidth="1"/>
    <col min="7647" max="7654" width="0" style="337" hidden="1" customWidth="1"/>
    <col min="7655" max="7655" width="21.7109375" style="337" customWidth="1"/>
    <col min="7656" max="7656" width="27.42578125" style="337" customWidth="1"/>
    <col min="7657" max="7878" width="13.140625" style="337"/>
    <col min="7879" max="7879" width="2.85546875" style="337" customWidth="1"/>
    <col min="7880" max="7880" width="13.5703125" style="337" customWidth="1"/>
    <col min="7881" max="7881" width="41.7109375" style="337" customWidth="1"/>
    <col min="7882" max="7882" width="12.42578125" style="337" customWidth="1"/>
    <col min="7883" max="7883" width="11.85546875" style="337" customWidth="1"/>
    <col min="7884" max="7884" width="2.85546875" style="337" customWidth="1"/>
    <col min="7885" max="7885" width="21.7109375" style="337" customWidth="1"/>
    <col min="7886" max="7886" width="24" style="337" customWidth="1"/>
    <col min="7887" max="7887" width="2.85546875" style="337" customWidth="1"/>
    <col min="7888" max="7888" width="21.7109375" style="337" customWidth="1"/>
    <col min="7889" max="7889" width="24" style="337" customWidth="1"/>
    <col min="7890" max="7890" width="2.85546875" style="337" customWidth="1"/>
    <col min="7891" max="7891" width="21.7109375" style="337" customWidth="1"/>
    <col min="7892" max="7892" width="23.42578125" style="337" bestFit="1" customWidth="1"/>
    <col min="7893" max="7893" width="2.85546875" style="337" customWidth="1"/>
    <col min="7894" max="7894" width="21.7109375" style="337" customWidth="1"/>
    <col min="7895" max="7895" width="27.28515625" style="337" customWidth="1"/>
    <col min="7896" max="7896" width="2.85546875" style="337" customWidth="1"/>
    <col min="7897" max="7897" width="21.7109375" style="337" customWidth="1"/>
    <col min="7898" max="7898" width="23.42578125" style="337" bestFit="1" customWidth="1"/>
    <col min="7899" max="7899" width="2.85546875" style="337" customWidth="1"/>
    <col min="7900" max="7900" width="21.7109375" style="337" customWidth="1"/>
    <col min="7901" max="7901" width="27.42578125" style="337" customWidth="1"/>
    <col min="7902" max="7902" width="2.85546875" style="337" customWidth="1"/>
    <col min="7903" max="7910" width="0" style="337" hidden="1" customWidth="1"/>
    <col min="7911" max="7911" width="21.7109375" style="337" customWidth="1"/>
    <col min="7912" max="7912" width="27.42578125" style="337" customWidth="1"/>
    <col min="7913" max="8134" width="13.140625" style="337"/>
    <col min="8135" max="8135" width="2.85546875" style="337" customWidth="1"/>
    <col min="8136" max="8136" width="13.5703125" style="337" customWidth="1"/>
    <col min="8137" max="8137" width="41.7109375" style="337" customWidth="1"/>
    <col min="8138" max="8138" width="12.42578125" style="337" customWidth="1"/>
    <col min="8139" max="8139" width="11.85546875" style="337" customWidth="1"/>
    <col min="8140" max="8140" width="2.85546875" style="337" customWidth="1"/>
    <col min="8141" max="8141" width="21.7109375" style="337" customWidth="1"/>
    <col min="8142" max="8142" width="24" style="337" customWidth="1"/>
    <col min="8143" max="8143" width="2.85546875" style="337" customWidth="1"/>
    <col min="8144" max="8144" width="21.7109375" style="337" customWidth="1"/>
    <col min="8145" max="8145" width="24" style="337" customWidth="1"/>
    <col min="8146" max="8146" width="2.85546875" style="337" customWidth="1"/>
    <col min="8147" max="8147" width="21.7109375" style="337" customWidth="1"/>
    <col min="8148" max="8148" width="23.42578125" style="337" bestFit="1" customWidth="1"/>
    <col min="8149" max="8149" width="2.85546875" style="337" customWidth="1"/>
    <col min="8150" max="8150" width="21.7109375" style="337" customWidth="1"/>
    <col min="8151" max="8151" width="27.28515625" style="337" customWidth="1"/>
    <col min="8152" max="8152" width="2.85546875" style="337" customWidth="1"/>
    <col min="8153" max="8153" width="21.7109375" style="337" customWidth="1"/>
    <col min="8154" max="8154" width="23.42578125" style="337" bestFit="1" customWidth="1"/>
    <col min="8155" max="8155" width="2.85546875" style="337" customWidth="1"/>
    <col min="8156" max="8156" width="21.7109375" style="337" customWidth="1"/>
    <col min="8157" max="8157" width="27.42578125" style="337" customWidth="1"/>
    <col min="8158" max="8158" width="2.85546875" style="337" customWidth="1"/>
    <col min="8159" max="8166" width="0" style="337" hidden="1" customWidth="1"/>
    <col min="8167" max="8167" width="21.7109375" style="337" customWidth="1"/>
    <col min="8168" max="8168" width="27.42578125" style="337" customWidth="1"/>
    <col min="8169" max="8390" width="13.140625" style="337"/>
    <col min="8391" max="8391" width="2.85546875" style="337" customWidth="1"/>
    <col min="8392" max="8392" width="13.5703125" style="337" customWidth="1"/>
    <col min="8393" max="8393" width="41.7109375" style="337" customWidth="1"/>
    <col min="8394" max="8394" width="12.42578125" style="337" customWidth="1"/>
    <col min="8395" max="8395" width="11.85546875" style="337" customWidth="1"/>
    <col min="8396" max="8396" width="2.85546875" style="337" customWidth="1"/>
    <col min="8397" max="8397" width="21.7109375" style="337" customWidth="1"/>
    <col min="8398" max="8398" width="24" style="337" customWidth="1"/>
    <col min="8399" max="8399" width="2.85546875" style="337" customWidth="1"/>
    <col min="8400" max="8400" width="21.7109375" style="337" customWidth="1"/>
    <col min="8401" max="8401" width="24" style="337" customWidth="1"/>
    <col min="8402" max="8402" width="2.85546875" style="337" customWidth="1"/>
    <col min="8403" max="8403" width="21.7109375" style="337" customWidth="1"/>
    <col min="8404" max="8404" width="23.42578125" style="337" bestFit="1" customWidth="1"/>
    <col min="8405" max="8405" width="2.85546875" style="337" customWidth="1"/>
    <col min="8406" max="8406" width="21.7109375" style="337" customWidth="1"/>
    <col min="8407" max="8407" width="27.28515625" style="337" customWidth="1"/>
    <col min="8408" max="8408" width="2.85546875" style="337" customWidth="1"/>
    <col min="8409" max="8409" width="21.7109375" style="337" customWidth="1"/>
    <col min="8410" max="8410" width="23.42578125" style="337" bestFit="1" customWidth="1"/>
    <col min="8411" max="8411" width="2.85546875" style="337" customWidth="1"/>
    <col min="8412" max="8412" width="21.7109375" style="337" customWidth="1"/>
    <col min="8413" max="8413" width="27.42578125" style="337" customWidth="1"/>
    <col min="8414" max="8414" width="2.85546875" style="337" customWidth="1"/>
    <col min="8415" max="8422" width="0" style="337" hidden="1" customWidth="1"/>
    <col min="8423" max="8423" width="21.7109375" style="337" customWidth="1"/>
    <col min="8424" max="8424" width="27.42578125" style="337" customWidth="1"/>
    <col min="8425" max="8646" width="13.140625" style="337"/>
    <col min="8647" max="8647" width="2.85546875" style="337" customWidth="1"/>
    <col min="8648" max="8648" width="13.5703125" style="337" customWidth="1"/>
    <col min="8649" max="8649" width="41.7109375" style="337" customWidth="1"/>
    <col min="8650" max="8650" width="12.42578125" style="337" customWidth="1"/>
    <col min="8651" max="8651" width="11.85546875" style="337" customWidth="1"/>
    <col min="8652" max="8652" width="2.85546875" style="337" customWidth="1"/>
    <col min="8653" max="8653" width="21.7109375" style="337" customWidth="1"/>
    <col min="8654" max="8654" width="24" style="337" customWidth="1"/>
    <col min="8655" max="8655" width="2.85546875" style="337" customWidth="1"/>
    <col min="8656" max="8656" width="21.7109375" style="337" customWidth="1"/>
    <col min="8657" max="8657" width="24" style="337" customWidth="1"/>
    <col min="8658" max="8658" width="2.85546875" style="337" customWidth="1"/>
    <col min="8659" max="8659" width="21.7109375" style="337" customWidth="1"/>
    <col min="8660" max="8660" width="23.42578125" style="337" bestFit="1" customWidth="1"/>
    <col min="8661" max="8661" width="2.85546875" style="337" customWidth="1"/>
    <col min="8662" max="8662" width="21.7109375" style="337" customWidth="1"/>
    <col min="8663" max="8663" width="27.28515625" style="337" customWidth="1"/>
    <col min="8664" max="8664" width="2.85546875" style="337" customWidth="1"/>
    <col min="8665" max="8665" width="21.7109375" style="337" customWidth="1"/>
    <col min="8666" max="8666" width="23.42578125" style="337" bestFit="1" customWidth="1"/>
    <col min="8667" max="8667" width="2.85546875" style="337" customWidth="1"/>
    <col min="8668" max="8668" width="21.7109375" style="337" customWidth="1"/>
    <col min="8669" max="8669" width="27.42578125" style="337" customWidth="1"/>
    <col min="8670" max="8670" width="2.85546875" style="337" customWidth="1"/>
    <col min="8671" max="8678" width="0" style="337" hidden="1" customWidth="1"/>
    <col min="8679" max="8679" width="21.7109375" style="337" customWidth="1"/>
    <col min="8680" max="8680" width="27.42578125" style="337" customWidth="1"/>
    <col min="8681" max="8902" width="13.140625" style="337"/>
    <col min="8903" max="8903" width="2.85546875" style="337" customWidth="1"/>
    <col min="8904" max="8904" width="13.5703125" style="337" customWidth="1"/>
    <col min="8905" max="8905" width="41.7109375" style="337" customWidth="1"/>
    <col min="8906" max="8906" width="12.42578125" style="337" customWidth="1"/>
    <col min="8907" max="8907" width="11.85546875" style="337" customWidth="1"/>
    <col min="8908" max="8908" width="2.85546875" style="337" customWidth="1"/>
    <col min="8909" max="8909" width="21.7109375" style="337" customWidth="1"/>
    <col min="8910" max="8910" width="24" style="337" customWidth="1"/>
    <col min="8911" max="8911" width="2.85546875" style="337" customWidth="1"/>
    <col min="8912" max="8912" width="21.7109375" style="337" customWidth="1"/>
    <col min="8913" max="8913" width="24" style="337" customWidth="1"/>
    <col min="8914" max="8914" width="2.85546875" style="337" customWidth="1"/>
    <col min="8915" max="8915" width="21.7109375" style="337" customWidth="1"/>
    <col min="8916" max="8916" width="23.42578125" style="337" bestFit="1" customWidth="1"/>
    <col min="8917" max="8917" width="2.85546875" style="337" customWidth="1"/>
    <col min="8918" max="8918" width="21.7109375" style="337" customWidth="1"/>
    <col min="8919" max="8919" width="27.28515625" style="337" customWidth="1"/>
    <col min="8920" max="8920" width="2.85546875" style="337" customWidth="1"/>
    <col min="8921" max="8921" width="21.7109375" style="337" customWidth="1"/>
    <col min="8922" max="8922" width="23.42578125" style="337" bestFit="1" customWidth="1"/>
    <col min="8923" max="8923" width="2.85546875" style="337" customWidth="1"/>
    <col min="8924" max="8924" width="21.7109375" style="337" customWidth="1"/>
    <col min="8925" max="8925" width="27.42578125" style="337" customWidth="1"/>
    <col min="8926" max="8926" width="2.85546875" style="337" customWidth="1"/>
    <col min="8927" max="8934" width="0" style="337" hidden="1" customWidth="1"/>
    <col min="8935" max="8935" width="21.7109375" style="337" customWidth="1"/>
    <col min="8936" max="8936" width="27.42578125" style="337" customWidth="1"/>
    <col min="8937" max="9158" width="13.140625" style="337"/>
    <col min="9159" max="9159" width="2.85546875" style="337" customWidth="1"/>
    <col min="9160" max="9160" width="13.5703125" style="337" customWidth="1"/>
    <col min="9161" max="9161" width="41.7109375" style="337" customWidth="1"/>
    <col min="9162" max="9162" width="12.42578125" style="337" customWidth="1"/>
    <col min="9163" max="9163" width="11.85546875" style="337" customWidth="1"/>
    <col min="9164" max="9164" width="2.85546875" style="337" customWidth="1"/>
    <col min="9165" max="9165" width="21.7109375" style="337" customWidth="1"/>
    <col min="9166" max="9166" width="24" style="337" customWidth="1"/>
    <col min="9167" max="9167" width="2.85546875" style="337" customWidth="1"/>
    <col min="9168" max="9168" width="21.7109375" style="337" customWidth="1"/>
    <col min="9169" max="9169" width="24" style="337" customWidth="1"/>
    <col min="9170" max="9170" width="2.85546875" style="337" customWidth="1"/>
    <col min="9171" max="9171" width="21.7109375" style="337" customWidth="1"/>
    <col min="9172" max="9172" width="23.42578125" style="337" bestFit="1" customWidth="1"/>
    <col min="9173" max="9173" width="2.85546875" style="337" customWidth="1"/>
    <col min="9174" max="9174" width="21.7109375" style="337" customWidth="1"/>
    <col min="9175" max="9175" width="27.28515625" style="337" customWidth="1"/>
    <col min="9176" max="9176" width="2.85546875" style="337" customWidth="1"/>
    <col min="9177" max="9177" width="21.7109375" style="337" customWidth="1"/>
    <col min="9178" max="9178" width="23.42578125" style="337" bestFit="1" customWidth="1"/>
    <col min="9179" max="9179" width="2.85546875" style="337" customWidth="1"/>
    <col min="9180" max="9180" width="21.7109375" style="337" customWidth="1"/>
    <col min="9181" max="9181" width="27.42578125" style="337" customWidth="1"/>
    <col min="9182" max="9182" width="2.85546875" style="337" customWidth="1"/>
    <col min="9183" max="9190" width="0" style="337" hidden="1" customWidth="1"/>
    <col min="9191" max="9191" width="21.7109375" style="337" customWidth="1"/>
    <col min="9192" max="9192" width="27.42578125" style="337" customWidth="1"/>
    <col min="9193" max="9414" width="13.140625" style="337"/>
    <col min="9415" max="9415" width="2.85546875" style="337" customWidth="1"/>
    <col min="9416" max="9416" width="13.5703125" style="337" customWidth="1"/>
    <col min="9417" max="9417" width="41.7109375" style="337" customWidth="1"/>
    <col min="9418" max="9418" width="12.42578125" style="337" customWidth="1"/>
    <col min="9419" max="9419" width="11.85546875" style="337" customWidth="1"/>
    <col min="9420" max="9420" width="2.85546875" style="337" customWidth="1"/>
    <col min="9421" max="9421" width="21.7109375" style="337" customWidth="1"/>
    <col min="9422" max="9422" width="24" style="337" customWidth="1"/>
    <col min="9423" max="9423" width="2.85546875" style="337" customWidth="1"/>
    <col min="9424" max="9424" width="21.7109375" style="337" customWidth="1"/>
    <col min="9425" max="9425" width="24" style="337" customWidth="1"/>
    <col min="9426" max="9426" width="2.85546875" style="337" customWidth="1"/>
    <col min="9427" max="9427" width="21.7109375" style="337" customWidth="1"/>
    <col min="9428" max="9428" width="23.42578125" style="337" bestFit="1" customWidth="1"/>
    <col min="9429" max="9429" width="2.85546875" style="337" customWidth="1"/>
    <col min="9430" max="9430" width="21.7109375" style="337" customWidth="1"/>
    <col min="9431" max="9431" width="27.28515625" style="337" customWidth="1"/>
    <col min="9432" max="9432" width="2.85546875" style="337" customWidth="1"/>
    <col min="9433" max="9433" width="21.7109375" style="337" customWidth="1"/>
    <col min="9434" max="9434" width="23.42578125" style="337" bestFit="1" customWidth="1"/>
    <col min="9435" max="9435" width="2.85546875" style="337" customWidth="1"/>
    <col min="9436" max="9436" width="21.7109375" style="337" customWidth="1"/>
    <col min="9437" max="9437" width="27.42578125" style="337" customWidth="1"/>
    <col min="9438" max="9438" width="2.85546875" style="337" customWidth="1"/>
    <col min="9439" max="9446" width="0" style="337" hidden="1" customWidth="1"/>
    <col min="9447" max="9447" width="21.7109375" style="337" customWidth="1"/>
    <col min="9448" max="9448" width="27.42578125" style="337" customWidth="1"/>
    <col min="9449" max="9670" width="13.140625" style="337"/>
    <col min="9671" max="9671" width="2.85546875" style="337" customWidth="1"/>
    <col min="9672" max="9672" width="13.5703125" style="337" customWidth="1"/>
    <col min="9673" max="9673" width="41.7109375" style="337" customWidth="1"/>
    <col min="9674" max="9674" width="12.42578125" style="337" customWidth="1"/>
    <col min="9675" max="9675" width="11.85546875" style="337" customWidth="1"/>
    <col min="9676" max="9676" width="2.85546875" style="337" customWidth="1"/>
    <col min="9677" max="9677" width="21.7109375" style="337" customWidth="1"/>
    <col min="9678" max="9678" width="24" style="337" customWidth="1"/>
    <col min="9679" max="9679" width="2.85546875" style="337" customWidth="1"/>
    <col min="9680" max="9680" width="21.7109375" style="337" customWidth="1"/>
    <col min="9681" max="9681" width="24" style="337" customWidth="1"/>
    <col min="9682" max="9682" width="2.85546875" style="337" customWidth="1"/>
    <col min="9683" max="9683" width="21.7109375" style="337" customWidth="1"/>
    <col min="9684" max="9684" width="23.42578125" style="337" bestFit="1" customWidth="1"/>
    <col min="9685" max="9685" width="2.85546875" style="337" customWidth="1"/>
    <col min="9686" max="9686" width="21.7109375" style="337" customWidth="1"/>
    <col min="9687" max="9687" width="27.28515625" style="337" customWidth="1"/>
    <col min="9688" max="9688" width="2.85546875" style="337" customWidth="1"/>
    <col min="9689" max="9689" width="21.7109375" style="337" customWidth="1"/>
    <col min="9690" max="9690" width="23.42578125" style="337" bestFit="1" customWidth="1"/>
    <col min="9691" max="9691" width="2.85546875" style="337" customWidth="1"/>
    <col min="9692" max="9692" width="21.7109375" style="337" customWidth="1"/>
    <col min="9693" max="9693" width="27.42578125" style="337" customWidth="1"/>
    <col min="9694" max="9694" width="2.85546875" style="337" customWidth="1"/>
    <col min="9695" max="9702" width="0" style="337" hidden="1" customWidth="1"/>
    <col min="9703" max="9703" width="21.7109375" style="337" customWidth="1"/>
    <col min="9704" max="9704" width="27.42578125" style="337" customWidth="1"/>
    <col min="9705" max="9926" width="13.140625" style="337"/>
    <col min="9927" max="9927" width="2.85546875" style="337" customWidth="1"/>
    <col min="9928" max="9928" width="13.5703125" style="337" customWidth="1"/>
    <col min="9929" max="9929" width="41.7109375" style="337" customWidth="1"/>
    <col min="9930" max="9930" width="12.42578125" style="337" customWidth="1"/>
    <col min="9931" max="9931" width="11.85546875" style="337" customWidth="1"/>
    <col min="9932" max="9932" width="2.85546875" style="337" customWidth="1"/>
    <col min="9933" max="9933" width="21.7109375" style="337" customWidth="1"/>
    <col min="9934" max="9934" width="24" style="337" customWidth="1"/>
    <col min="9935" max="9935" width="2.85546875" style="337" customWidth="1"/>
    <col min="9936" max="9936" width="21.7109375" style="337" customWidth="1"/>
    <col min="9937" max="9937" width="24" style="337" customWidth="1"/>
    <col min="9938" max="9938" width="2.85546875" style="337" customWidth="1"/>
    <col min="9939" max="9939" width="21.7109375" style="337" customWidth="1"/>
    <col min="9940" max="9940" width="23.42578125" style="337" bestFit="1" customWidth="1"/>
    <col min="9941" max="9941" width="2.85546875" style="337" customWidth="1"/>
    <col min="9942" max="9942" width="21.7109375" style="337" customWidth="1"/>
    <col min="9943" max="9943" width="27.28515625" style="337" customWidth="1"/>
    <col min="9944" max="9944" width="2.85546875" style="337" customWidth="1"/>
    <col min="9945" max="9945" width="21.7109375" style="337" customWidth="1"/>
    <col min="9946" max="9946" width="23.42578125" style="337" bestFit="1" customWidth="1"/>
    <col min="9947" max="9947" width="2.85546875" style="337" customWidth="1"/>
    <col min="9948" max="9948" width="21.7109375" style="337" customWidth="1"/>
    <col min="9949" max="9949" width="27.42578125" style="337" customWidth="1"/>
    <col min="9950" max="9950" width="2.85546875" style="337" customWidth="1"/>
    <col min="9951" max="9958" width="0" style="337" hidden="1" customWidth="1"/>
    <col min="9959" max="9959" width="21.7109375" style="337" customWidth="1"/>
    <col min="9960" max="9960" width="27.42578125" style="337" customWidth="1"/>
    <col min="9961" max="10182" width="13.140625" style="337"/>
    <col min="10183" max="10183" width="2.85546875" style="337" customWidth="1"/>
    <col min="10184" max="10184" width="13.5703125" style="337" customWidth="1"/>
    <col min="10185" max="10185" width="41.7109375" style="337" customWidth="1"/>
    <col min="10186" max="10186" width="12.42578125" style="337" customWidth="1"/>
    <col min="10187" max="10187" width="11.85546875" style="337" customWidth="1"/>
    <col min="10188" max="10188" width="2.85546875" style="337" customWidth="1"/>
    <col min="10189" max="10189" width="21.7109375" style="337" customWidth="1"/>
    <col min="10190" max="10190" width="24" style="337" customWidth="1"/>
    <col min="10191" max="10191" width="2.85546875" style="337" customWidth="1"/>
    <col min="10192" max="10192" width="21.7109375" style="337" customWidth="1"/>
    <col min="10193" max="10193" width="24" style="337" customWidth="1"/>
    <col min="10194" max="10194" width="2.85546875" style="337" customWidth="1"/>
    <col min="10195" max="10195" width="21.7109375" style="337" customWidth="1"/>
    <col min="10196" max="10196" width="23.42578125" style="337" bestFit="1" customWidth="1"/>
    <col min="10197" max="10197" width="2.85546875" style="337" customWidth="1"/>
    <col min="10198" max="10198" width="21.7109375" style="337" customWidth="1"/>
    <col min="10199" max="10199" width="27.28515625" style="337" customWidth="1"/>
    <col min="10200" max="10200" width="2.85546875" style="337" customWidth="1"/>
    <col min="10201" max="10201" width="21.7109375" style="337" customWidth="1"/>
    <col min="10202" max="10202" width="23.42578125" style="337" bestFit="1" customWidth="1"/>
    <col min="10203" max="10203" width="2.85546875" style="337" customWidth="1"/>
    <col min="10204" max="10204" width="21.7109375" style="337" customWidth="1"/>
    <col min="10205" max="10205" width="27.42578125" style="337" customWidth="1"/>
    <col min="10206" max="10206" width="2.85546875" style="337" customWidth="1"/>
    <col min="10207" max="10214" width="0" style="337" hidden="1" customWidth="1"/>
    <col min="10215" max="10215" width="21.7109375" style="337" customWidth="1"/>
    <col min="10216" max="10216" width="27.42578125" style="337" customWidth="1"/>
    <col min="10217" max="10438" width="13.140625" style="337"/>
    <col min="10439" max="10439" width="2.85546875" style="337" customWidth="1"/>
    <col min="10440" max="10440" width="13.5703125" style="337" customWidth="1"/>
    <col min="10441" max="10441" width="41.7109375" style="337" customWidth="1"/>
    <col min="10442" max="10442" width="12.42578125" style="337" customWidth="1"/>
    <col min="10443" max="10443" width="11.85546875" style="337" customWidth="1"/>
    <col min="10444" max="10444" width="2.85546875" style="337" customWidth="1"/>
    <col min="10445" max="10445" width="21.7109375" style="337" customWidth="1"/>
    <col min="10446" max="10446" width="24" style="337" customWidth="1"/>
    <col min="10447" max="10447" width="2.85546875" style="337" customWidth="1"/>
    <col min="10448" max="10448" width="21.7109375" style="337" customWidth="1"/>
    <col min="10449" max="10449" width="24" style="337" customWidth="1"/>
    <col min="10450" max="10450" width="2.85546875" style="337" customWidth="1"/>
    <col min="10451" max="10451" width="21.7109375" style="337" customWidth="1"/>
    <col min="10452" max="10452" width="23.42578125" style="337" bestFit="1" customWidth="1"/>
    <col min="10453" max="10453" width="2.85546875" style="337" customWidth="1"/>
    <col min="10454" max="10454" width="21.7109375" style="337" customWidth="1"/>
    <col min="10455" max="10455" width="27.28515625" style="337" customWidth="1"/>
    <col min="10456" max="10456" width="2.85546875" style="337" customWidth="1"/>
    <col min="10457" max="10457" width="21.7109375" style="337" customWidth="1"/>
    <col min="10458" max="10458" width="23.42578125" style="337" bestFit="1" customWidth="1"/>
    <col min="10459" max="10459" width="2.85546875" style="337" customWidth="1"/>
    <col min="10460" max="10460" width="21.7109375" style="337" customWidth="1"/>
    <col min="10461" max="10461" width="27.42578125" style="337" customWidth="1"/>
    <col min="10462" max="10462" width="2.85546875" style="337" customWidth="1"/>
    <col min="10463" max="10470" width="0" style="337" hidden="1" customWidth="1"/>
    <col min="10471" max="10471" width="21.7109375" style="337" customWidth="1"/>
    <col min="10472" max="10472" width="27.42578125" style="337" customWidth="1"/>
    <col min="10473" max="10694" width="13.140625" style="337"/>
    <col min="10695" max="10695" width="2.85546875" style="337" customWidth="1"/>
    <col min="10696" max="10696" width="13.5703125" style="337" customWidth="1"/>
    <col min="10697" max="10697" width="41.7109375" style="337" customWidth="1"/>
    <col min="10698" max="10698" width="12.42578125" style="337" customWidth="1"/>
    <col min="10699" max="10699" width="11.85546875" style="337" customWidth="1"/>
    <col min="10700" max="10700" width="2.85546875" style="337" customWidth="1"/>
    <col min="10701" max="10701" width="21.7109375" style="337" customWidth="1"/>
    <col min="10702" max="10702" width="24" style="337" customWidth="1"/>
    <col min="10703" max="10703" width="2.85546875" style="337" customWidth="1"/>
    <col min="10704" max="10704" width="21.7109375" style="337" customWidth="1"/>
    <col min="10705" max="10705" width="24" style="337" customWidth="1"/>
    <col min="10706" max="10706" width="2.85546875" style="337" customWidth="1"/>
    <col min="10707" max="10707" width="21.7109375" style="337" customWidth="1"/>
    <col min="10708" max="10708" width="23.42578125" style="337" bestFit="1" customWidth="1"/>
    <col min="10709" max="10709" width="2.85546875" style="337" customWidth="1"/>
    <col min="10710" max="10710" width="21.7109375" style="337" customWidth="1"/>
    <col min="10711" max="10711" width="27.28515625" style="337" customWidth="1"/>
    <col min="10712" max="10712" width="2.85546875" style="337" customWidth="1"/>
    <col min="10713" max="10713" width="21.7109375" style="337" customWidth="1"/>
    <col min="10714" max="10714" width="23.42578125" style="337" bestFit="1" customWidth="1"/>
    <col min="10715" max="10715" width="2.85546875" style="337" customWidth="1"/>
    <col min="10716" max="10716" width="21.7109375" style="337" customWidth="1"/>
    <col min="10717" max="10717" width="27.42578125" style="337" customWidth="1"/>
    <col min="10718" max="10718" width="2.85546875" style="337" customWidth="1"/>
    <col min="10719" max="10726" width="0" style="337" hidden="1" customWidth="1"/>
    <col min="10727" max="10727" width="21.7109375" style="337" customWidth="1"/>
    <col min="10728" max="10728" width="27.42578125" style="337" customWidth="1"/>
    <col min="10729" max="10950" width="13.140625" style="337"/>
    <col min="10951" max="10951" width="2.85546875" style="337" customWidth="1"/>
    <col min="10952" max="10952" width="13.5703125" style="337" customWidth="1"/>
    <col min="10953" max="10953" width="41.7109375" style="337" customWidth="1"/>
    <col min="10954" max="10954" width="12.42578125" style="337" customWidth="1"/>
    <col min="10955" max="10955" width="11.85546875" style="337" customWidth="1"/>
    <col min="10956" max="10956" width="2.85546875" style="337" customWidth="1"/>
    <col min="10957" max="10957" width="21.7109375" style="337" customWidth="1"/>
    <col min="10958" max="10958" width="24" style="337" customWidth="1"/>
    <col min="10959" max="10959" width="2.85546875" style="337" customWidth="1"/>
    <col min="10960" max="10960" width="21.7109375" style="337" customWidth="1"/>
    <col min="10961" max="10961" width="24" style="337" customWidth="1"/>
    <col min="10962" max="10962" width="2.85546875" style="337" customWidth="1"/>
    <col min="10963" max="10963" width="21.7109375" style="337" customWidth="1"/>
    <col min="10964" max="10964" width="23.42578125" style="337" bestFit="1" customWidth="1"/>
    <col min="10965" max="10965" width="2.85546875" style="337" customWidth="1"/>
    <col min="10966" max="10966" width="21.7109375" style="337" customWidth="1"/>
    <col min="10967" max="10967" width="27.28515625" style="337" customWidth="1"/>
    <col min="10968" max="10968" width="2.85546875" style="337" customWidth="1"/>
    <col min="10969" max="10969" width="21.7109375" style="337" customWidth="1"/>
    <col min="10970" max="10970" width="23.42578125" style="337" bestFit="1" customWidth="1"/>
    <col min="10971" max="10971" width="2.85546875" style="337" customWidth="1"/>
    <col min="10972" max="10972" width="21.7109375" style="337" customWidth="1"/>
    <col min="10973" max="10973" width="27.42578125" style="337" customWidth="1"/>
    <col min="10974" max="10974" width="2.85546875" style="337" customWidth="1"/>
    <col min="10975" max="10982" width="0" style="337" hidden="1" customWidth="1"/>
    <col min="10983" max="10983" width="21.7109375" style="337" customWidth="1"/>
    <col min="10984" max="10984" width="27.42578125" style="337" customWidth="1"/>
    <col min="10985" max="11206" width="13.140625" style="337"/>
    <col min="11207" max="11207" width="2.85546875" style="337" customWidth="1"/>
    <col min="11208" max="11208" width="13.5703125" style="337" customWidth="1"/>
    <col min="11209" max="11209" width="41.7109375" style="337" customWidth="1"/>
    <col min="11210" max="11210" width="12.42578125" style="337" customWidth="1"/>
    <col min="11211" max="11211" width="11.85546875" style="337" customWidth="1"/>
    <col min="11212" max="11212" width="2.85546875" style="337" customWidth="1"/>
    <col min="11213" max="11213" width="21.7109375" style="337" customWidth="1"/>
    <col min="11214" max="11214" width="24" style="337" customWidth="1"/>
    <col min="11215" max="11215" width="2.85546875" style="337" customWidth="1"/>
    <col min="11216" max="11216" width="21.7109375" style="337" customWidth="1"/>
    <col min="11217" max="11217" width="24" style="337" customWidth="1"/>
    <col min="11218" max="11218" width="2.85546875" style="337" customWidth="1"/>
    <col min="11219" max="11219" width="21.7109375" style="337" customWidth="1"/>
    <col min="11220" max="11220" width="23.42578125" style="337" bestFit="1" customWidth="1"/>
    <col min="11221" max="11221" width="2.85546875" style="337" customWidth="1"/>
    <col min="11222" max="11222" width="21.7109375" style="337" customWidth="1"/>
    <col min="11223" max="11223" width="27.28515625" style="337" customWidth="1"/>
    <col min="11224" max="11224" width="2.85546875" style="337" customWidth="1"/>
    <col min="11225" max="11225" width="21.7109375" style="337" customWidth="1"/>
    <col min="11226" max="11226" width="23.42578125" style="337" bestFit="1" customWidth="1"/>
    <col min="11227" max="11227" width="2.85546875" style="337" customWidth="1"/>
    <col min="11228" max="11228" width="21.7109375" style="337" customWidth="1"/>
    <col min="11229" max="11229" width="27.42578125" style="337" customWidth="1"/>
    <col min="11230" max="11230" width="2.85546875" style="337" customWidth="1"/>
    <col min="11231" max="11238" width="0" style="337" hidden="1" customWidth="1"/>
    <col min="11239" max="11239" width="21.7109375" style="337" customWidth="1"/>
    <col min="11240" max="11240" width="27.42578125" style="337" customWidth="1"/>
    <col min="11241" max="11462" width="13.140625" style="337"/>
    <col min="11463" max="11463" width="2.85546875" style="337" customWidth="1"/>
    <col min="11464" max="11464" width="13.5703125" style="337" customWidth="1"/>
    <col min="11465" max="11465" width="41.7109375" style="337" customWidth="1"/>
    <col min="11466" max="11466" width="12.42578125" style="337" customWidth="1"/>
    <col min="11467" max="11467" width="11.85546875" style="337" customWidth="1"/>
    <col min="11468" max="11468" width="2.85546875" style="337" customWidth="1"/>
    <col min="11469" max="11469" width="21.7109375" style="337" customWidth="1"/>
    <col min="11470" max="11470" width="24" style="337" customWidth="1"/>
    <col min="11471" max="11471" width="2.85546875" style="337" customWidth="1"/>
    <col min="11472" max="11472" width="21.7109375" style="337" customWidth="1"/>
    <col min="11473" max="11473" width="24" style="337" customWidth="1"/>
    <col min="11474" max="11474" width="2.85546875" style="337" customWidth="1"/>
    <col min="11475" max="11475" width="21.7109375" style="337" customWidth="1"/>
    <col min="11476" max="11476" width="23.42578125" style="337" bestFit="1" customWidth="1"/>
    <col min="11477" max="11477" width="2.85546875" style="337" customWidth="1"/>
    <col min="11478" max="11478" width="21.7109375" style="337" customWidth="1"/>
    <col min="11479" max="11479" width="27.28515625" style="337" customWidth="1"/>
    <col min="11480" max="11480" width="2.85546875" style="337" customWidth="1"/>
    <col min="11481" max="11481" width="21.7109375" style="337" customWidth="1"/>
    <col min="11482" max="11482" width="23.42578125" style="337" bestFit="1" customWidth="1"/>
    <col min="11483" max="11483" width="2.85546875" style="337" customWidth="1"/>
    <col min="11484" max="11484" width="21.7109375" style="337" customWidth="1"/>
    <col min="11485" max="11485" width="27.42578125" style="337" customWidth="1"/>
    <col min="11486" max="11486" width="2.85546875" style="337" customWidth="1"/>
    <col min="11487" max="11494" width="0" style="337" hidden="1" customWidth="1"/>
    <col min="11495" max="11495" width="21.7109375" style="337" customWidth="1"/>
    <col min="11496" max="11496" width="27.42578125" style="337" customWidth="1"/>
    <col min="11497" max="11718" width="13.140625" style="337"/>
    <col min="11719" max="11719" width="2.85546875" style="337" customWidth="1"/>
    <col min="11720" max="11720" width="13.5703125" style="337" customWidth="1"/>
    <col min="11721" max="11721" width="41.7109375" style="337" customWidth="1"/>
    <col min="11722" max="11722" width="12.42578125" style="337" customWidth="1"/>
    <col min="11723" max="11723" width="11.85546875" style="337" customWidth="1"/>
    <col min="11724" max="11724" width="2.85546875" style="337" customWidth="1"/>
    <col min="11725" max="11725" width="21.7109375" style="337" customWidth="1"/>
    <col min="11726" max="11726" width="24" style="337" customWidth="1"/>
    <col min="11727" max="11727" width="2.85546875" style="337" customWidth="1"/>
    <col min="11728" max="11728" width="21.7109375" style="337" customWidth="1"/>
    <col min="11729" max="11729" width="24" style="337" customWidth="1"/>
    <col min="11730" max="11730" width="2.85546875" style="337" customWidth="1"/>
    <col min="11731" max="11731" width="21.7109375" style="337" customWidth="1"/>
    <col min="11732" max="11732" width="23.42578125" style="337" bestFit="1" customWidth="1"/>
    <col min="11733" max="11733" width="2.85546875" style="337" customWidth="1"/>
    <col min="11734" max="11734" width="21.7109375" style="337" customWidth="1"/>
    <col min="11735" max="11735" width="27.28515625" style="337" customWidth="1"/>
    <col min="11736" max="11736" width="2.85546875" style="337" customWidth="1"/>
    <col min="11737" max="11737" width="21.7109375" style="337" customWidth="1"/>
    <col min="11738" max="11738" width="23.42578125" style="337" bestFit="1" customWidth="1"/>
    <col min="11739" max="11739" width="2.85546875" style="337" customWidth="1"/>
    <col min="11740" max="11740" width="21.7109375" style="337" customWidth="1"/>
    <col min="11741" max="11741" width="27.42578125" style="337" customWidth="1"/>
    <col min="11742" max="11742" width="2.85546875" style="337" customWidth="1"/>
    <col min="11743" max="11750" width="0" style="337" hidden="1" customWidth="1"/>
    <col min="11751" max="11751" width="21.7109375" style="337" customWidth="1"/>
    <col min="11752" max="11752" width="27.42578125" style="337" customWidth="1"/>
    <col min="11753" max="11974" width="13.140625" style="337"/>
    <col min="11975" max="11975" width="2.85546875" style="337" customWidth="1"/>
    <col min="11976" max="11976" width="13.5703125" style="337" customWidth="1"/>
    <col min="11977" max="11977" width="41.7109375" style="337" customWidth="1"/>
    <col min="11978" max="11978" width="12.42578125" style="337" customWidth="1"/>
    <col min="11979" max="11979" width="11.85546875" style="337" customWidth="1"/>
    <col min="11980" max="11980" width="2.85546875" style="337" customWidth="1"/>
    <col min="11981" max="11981" width="21.7109375" style="337" customWidth="1"/>
    <col min="11982" max="11982" width="24" style="337" customWidth="1"/>
    <col min="11983" max="11983" width="2.85546875" style="337" customWidth="1"/>
    <col min="11984" max="11984" width="21.7109375" style="337" customWidth="1"/>
    <col min="11985" max="11985" width="24" style="337" customWidth="1"/>
    <col min="11986" max="11986" width="2.85546875" style="337" customWidth="1"/>
    <col min="11987" max="11987" width="21.7109375" style="337" customWidth="1"/>
    <col min="11988" max="11988" width="23.42578125" style="337" bestFit="1" customWidth="1"/>
    <col min="11989" max="11989" width="2.85546875" style="337" customWidth="1"/>
    <col min="11990" max="11990" width="21.7109375" style="337" customWidth="1"/>
    <col min="11991" max="11991" width="27.28515625" style="337" customWidth="1"/>
    <col min="11992" max="11992" width="2.85546875" style="337" customWidth="1"/>
    <col min="11993" max="11993" width="21.7109375" style="337" customWidth="1"/>
    <col min="11994" max="11994" width="23.42578125" style="337" bestFit="1" customWidth="1"/>
    <col min="11995" max="11995" width="2.85546875" style="337" customWidth="1"/>
    <col min="11996" max="11996" width="21.7109375" style="337" customWidth="1"/>
    <col min="11997" max="11997" width="27.42578125" style="337" customWidth="1"/>
    <col min="11998" max="11998" width="2.85546875" style="337" customWidth="1"/>
    <col min="11999" max="12006" width="0" style="337" hidden="1" customWidth="1"/>
    <col min="12007" max="12007" width="21.7109375" style="337" customWidth="1"/>
    <col min="12008" max="12008" width="27.42578125" style="337" customWidth="1"/>
    <col min="12009" max="12230" width="13.140625" style="337"/>
    <col min="12231" max="12231" width="2.85546875" style="337" customWidth="1"/>
    <col min="12232" max="12232" width="13.5703125" style="337" customWidth="1"/>
    <col min="12233" max="12233" width="41.7109375" style="337" customWidth="1"/>
    <col min="12234" max="12234" width="12.42578125" style="337" customWidth="1"/>
    <col min="12235" max="12235" width="11.85546875" style="337" customWidth="1"/>
    <col min="12236" max="12236" width="2.85546875" style="337" customWidth="1"/>
    <col min="12237" max="12237" width="21.7109375" style="337" customWidth="1"/>
    <col min="12238" max="12238" width="24" style="337" customWidth="1"/>
    <col min="12239" max="12239" width="2.85546875" style="337" customWidth="1"/>
    <col min="12240" max="12240" width="21.7109375" style="337" customWidth="1"/>
    <col min="12241" max="12241" width="24" style="337" customWidth="1"/>
    <col min="12242" max="12242" width="2.85546875" style="337" customWidth="1"/>
    <col min="12243" max="12243" width="21.7109375" style="337" customWidth="1"/>
    <col min="12244" max="12244" width="23.42578125" style="337" bestFit="1" customWidth="1"/>
    <col min="12245" max="12245" width="2.85546875" style="337" customWidth="1"/>
    <col min="12246" max="12246" width="21.7109375" style="337" customWidth="1"/>
    <col min="12247" max="12247" width="27.28515625" style="337" customWidth="1"/>
    <col min="12248" max="12248" width="2.85546875" style="337" customWidth="1"/>
    <col min="12249" max="12249" width="21.7109375" style="337" customWidth="1"/>
    <col min="12250" max="12250" width="23.42578125" style="337" bestFit="1" customWidth="1"/>
    <col min="12251" max="12251" width="2.85546875" style="337" customWidth="1"/>
    <col min="12252" max="12252" width="21.7109375" style="337" customWidth="1"/>
    <col min="12253" max="12253" width="27.42578125" style="337" customWidth="1"/>
    <col min="12254" max="12254" width="2.85546875" style="337" customWidth="1"/>
    <col min="12255" max="12262" width="0" style="337" hidden="1" customWidth="1"/>
    <col min="12263" max="12263" width="21.7109375" style="337" customWidth="1"/>
    <col min="12264" max="12264" width="27.42578125" style="337" customWidth="1"/>
    <col min="12265" max="12486" width="13.140625" style="337"/>
    <col min="12487" max="12487" width="2.85546875" style="337" customWidth="1"/>
    <col min="12488" max="12488" width="13.5703125" style="337" customWidth="1"/>
    <col min="12489" max="12489" width="41.7109375" style="337" customWidth="1"/>
    <col min="12490" max="12490" width="12.42578125" style="337" customWidth="1"/>
    <col min="12491" max="12491" width="11.85546875" style="337" customWidth="1"/>
    <col min="12492" max="12492" width="2.85546875" style="337" customWidth="1"/>
    <col min="12493" max="12493" width="21.7109375" style="337" customWidth="1"/>
    <col min="12494" max="12494" width="24" style="337" customWidth="1"/>
    <col min="12495" max="12495" width="2.85546875" style="337" customWidth="1"/>
    <col min="12496" max="12496" width="21.7109375" style="337" customWidth="1"/>
    <col min="12497" max="12497" width="24" style="337" customWidth="1"/>
    <col min="12498" max="12498" width="2.85546875" style="337" customWidth="1"/>
    <col min="12499" max="12499" width="21.7109375" style="337" customWidth="1"/>
    <col min="12500" max="12500" width="23.42578125" style="337" bestFit="1" customWidth="1"/>
    <col min="12501" max="12501" width="2.85546875" style="337" customWidth="1"/>
    <col min="12502" max="12502" width="21.7109375" style="337" customWidth="1"/>
    <col min="12503" max="12503" width="27.28515625" style="337" customWidth="1"/>
    <col min="12504" max="12504" width="2.85546875" style="337" customWidth="1"/>
    <col min="12505" max="12505" width="21.7109375" style="337" customWidth="1"/>
    <col min="12506" max="12506" width="23.42578125" style="337" bestFit="1" customWidth="1"/>
    <col min="12507" max="12507" width="2.85546875" style="337" customWidth="1"/>
    <col min="12508" max="12508" width="21.7109375" style="337" customWidth="1"/>
    <col min="12509" max="12509" width="27.42578125" style="337" customWidth="1"/>
    <col min="12510" max="12510" width="2.85546875" style="337" customWidth="1"/>
    <col min="12511" max="12518" width="0" style="337" hidden="1" customWidth="1"/>
    <col min="12519" max="12519" width="21.7109375" style="337" customWidth="1"/>
    <col min="12520" max="12520" width="27.42578125" style="337" customWidth="1"/>
    <col min="12521" max="12742" width="13.140625" style="337"/>
    <col min="12743" max="12743" width="2.85546875" style="337" customWidth="1"/>
    <col min="12744" max="12744" width="13.5703125" style="337" customWidth="1"/>
    <col min="12745" max="12745" width="41.7109375" style="337" customWidth="1"/>
    <col min="12746" max="12746" width="12.42578125" style="337" customWidth="1"/>
    <col min="12747" max="12747" width="11.85546875" style="337" customWidth="1"/>
    <col min="12748" max="12748" width="2.85546875" style="337" customWidth="1"/>
    <col min="12749" max="12749" width="21.7109375" style="337" customWidth="1"/>
    <col min="12750" max="12750" width="24" style="337" customWidth="1"/>
    <col min="12751" max="12751" width="2.85546875" style="337" customWidth="1"/>
    <col min="12752" max="12752" width="21.7109375" style="337" customWidth="1"/>
    <col min="12753" max="12753" width="24" style="337" customWidth="1"/>
    <col min="12754" max="12754" width="2.85546875" style="337" customWidth="1"/>
    <col min="12755" max="12755" width="21.7109375" style="337" customWidth="1"/>
    <col min="12756" max="12756" width="23.42578125" style="337" bestFit="1" customWidth="1"/>
    <col min="12757" max="12757" width="2.85546875" style="337" customWidth="1"/>
    <col min="12758" max="12758" width="21.7109375" style="337" customWidth="1"/>
    <col min="12759" max="12759" width="27.28515625" style="337" customWidth="1"/>
    <col min="12760" max="12760" width="2.85546875" style="337" customWidth="1"/>
    <col min="12761" max="12761" width="21.7109375" style="337" customWidth="1"/>
    <col min="12762" max="12762" width="23.42578125" style="337" bestFit="1" customWidth="1"/>
    <col min="12763" max="12763" width="2.85546875" style="337" customWidth="1"/>
    <col min="12764" max="12764" width="21.7109375" style="337" customWidth="1"/>
    <col min="12765" max="12765" width="27.42578125" style="337" customWidth="1"/>
    <col min="12766" max="12766" width="2.85546875" style="337" customWidth="1"/>
    <col min="12767" max="12774" width="0" style="337" hidden="1" customWidth="1"/>
    <col min="12775" max="12775" width="21.7109375" style="337" customWidth="1"/>
    <col min="12776" max="12776" width="27.42578125" style="337" customWidth="1"/>
    <col min="12777" max="12998" width="13.140625" style="337"/>
    <col min="12999" max="12999" width="2.85546875" style="337" customWidth="1"/>
    <col min="13000" max="13000" width="13.5703125" style="337" customWidth="1"/>
    <col min="13001" max="13001" width="41.7109375" style="337" customWidth="1"/>
    <col min="13002" max="13002" width="12.42578125" style="337" customWidth="1"/>
    <col min="13003" max="13003" width="11.85546875" style="337" customWidth="1"/>
    <col min="13004" max="13004" width="2.85546875" style="337" customWidth="1"/>
    <col min="13005" max="13005" width="21.7109375" style="337" customWidth="1"/>
    <col min="13006" max="13006" width="24" style="337" customWidth="1"/>
    <col min="13007" max="13007" width="2.85546875" style="337" customWidth="1"/>
    <col min="13008" max="13008" width="21.7109375" style="337" customWidth="1"/>
    <col min="13009" max="13009" width="24" style="337" customWidth="1"/>
    <col min="13010" max="13010" width="2.85546875" style="337" customWidth="1"/>
    <col min="13011" max="13011" width="21.7109375" style="337" customWidth="1"/>
    <col min="13012" max="13012" width="23.42578125" style="337" bestFit="1" customWidth="1"/>
    <col min="13013" max="13013" width="2.85546875" style="337" customWidth="1"/>
    <col min="13014" max="13014" width="21.7109375" style="337" customWidth="1"/>
    <col min="13015" max="13015" width="27.28515625" style="337" customWidth="1"/>
    <col min="13016" max="13016" width="2.85546875" style="337" customWidth="1"/>
    <col min="13017" max="13017" width="21.7109375" style="337" customWidth="1"/>
    <col min="13018" max="13018" width="23.42578125" style="337" bestFit="1" customWidth="1"/>
    <col min="13019" max="13019" width="2.85546875" style="337" customWidth="1"/>
    <col min="13020" max="13020" width="21.7109375" style="337" customWidth="1"/>
    <col min="13021" max="13021" width="27.42578125" style="337" customWidth="1"/>
    <col min="13022" max="13022" width="2.85546875" style="337" customWidth="1"/>
    <col min="13023" max="13030" width="0" style="337" hidden="1" customWidth="1"/>
    <col min="13031" max="13031" width="21.7109375" style="337" customWidth="1"/>
    <col min="13032" max="13032" width="27.42578125" style="337" customWidth="1"/>
    <col min="13033" max="13254" width="13.140625" style="337"/>
    <col min="13255" max="13255" width="2.85546875" style="337" customWidth="1"/>
    <col min="13256" max="13256" width="13.5703125" style="337" customWidth="1"/>
    <col min="13257" max="13257" width="41.7109375" style="337" customWidth="1"/>
    <col min="13258" max="13258" width="12.42578125" style="337" customWidth="1"/>
    <col min="13259" max="13259" width="11.85546875" style="337" customWidth="1"/>
    <col min="13260" max="13260" width="2.85546875" style="337" customWidth="1"/>
    <col min="13261" max="13261" width="21.7109375" style="337" customWidth="1"/>
    <col min="13262" max="13262" width="24" style="337" customWidth="1"/>
    <col min="13263" max="13263" width="2.85546875" style="337" customWidth="1"/>
    <col min="13264" max="13264" width="21.7109375" style="337" customWidth="1"/>
    <col min="13265" max="13265" width="24" style="337" customWidth="1"/>
    <col min="13266" max="13266" width="2.85546875" style="337" customWidth="1"/>
    <col min="13267" max="13267" width="21.7109375" style="337" customWidth="1"/>
    <col min="13268" max="13268" width="23.42578125" style="337" bestFit="1" customWidth="1"/>
    <col min="13269" max="13269" width="2.85546875" style="337" customWidth="1"/>
    <col min="13270" max="13270" width="21.7109375" style="337" customWidth="1"/>
    <col min="13271" max="13271" width="27.28515625" style="337" customWidth="1"/>
    <col min="13272" max="13272" width="2.85546875" style="337" customWidth="1"/>
    <col min="13273" max="13273" width="21.7109375" style="337" customWidth="1"/>
    <col min="13274" max="13274" width="23.42578125" style="337" bestFit="1" customWidth="1"/>
    <col min="13275" max="13275" width="2.85546875" style="337" customWidth="1"/>
    <col min="13276" max="13276" width="21.7109375" style="337" customWidth="1"/>
    <col min="13277" max="13277" width="27.42578125" style="337" customWidth="1"/>
    <col min="13278" max="13278" width="2.85546875" style="337" customWidth="1"/>
    <col min="13279" max="13286" width="0" style="337" hidden="1" customWidth="1"/>
    <col min="13287" max="13287" width="21.7109375" style="337" customWidth="1"/>
    <col min="13288" max="13288" width="27.42578125" style="337" customWidth="1"/>
    <col min="13289" max="13510" width="13.140625" style="337"/>
    <col min="13511" max="13511" width="2.85546875" style="337" customWidth="1"/>
    <col min="13512" max="13512" width="13.5703125" style="337" customWidth="1"/>
    <col min="13513" max="13513" width="41.7109375" style="337" customWidth="1"/>
    <col min="13514" max="13514" width="12.42578125" style="337" customWidth="1"/>
    <col min="13515" max="13515" width="11.85546875" style="337" customWidth="1"/>
    <col min="13516" max="13516" width="2.85546875" style="337" customWidth="1"/>
    <col min="13517" max="13517" width="21.7109375" style="337" customWidth="1"/>
    <col min="13518" max="13518" width="24" style="337" customWidth="1"/>
    <col min="13519" max="13519" width="2.85546875" style="337" customWidth="1"/>
    <col min="13520" max="13520" width="21.7109375" style="337" customWidth="1"/>
    <col min="13521" max="13521" width="24" style="337" customWidth="1"/>
    <col min="13522" max="13522" width="2.85546875" style="337" customWidth="1"/>
    <col min="13523" max="13523" width="21.7109375" style="337" customWidth="1"/>
    <col min="13524" max="13524" width="23.42578125" style="337" bestFit="1" customWidth="1"/>
    <col min="13525" max="13525" width="2.85546875" style="337" customWidth="1"/>
    <col min="13526" max="13526" width="21.7109375" style="337" customWidth="1"/>
    <col min="13527" max="13527" width="27.28515625" style="337" customWidth="1"/>
    <col min="13528" max="13528" width="2.85546875" style="337" customWidth="1"/>
    <col min="13529" max="13529" width="21.7109375" style="337" customWidth="1"/>
    <col min="13530" max="13530" width="23.42578125" style="337" bestFit="1" customWidth="1"/>
    <col min="13531" max="13531" width="2.85546875" style="337" customWidth="1"/>
    <col min="13532" max="13532" width="21.7109375" style="337" customWidth="1"/>
    <col min="13533" max="13533" width="27.42578125" style="337" customWidth="1"/>
    <col min="13534" max="13534" width="2.85546875" style="337" customWidth="1"/>
    <col min="13535" max="13542" width="0" style="337" hidden="1" customWidth="1"/>
    <col min="13543" max="13543" width="21.7109375" style="337" customWidth="1"/>
    <col min="13544" max="13544" width="27.42578125" style="337" customWidth="1"/>
    <col min="13545" max="13766" width="13.140625" style="337"/>
    <col min="13767" max="13767" width="2.85546875" style="337" customWidth="1"/>
    <col min="13768" max="13768" width="13.5703125" style="337" customWidth="1"/>
    <col min="13769" max="13769" width="41.7109375" style="337" customWidth="1"/>
    <col min="13770" max="13770" width="12.42578125" style="337" customWidth="1"/>
    <col min="13771" max="13771" width="11.85546875" style="337" customWidth="1"/>
    <col min="13772" max="13772" width="2.85546875" style="337" customWidth="1"/>
    <col min="13773" max="13773" width="21.7109375" style="337" customWidth="1"/>
    <col min="13774" max="13774" width="24" style="337" customWidth="1"/>
    <col min="13775" max="13775" width="2.85546875" style="337" customWidth="1"/>
    <col min="13776" max="13776" width="21.7109375" style="337" customWidth="1"/>
    <col min="13777" max="13777" width="24" style="337" customWidth="1"/>
    <col min="13778" max="13778" width="2.85546875" style="337" customWidth="1"/>
    <col min="13779" max="13779" width="21.7109375" style="337" customWidth="1"/>
    <col min="13780" max="13780" width="23.42578125" style="337" bestFit="1" customWidth="1"/>
    <col min="13781" max="13781" width="2.85546875" style="337" customWidth="1"/>
    <col min="13782" max="13782" width="21.7109375" style="337" customWidth="1"/>
    <col min="13783" max="13783" width="27.28515625" style="337" customWidth="1"/>
    <col min="13784" max="13784" width="2.85546875" style="337" customWidth="1"/>
    <col min="13785" max="13785" width="21.7109375" style="337" customWidth="1"/>
    <col min="13786" max="13786" width="23.42578125" style="337" bestFit="1" customWidth="1"/>
    <col min="13787" max="13787" width="2.85546875" style="337" customWidth="1"/>
    <col min="13788" max="13788" width="21.7109375" style="337" customWidth="1"/>
    <col min="13789" max="13789" width="27.42578125" style="337" customWidth="1"/>
    <col min="13790" max="13790" width="2.85546875" style="337" customWidth="1"/>
    <col min="13791" max="13798" width="0" style="337" hidden="1" customWidth="1"/>
    <col min="13799" max="13799" width="21.7109375" style="337" customWidth="1"/>
    <col min="13800" max="13800" width="27.42578125" style="337" customWidth="1"/>
    <col min="13801" max="14022" width="13.140625" style="337"/>
    <col min="14023" max="14023" width="2.85546875" style="337" customWidth="1"/>
    <col min="14024" max="14024" width="13.5703125" style="337" customWidth="1"/>
    <col min="14025" max="14025" width="41.7109375" style="337" customWidth="1"/>
    <col min="14026" max="14026" width="12.42578125" style="337" customWidth="1"/>
    <col min="14027" max="14027" width="11.85546875" style="337" customWidth="1"/>
    <col min="14028" max="14028" width="2.85546875" style="337" customWidth="1"/>
    <col min="14029" max="14029" width="21.7109375" style="337" customWidth="1"/>
    <col min="14030" max="14030" width="24" style="337" customWidth="1"/>
    <col min="14031" max="14031" width="2.85546875" style="337" customWidth="1"/>
    <col min="14032" max="14032" width="21.7109375" style="337" customWidth="1"/>
    <col min="14033" max="14033" width="24" style="337" customWidth="1"/>
    <col min="14034" max="14034" width="2.85546875" style="337" customWidth="1"/>
    <col min="14035" max="14035" width="21.7109375" style="337" customWidth="1"/>
    <col min="14036" max="14036" width="23.42578125" style="337" bestFit="1" customWidth="1"/>
    <col min="14037" max="14037" width="2.85546875" style="337" customWidth="1"/>
    <col min="14038" max="14038" width="21.7109375" style="337" customWidth="1"/>
    <col min="14039" max="14039" width="27.28515625" style="337" customWidth="1"/>
    <col min="14040" max="14040" width="2.85546875" style="337" customWidth="1"/>
    <col min="14041" max="14041" width="21.7109375" style="337" customWidth="1"/>
    <col min="14042" max="14042" width="23.42578125" style="337" bestFit="1" customWidth="1"/>
    <col min="14043" max="14043" width="2.85546875" style="337" customWidth="1"/>
    <col min="14044" max="14044" width="21.7109375" style="337" customWidth="1"/>
    <col min="14045" max="14045" width="27.42578125" style="337" customWidth="1"/>
    <col min="14046" max="14046" width="2.85546875" style="337" customWidth="1"/>
    <col min="14047" max="14054" width="0" style="337" hidden="1" customWidth="1"/>
    <col min="14055" max="14055" width="21.7109375" style="337" customWidth="1"/>
    <col min="14056" max="14056" width="27.42578125" style="337" customWidth="1"/>
    <col min="14057" max="14278" width="13.140625" style="337"/>
    <col min="14279" max="14279" width="2.85546875" style="337" customWidth="1"/>
    <col min="14280" max="14280" width="13.5703125" style="337" customWidth="1"/>
    <col min="14281" max="14281" width="41.7109375" style="337" customWidth="1"/>
    <col min="14282" max="14282" width="12.42578125" style="337" customWidth="1"/>
    <col min="14283" max="14283" width="11.85546875" style="337" customWidth="1"/>
    <col min="14284" max="14284" width="2.85546875" style="337" customWidth="1"/>
    <col min="14285" max="14285" width="21.7109375" style="337" customWidth="1"/>
    <col min="14286" max="14286" width="24" style="337" customWidth="1"/>
    <col min="14287" max="14287" width="2.85546875" style="337" customWidth="1"/>
    <col min="14288" max="14288" width="21.7109375" style="337" customWidth="1"/>
    <col min="14289" max="14289" width="24" style="337" customWidth="1"/>
    <col min="14290" max="14290" width="2.85546875" style="337" customWidth="1"/>
    <col min="14291" max="14291" width="21.7109375" style="337" customWidth="1"/>
    <col min="14292" max="14292" width="23.42578125" style="337" bestFit="1" customWidth="1"/>
    <col min="14293" max="14293" width="2.85546875" style="337" customWidth="1"/>
    <col min="14294" max="14294" width="21.7109375" style="337" customWidth="1"/>
    <col min="14295" max="14295" width="27.28515625" style="337" customWidth="1"/>
    <col min="14296" max="14296" width="2.85546875" style="337" customWidth="1"/>
    <col min="14297" max="14297" width="21.7109375" style="337" customWidth="1"/>
    <col min="14298" max="14298" width="23.42578125" style="337" bestFit="1" customWidth="1"/>
    <col min="14299" max="14299" width="2.85546875" style="337" customWidth="1"/>
    <col min="14300" max="14300" width="21.7109375" style="337" customWidth="1"/>
    <col min="14301" max="14301" width="27.42578125" style="337" customWidth="1"/>
    <col min="14302" max="14302" width="2.85546875" style="337" customWidth="1"/>
    <col min="14303" max="14310" width="0" style="337" hidden="1" customWidth="1"/>
    <col min="14311" max="14311" width="21.7109375" style="337" customWidth="1"/>
    <col min="14312" max="14312" width="27.42578125" style="337" customWidth="1"/>
    <col min="14313" max="14534" width="13.140625" style="337"/>
    <col min="14535" max="14535" width="2.85546875" style="337" customWidth="1"/>
    <col min="14536" max="14536" width="13.5703125" style="337" customWidth="1"/>
    <col min="14537" max="14537" width="41.7109375" style="337" customWidth="1"/>
    <col min="14538" max="14538" width="12.42578125" style="337" customWidth="1"/>
    <col min="14539" max="14539" width="11.85546875" style="337" customWidth="1"/>
    <col min="14540" max="14540" width="2.85546875" style="337" customWidth="1"/>
    <col min="14541" max="14541" width="21.7109375" style="337" customWidth="1"/>
    <col min="14542" max="14542" width="24" style="337" customWidth="1"/>
    <col min="14543" max="14543" width="2.85546875" style="337" customWidth="1"/>
    <col min="14544" max="14544" width="21.7109375" style="337" customWidth="1"/>
    <col min="14545" max="14545" width="24" style="337" customWidth="1"/>
    <col min="14546" max="14546" width="2.85546875" style="337" customWidth="1"/>
    <col min="14547" max="14547" width="21.7109375" style="337" customWidth="1"/>
    <col min="14548" max="14548" width="23.42578125" style="337" bestFit="1" customWidth="1"/>
    <col min="14549" max="14549" width="2.85546875" style="337" customWidth="1"/>
    <col min="14550" max="14550" width="21.7109375" style="337" customWidth="1"/>
    <col min="14551" max="14551" width="27.28515625" style="337" customWidth="1"/>
    <col min="14552" max="14552" width="2.85546875" style="337" customWidth="1"/>
    <col min="14553" max="14553" width="21.7109375" style="337" customWidth="1"/>
    <col min="14554" max="14554" width="23.42578125" style="337" bestFit="1" customWidth="1"/>
    <col min="14555" max="14555" width="2.85546875" style="337" customWidth="1"/>
    <col min="14556" max="14556" width="21.7109375" style="337" customWidth="1"/>
    <col min="14557" max="14557" width="27.42578125" style="337" customWidth="1"/>
    <col min="14558" max="14558" width="2.85546875" style="337" customWidth="1"/>
    <col min="14559" max="14566" width="0" style="337" hidden="1" customWidth="1"/>
    <col min="14567" max="14567" width="21.7109375" style="337" customWidth="1"/>
    <col min="14568" max="14568" width="27.42578125" style="337" customWidth="1"/>
    <col min="14569" max="14790" width="13.140625" style="337"/>
    <col min="14791" max="14791" width="2.85546875" style="337" customWidth="1"/>
    <col min="14792" max="14792" width="13.5703125" style="337" customWidth="1"/>
    <col min="14793" max="14793" width="41.7109375" style="337" customWidth="1"/>
    <col min="14794" max="14794" width="12.42578125" style="337" customWidth="1"/>
    <col min="14795" max="14795" width="11.85546875" style="337" customWidth="1"/>
    <col min="14796" max="14796" width="2.85546875" style="337" customWidth="1"/>
    <col min="14797" max="14797" width="21.7109375" style="337" customWidth="1"/>
    <col min="14798" max="14798" width="24" style="337" customWidth="1"/>
    <col min="14799" max="14799" width="2.85546875" style="337" customWidth="1"/>
    <col min="14800" max="14800" width="21.7109375" style="337" customWidth="1"/>
    <col min="14801" max="14801" width="24" style="337" customWidth="1"/>
    <col min="14802" max="14802" width="2.85546875" style="337" customWidth="1"/>
    <col min="14803" max="14803" width="21.7109375" style="337" customWidth="1"/>
    <col min="14804" max="14804" width="23.42578125" style="337" bestFit="1" customWidth="1"/>
    <col min="14805" max="14805" width="2.85546875" style="337" customWidth="1"/>
    <col min="14806" max="14806" width="21.7109375" style="337" customWidth="1"/>
    <col min="14807" max="14807" width="27.28515625" style="337" customWidth="1"/>
    <col min="14808" max="14808" width="2.85546875" style="337" customWidth="1"/>
    <col min="14809" max="14809" width="21.7109375" style="337" customWidth="1"/>
    <col min="14810" max="14810" width="23.42578125" style="337" bestFit="1" customWidth="1"/>
    <col min="14811" max="14811" width="2.85546875" style="337" customWidth="1"/>
    <col min="14812" max="14812" width="21.7109375" style="337" customWidth="1"/>
    <col min="14813" max="14813" width="27.42578125" style="337" customWidth="1"/>
    <col min="14814" max="14814" width="2.85546875" style="337" customWidth="1"/>
    <col min="14815" max="14822" width="0" style="337" hidden="1" customWidth="1"/>
    <col min="14823" max="14823" width="21.7109375" style="337" customWidth="1"/>
    <col min="14824" max="14824" width="27.42578125" style="337" customWidth="1"/>
    <col min="14825" max="15046" width="13.140625" style="337"/>
    <col min="15047" max="15047" width="2.85546875" style="337" customWidth="1"/>
    <col min="15048" max="15048" width="13.5703125" style="337" customWidth="1"/>
    <col min="15049" max="15049" width="41.7109375" style="337" customWidth="1"/>
    <col min="15050" max="15050" width="12.42578125" style="337" customWidth="1"/>
    <col min="15051" max="15051" width="11.85546875" style="337" customWidth="1"/>
    <col min="15052" max="15052" width="2.85546875" style="337" customWidth="1"/>
    <col min="15053" max="15053" width="21.7109375" style="337" customWidth="1"/>
    <col min="15054" max="15054" width="24" style="337" customWidth="1"/>
    <col min="15055" max="15055" width="2.85546875" style="337" customWidth="1"/>
    <col min="15056" max="15056" width="21.7109375" style="337" customWidth="1"/>
    <col min="15057" max="15057" width="24" style="337" customWidth="1"/>
    <col min="15058" max="15058" width="2.85546875" style="337" customWidth="1"/>
    <col min="15059" max="15059" width="21.7109375" style="337" customWidth="1"/>
    <col min="15060" max="15060" width="23.42578125" style="337" bestFit="1" customWidth="1"/>
    <col min="15061" max="15061" width="2.85546875" style="337" customWidth="1"/>
    <col min="15062" max="15062" width="21.7109375" style="337" customWidth="1"/>
    <col min="15063" max="15063" width="27.28515625" style="337" customWidth="1"/>
    <col min="15064" max="15064" width="2.85546875" style="337" customWidth="1"/>
    <col min="15065" max="15065" width="21.7109375" style="337" customWidth="1"/>
    <col min="15066" max="15066" width="23.42578125" style="337" bestFit="1" customWidth="1"/>
    <col min="15067" max="15067" width="2.85546875" style="337" customWidth="1"/>
    <col min="15068" max="15068" width="21.7109375" style="337" customWidth="1"/>
    <col min="15069" max="15069" width="27.42578125" style="337" customWidth="1"/>
    <col min="15070" max="15070" width="2.85546875" style="337" customWidth="1"/>
    <col min="15071" max="15078" width="0" style="337" hidden="1" customWidth="1"/>
    <col min="15079" max="15079" width="21.7109375" style="337" customWidth="1"/>
    <col min="15080" max="15080" width="27.42578125" style="337" customWidth="1"/>
    <col min="15081" max="15302" width="13.140625" style="337"/>
    <col min="15303" max="15303" width="2.85546875" style="337" customWidth="1"/>
    <col min="15304" max="15304" width="13.5703125" style="337" customWidth="1"/>
    <col min="15305" max="15305" width="41.7109375" style="337" customWidth="1"/>
    <col min="15306" max="15306" width="12.42578125" style="337" customWidth="1"/>
    <col min="15307" max="15307" width="11.85546875" style="337" customWidth="1"/>
    <col min="15308" max="15308" width="2.85546875" style="337" customWidth="1"/>
    <col min="15309" max="15309" width="21.7109375" style="337" customWidth="1"/>
    <col min="15310" max="15310" width="24" style="337" customWidth="1"/>
    <col min="15311" max="15311" width="2.85546875" style="337" customWidth="1"/>
    <col min="15312" max="15312" width="21.7109375" style="337" customWidth="1"/>
    <col min="15313" max="15313" width="24" style="337" customWidth="1"/>
    <col min="15314" max="15314" width="2.85546875" style="337" customWidth="1"/>
    <col min="15315" max="15315" width="21.7109375" style="337" customWidth="1"/>
    <col min="15316" max="15316" width="23.42578125" style="337" bestFit="1" customWidth="1"/>
    <col min="15317" max="15317" width="2.85546875" style="337" customWidth="1"/>
    <col min="15318" max="15318" width="21.7109375" style="337" customWidth="1"/>
    <col min="15319" max="15319" width="27.28515625" style="337" customWidth="1"/>
    <col min="15320" max="15320" width="2.85546875" style="337" customWidth="1"/>
    <col min="15321" max="15321" width="21.7109375" style="337" customWidth="1"/>
    <col min="15322" max="15322" width="23.42578125" style="337" bestFit="1" customWidth="1"/>
    <col min="15323" max="15323" width="2.85546875" style="337" customWidth="1"/>
    <col min="15324" max="15324" width="21.7109375" style="337" customWidth="1"/>
    <col min="15325" max="15325" width="27.42578125" style="337" customWidth="1"/>
    <col min="15326" max="15326" width="2.85546875" style="337" customWidth="1"/>
    <col min="15327" max="15334" width="0" style="337" hidden="1" customWidth="1"/>
    <col min="15335" max="15335" width="21.7109375" style="337" customWidth="1"/>
    <col min="15336" max="15336" width="27.42578125" style="337" customWidth="1"/>
    <col min="15337" max="15558" width="13.140625" style="337"/>
    <col min="15559" max="15559" width="2.85546875" style="337" customWidth="1"/>
    <col min="15560" max="15560" width="13.5703125" style="337" customWidth="1"/>
    <col min="15561" max="15561" width="41.7109375" style="337" customWidth="1"/>
    <col min="15562" max="15562" width="12.42578125" style="337" customWidth="1"/>
    <col min="15563" max="15563" width="11.85546875" style="337" customWidth="1"/>
    <col min="15564" max="15564" width="2.85546875" style="337" customWidth="1"/>
    <col min="15565" max="15565" width="21.7109375" style="337" customWidth="1"/>
    <col min="15566" max="15566" width="24" style="337" customWidth="1"/>
    <col min="15567" max="15567" width="2.85546875" style="337" customWidth="1"/>
    <col min="15568" max="15568" width="21.7109375" style="337" customWidth="1"/>
    <col min="15569" max="15569" width="24" style="337" customWidth="1"/>
    <col min="15570" max="15570" width="2.85546875" style="337" customWidth="1"/>
    <col min="15571" max="15571" width="21.7109375" style="337" customWidth="1"/>
    <col min="15572" max="15572" width="23.42578125" style="337" bestFit="1" customWidth="1"/>
    <col min="15573" max="15573" width="2.85546875" style="337" customWidth="1"/>
    <col min="15574" max="15574" width="21.7109375" style="337" customWidth="1"/>
    <col min="15575" max="15575" width="27.28515625" style="337" customWidth="1"/>
    <col min="15576" max="15576" width="2.85546875" style="337" customWidth="1"/>
    <col min="15577" max="15577" width="21.7109375" style="337" customWidth="1"/>
    <col min="15578" max="15578" width="23.42578125" style="337" bestFit="1" customWidth="1"/>
    <col min="15579" max="15579" width="2.85546875" style="337" customWidth="1"/>
    <col min="15580" max="15580" width="21.7109375" style="337" customWidth="1"/>
    <col min="15581" max="15581" width="27.42578125" style="337" customWidth="1"/>
    <col min="15582" max="15582" width="2.85546875" style="337" customWidth="1"/>
    <col min="15583" max="15590" width="0" style="337" hidden="1" customWidth="1"/>
    <col min="15591" max="15591" width="21.7109375" style="337" customWidth="1"/>
    <col min="15592" max="15592" width="27.42578125" style="337" customWidth="1"/>
    <col min="15593" max="15814" width="13.140625" style="337"/>
    <col min="15815" max="15815" width="2.85546875" style="337" customWidth="1"/>
    <col min="15816" max="15816" width="13.5703125" style="337" customWidth="1"/>
    <col min="15817" max="15817" width="41.7109375" style="337" customWidth="1"/>
    <col min="15818" max="15818" width="12.42578125" style="337" customWidth="1"/>
    <col min="15819" max="15819" width="11.85546875" style="337" customWidth="1"/>
    <col min="15820" max="15820" width="2.85546875" style="337" customWidth="1"/>
    <col min="15821" max="15821" width="21.7109375" style="337" customWidth="1"/>
    <col min="15822" max="15822" width="24" style="337" customWidth="1"/>
    <col min="15823" max="15823" width="2.85546875" style="337" customWidth="1"/>
    <col min="15824" max="15824" width="21.7109375" style="337" customWidth="1"/>
    <col min="15825" max="15825" width="24" style="337" customWidth="1"/>
    <col min="15826" max="15826" width="2.85546875" style="337" customWidth="1"/>
    <col min="15827" max="15827" width="21.7109375" style="337" customWidth="1"/>
    <col min="15828" max="15828" width="23.42578125" style="337" bestFit="1" customWidth="1"/>
    <col min="15829" max="15829" width="2.85546875" style="337" customWidth="1"/>
    <col min="15830" max="15830" width="21.7109375" style="337" customWidth="1"/>
    <col min="15831" max="15831" width="27.28515625" style="337" customWidth="1"/>
    <col min="15832" max="15832" width="2.85546875" style="337" customWidth="1"/>
    <col min="15833" max="15833" width="21.7109375" style="337" customWidth="1"/>
    <col min="15834" max="15834" width="23.42578125" style="337" bestFit="1" customWidth="1"/>
    <col min="15835" max="15835" width="2.85546875" style="337" customWidth="1"/>
    <col min="15836" max="15836" width="21.7109375" style="337" customWidth="1"/>
    <col min="15837" max="15837" width="27.42578125" style="337" customWidth="1"/>
    <col min="15838" max="15838" width="2.85546875" style="337" customWidth="1"/>
    <col min="15839" max="15846" width="0" style="337" hidden="1" customWidth="1"/>
    <col min="15847" max="15847" width="21.7109375" style="337" customWidth="1"/>
    <col min="15848" max="15848" width="27.42578125" style="337" customWidth="1"/>
    <col min="15849" max="16070" width="13.140625" style="337"/>
    <col min="16071" max="16071" width="2.85546875" style="337" customWidth="1"/>
    <col min="16072" max="16072" width="13.5703125" style="337" customWidth="1"/>
    <col min="16073" max="16073" width="41.7109375" style="337" customWidth="1"/>
    <col min="16074" max="16074" width="12.42578125" style="337" customWidth="1"/>
    <col min="16075" max="16075" width="11.85546875" style="337" customWidth="1"/>
    <col min="16076" max="16076" width="2.85546875" style="337" customWidth="1"/>
    <col min="16077" max="16077" width="21.7109375" style="337" customWidth="1"/>
    <col min="16078" max="16078" width="24" style="337" customWidth="1"/>
    <col min="16079" max="16079" width="2.85546875" style="337" customWidth="1"/>
    <col min="16080" max="16080" width="21.7109375" style="337" customWidth="1"/>
    <col min="16081" max="16081" width="24" style="337" customWidth="1"/>
    <col min="16082" max="16082" width="2.85546875" style="337" customWidth="1"/>
    <col min="16083" max="16083" width="21.7109375" style="337" customWidth="1"/>
    <col min="16084" max="16084" width="23.42578125" style="337" bestFit="1" customWidth="1"/>
    <col min="16085" max="16085" width="2.85546875" style="337" customWidth="1"/>
    <col min="16086" max="16086" width="21.7109375" style="337" customWidth="1"/>
    <col min="16087" max="16087" width="27.28515625" style="337" customWidth="1"/>
    <col min="16088" max="16088" width="2.85546875" style="337" customWidth="1"/>
    <col min="16089" max="16089" width="21.7109375" style="337" customWidth="1"/>
    <col min="16090" max="16090" width="23.42578125" style="337" bestFit="1" customWidth="1"/>
    <col min="16091" max="16091" width="2.85546875" style="337" customWidth="1"/>
    <col min="16092" max="16092" width="21.7109375" style="337" customWidth="1"/>
    <col min="16093" max="16093" width="27.42578125" style="337" customWidth="1"/>
    <col min="16094" max="16094" width="2.85546875" style="337" customWidth="1"/>
    <col min="16095" max="16102" width="0" style="337" hidden="1" customWidth="1"/>
    <col min="16103" max="16103" width="21.7109375" style="337" customWidth="1"/>
    <col min="16104" max="16104" width="27.42578125" style="337" customWidth="1"/>
    <col min="16105" max="16384" width="13.140625" style="337"/>
  </cols>
  <sheetData>
    <row r="1" spans="1:6" ht="12.6" customHeight="1" x14ac:dyDescent="0.25"/>
    <row r="2" spans="1:6" ht="20.25" x14ac:dyDescent="0.25">
      <c r="A2" s="338" t="s">
        <v>626</v>
      </c>
      <c r="B2" s="338"/>
      <c r="C2" s="338"/>
      <c r="D2" s="338"/>
    </row>
    <row r="3" spans="1:6" ht="9" customHeight="1" x14ac:dyDescent="0.25">
      <c r="A3" s="339"/>
      <c r="B3" s="339"/>
      <c r="C3" s="339"/>
      <c r="D3" s="339"/>
    </row>
    <row r="4" spans="1:6" ht="30" customHeight="1" thickBot="1" x14ac:dyDescent="0.3">
      <c r="A4" s="363" t="s">
        <v>627</v>
      </c>
      <c r="B4" s="365" t="s">
        <v>628</v>
      </c>
      <c r="C4" s="366"/>
      <c r="D4" s="367"/>
    </row>
    <row r="5" spans="1:6" ht="15.95" customHeight="1" x14ac:dyDescent="0.25">
      <c r="A5" s="364"/>
      <c r="B5" s="340" t="s">
        <v>629</v>
      </c>
      <c r="C5" s="340" t="s">
        <v>630</v>
      </c>
      <c r="D5" s="340" t="s">
        <v>631</v>
      </c>
      <c r="E5" s="340" t="s">
        <v>632</v>
      </c>
    </row>
    <row r="6" spans="1:6" ht="25.35" customHeight="1" x14ac:dyDescent="0.25">
      <c r="A6" s="341"/>
      <c r="B6" s="342" t="s">
        <v>633</v>
      </c>
      <c r="C6" s="343"/>
      <c r="D6" s="343"/>
    </row>
    <row r="7" spans="1:6" ht="25.35" customHeight="1" x14ac:dyDescent="0.25">
      <c r="A7" s="341">
        <v>1</v>
      </c>
      <c r="B7" s="342" t="s">
        <v>634</v>
      </c>
      <c r="C7" s="343"/>
      <c r="D7" s="343"/>
      <c r="E7" s="344"/>
      <c r="F7" s="344"/>
    </row>
    <row r="8" spans="1:6" ht="129.6" customHeight="1" x14ac:dyDescent="0.25">
      <c r="A8" s="345">
        <v>1.1000000000000001</v>
      </c>
      <c r="B8" s="346" t="s">
        <v>635</v>
      </c>
      <c r="C8" s="347" t="s">
        <v>636</v>
      </c>
      <c r="D8" s="347">
        <v>2</v>
      </c>
      <c r="E8" s="348">
        <v>933813.56854603172</v>
      </c>
      <c r="F8" s="348"/>
    </row>
    <row r="9" spans="1:6" ht="30" customHeight="1" x14ac:dyDescent="0.25">
      <c r="A9" s="341">
        <v>2</v>
      </c>
      <c r="B9" s="342" t="s">
        <v>637</v>
      </c>
      <c r="C9" s="343"/>
      <c r="D9" s="343"/>
      <c r="E9" s="348"/>
      <c r="F9" s="348"/>
    </row>
    <row r="10" spans="1:6" ht="98.1" customHeight="1" x14ac:dyDescent="0.25">
      <c r="A10" s="345">
        <v>2.1</v>
      </c>
      <c r="B10" s="346" t="s">
        <v>638</v>
      </c>
      <c r="C10" s="347" t="s">
        <v>636</v>
      </c>
      <c r="D10" s="347">
        <v>1</v>
      </c>
      <c r="E10" s="348">
        <v>192932.8731911112</v>
      </c>
      <c r="F10" s="348"/>
    </row>
    <row r="11" spans="1:6" ht="27" customHeight="1" x14ac:dyDescent="0.25">
      <c r="A11" s="341">
        <v>3</v>
      </c>
      <c r="B11" s="342" t="s">
        <v>639</v>
      </c>
      <c r="C11" s="343"/>
      <c r="D11" s="343"/>
      <c r="E11" s="348"/>
      <c r="F11" s="348"/>
    </row>
    <row r="12" spans="1:6" ht="48" x14ac:dyDescent="0.25">
      <c r="A12" s="345">
        <v>3.1</v>
      </c>
      <c r="B12" s="349" t="s">
        <v>640</v>
      </c>
      <c r="C12" s="347" t="s">
        <v>636</v>
      </c>
      <c r="D12" s="347">
        <v>1</v>
      </c>
      <c r="E12" s="348">
        <v>222740.82429206348</v>
      </c>
      <c r="F12" s="348"/>
    </row>
    <row r="13" spans="1:6" ht="30" customHeight="1" x14ac:dyDescent="0.25">
      <c r="A13" s="341">
        <v>4</v>
      </c>
      <c r="B13" s="342" t="s">
        <v>641</v>
      </c>
      <c r="C13" s="343"/>
      <c r="D13" s="343"/>
      <c r="E13" s="348"/>
      <c r="F13" s="348"/>
    </row>
    <row r="14" spans="1:6" ht="36" x14ac:dyDescent="0.25">
      <c r="A14" s="345">
        <v>4.0999999999999996</v>
      </c>
      <c r="B14" s="349" t="s">
        <v>642</v>
      </c>
      <c r="C14" s="347" t="s">
        <v>636</v>
      </c>
      <c r="D14" s="347">
        <v>2</v>
      </c>
      <c r="E14" s="348">
        <v>1050171.7543174603</v>
      </c>
      <c r="F14" s="348"/>
    </row>
    <row r="15" spans="1:6" ht="30" customHeight="1" x14ac:dyDescent="0.25">
      <c r="A15" s="341">
        <v>5</v>
      </c>
      <c r="B15" s="342" t="s">
        <v>643</v>
      </c>
      <c r="C15" s="343"/>
      <c r="D15" s="343"/>
      <c r="E15" s="348"/>
      <c r="F15" s="348"/>
    </row>
    <row r="16" spans="1:6" ht="48" x14ac:dyDescent="0.25">
      <c r="A16" s="345">
        <v>5.0999999999999996</v>
      </c>
      <c r="B16" s="349" t="s">
        <v>644</v>
      </c>
      <c r="C16" s="347" t="s">
        <v>636</v>
      </c>
      <c r="D16" s="347">
        <v>2</v>
      </c>
      <c r="E16" s="348">
        <v>402506.94001851854</v>
      </c>
      <c r="F16" s="348"/>
    </row>
    <row r="17" spans="1:6" ht="30" customHeight="1" x14ac:dyDescent="0.25">
      <c r="A17" s="341">
        <v>6</v>
      </c>
      <c r="B17" s="342" t="s">
        <v>645</v>
      </c>
      <c r="C17" s="343"/>
      <c r="D17" s="343"/>
      <c r="E17" s="348"/>
      <c r="F17" s="348"/>
    </row>
    <row r="18" spans="1:6" ht="105.75" customHeight="1" x14ac:dyDescent="0.25">
      <c r="A18" s="345">
        <v>6.1</v>
      </c>
      <c r="B18" s="349" t="s">
        <v>646</v>
      </c>
      <c r="C18" s="347" t="s">
        <v>636</v>
      </c>
      <c r="D18" s="347">
        <v>1</v>
      </c>
      <c r="E18" s="348">
        <v>168563.46</v>
      </c>
      <c r="F18" s="348"/>
    </row>
    <row r="19" spans="1:6" ht="30" customHeight="1" x14ac:dyDescent="0.25">
      <c r="A19" s="341">
        <v>7</v>
      </c>
      <c r="B19" s="342" t="s">
        <v>647</v>
      </c>
      <c r="C19" s="343"/>
      <c r="D19" s="343"/>
      <c r="E19" s="348"/>
      <c r="F19" s="348"/>
    </row>
    <row r="20" spans="1:6" ht="204" customHeight="1" x14ac:dyDescent="0.25">
      <c r="A20" s="345">
        <v>7.1</v>
      </c>
      <c r="B20" s="349" t="s">
        <v>648</v>
      </c>
      <c r="C20" s="347" t="s">
        <v>636</v>
      </c>
      <c r="D20" s="347">
        <v>1</v>
      </c>
      <c r="E20" s="348">
        <v>544324.94852592598</v>
      </c>
      <c r="F20" s="348"/>
    </row>
    <row r="21" spans="1:6" ht="30" customHeight="1" x14ac:dyDescent="0.25">
      <c r="A21" s="341">
        <v>8</v>
      </c>
      <c r="B21" s="342" t="s">
        <v>649</v>
      </c>
      <c r="C21" s="343"/>
      <c r="D21" s="343"/>
      <c r="E21" s="348">
        <v>1565349.2801173034</v>
      </c>
      <c r="F21" s="348"/>
    </row>
    <row r="22" spans="1:6" ht="84" x14ac:dyDescent="0.25">
      <c r="A22" s="350">
        <v>8.1</v>
      </c>
      <c r="B22" s="346" t="s">
        <v>650</v>
      </c>
      <c r="C22" s="347" t="s">
        <v>651</v>
      </c>
      <c r="D22" s="347">
        <v>2</v>
      </c>
      <c r="E22" s="348"/>
      <c r="F22" s="348"/>
    </row>
    <row r="23" spans="1:6" ht="51.75" customHeight="1" x14ac:dyDescent="0.25">
      <c r="A23" s="350">
        <v>8.1999999999999993</v>
      </c>
      <c r="B23" s="346" t="s">
        <v>652</v>
      </c>
      <c r="C23" s="347" t="s">
        <v>651</v>
      </c>
      <c r="D23" s="347">
        <v>1</v>
      </c>
      <c r="E23" s="348"/>
      <c r="F23" s="348"/>
    </row>
    <row r="24" spans="1:6" ht="41.25" customHeight="1" x14ac:dyDescent="0.25">
      <c r="A24" s="350">
        <v>8.3000000000000007</v>
      </c>
      <c r="B24" s="346" t="s">
        <v>653</v>
      </c>
      <c r="C24" s="347" t="s">
        <v>651</v>
      </c>
      <c r="D24" s="347">
        <v>1</v>
      </c>
      <c r="E24" s="348"/>
      <c r="F24" s="348"/>
    </row>
    <row r="25" spans="1:6" ht="30" customHeight="1" x14ac:dyDescent="0.25">
      <c r="A25" s="341">
        <v>10</v>
      </c>
      <c r="B25" s="342" t="s">
        <v>654</v>
      </c>
      <c r="C25" s="343"/>
      <c r="D25" s="343"/>
      <c r="E25" s="348">
        <v>460244.49926447403</v>
      </c>
      <c r="F25" s="348"/>
    </row>
    <row r="26" spans="1:6" ht="23.1" customHeight="1" x14ac:dyDescent="0.25">
      <c r="A26" s="351">
        <v>10.1</v>
      </c>
      <c r="B26" s="352" t="s">
        <v>655</v>
      </c>
      <c r="C26" s="353" t="s">
        <v>651</v>
      </c>
      <c r="D26" s="353">
        <v>1</v>
      </c>
      <c r="E26" s="348"/>
      <c r="F26" s="348"/>
    </row>
    <row r="27" spans="1:6" ht="23.1" customHeight="1" x14ac:dyDescent="0.25">
      <c r="A27" s="354">
        <v>10.199999999999999</v>
      </c>
      <c r="B27" s="355" t="s">
        <v>656</v>
      </c>
      <c r="C27" s="356" t="s">
        <v>651</v>
      </c>
      <c r="D27" s="356">
        <v>1</v>
      </c>
      <c r="E27" s="348"/>
      <c r="F27" s="348"/>
    </row>
    <row r="28" spans="1:6" ht="23.1" customHeight="1" x14ac:dyDescent="0.25">
      <c r="A28" s="351">
        <v>10.3</v>
      </c>
      <c r="B28" s="355" t="s">
        <v>657</v>
      </c>
      <c r="C28" s="356" t="s">
        <v>651</v>
      </c>
      <c r="D28" s="356">
        <v>1</v>
      </c>
      <c r="E28" s="348"/>
      <c r="F28" s="348"/>
    </row>
    <row r="29" spans="1:6" ht="23.1" customHeight="1" x14ac:dyDescent="0.25">
      <c r="A29" s="354">
        <v>10.4</v>
      </c>
      <c r="B29" s="355" t="s">
        <v>658</v>
      </c>
      <c r="C29" s="356" t="s">
        <v>651</v>
      </c>
      <c r="D29" s="356">
        <v>1</v>
      </c>
      <c r="E29" s="348"/>
      <c r="F29" s="348"/>
    </row>
    <row r="30" spans="1:6" ht="23.1" customHeight="1" x14ac:dyDescent="0.25">
      <c r="A30" s="351">
        <v>10.5</v>
      </c>
      <c r="B30" s="355" t="s">
        <v>659</v>
      </c>
      <c r="C30" s="356" t="s">
        <v>651</v>
      </c>
      <c r="D30" s="356">
        <v>1</v>
      </c>
      <c r="E30" s="348"/>
      <c r="F30" s="348"/>
    </row>
    <row r="31" spans="1:6" ht="30" customHeight="1" x14ac:dyDescent="0.25">
      <c r="A31" s="341">
        <v>11</v>
      </c>
      <c r="B31" s="342" t="s">
        <v>660</v>
      </c>
      <c r="C31" s="343"/>
      <c r="D31" s="343"/>
      <c r="E31" s="348">
        <v>303759.50335191848</v>
      </c>
      <c r="F31" s="348"/>
    </row>
    <row r="32" spans="1:6" ht="36" x14ac:dyDescent="0.25">
      <c r="A32" s="350">
        <v>11.1</v>
      </c>
      <c r="B32" s="346" t="s">
        <v>661</v>
      </c>
      <c r="C32" s="347" t="s">
        <v>651</v>
      </c>
      <c r="D32" s="347">
        <v>1</v>
      </c>
      <c r="E32" s="348"/>
      <c r="F32" s="348"/>
    </row>
    <row r="33" spans="1:7" ht="24" x14ac:dyDescent="0.25">
      <c r="A33" s="350">
        <v>11.2</v>
      </c>
      <c r="B33" s="346" t="s">
        <v>662</v>
      </c>
      <c r="C33" s="347" t="s">
        <v>651</v>
      </c>
      <c r="D33" s="347">
        <v>1</v>
      </c>
      <c r="E33" s="348"/>
      <c r="F33" s="348"/>
    </row>
    <row r="34" spans="1:7" ht="30" customHeight="1" x14ac:dyDescent="0.25">
      <c r="A34" s="341">
        <v>12</v>
      </c>
      <c r="B34" s="342" t="s">
        <v>663</v>
      </c>
      <c r="C34" s="343"/>
      <c r="D34" s="343"/>
      <c r="E34" s="348">
        <v>1218276.8</v>
      </c>
      <c r="F34" s="348"/>
    </row>
    <row r="35" spans="1:7" ht="24" customHeight="1" x14ac:dyDescent="0.25">
      <c r="A35" s="350">
        <v>12.1</v>
      </c>
      <c r="B35" s="346" t="s">
        <v>664</v>
      </c>
      <c r="C35" s="347" t="s">
        <v>636</v>
      </c>
      <c r="D35" s="347">
        <v>20</v>
      </c>
      <c r="E35" s="348"/>
      <c r="F35" s="348"/>
    </row>
    <row r="36" spans="1:7" ht="24" customHeight="1" x14ac:dyDescent="0.25">
      <c r="A36" s="350">
        <v>12.2</v>
      </c>
      <c r="B36" s="346" t="s">
        <v>665</v>
      </c>
      <c r="C36" s="347" t="s">
        <v>636</v>
      </c>
      <c r="D36" s="347">
        <v>20</v>
      </c>
      <c r="E36" s="348"/>
      <c r="F36" s="348"/>
    </row>
    <row r="37" spans="1:7" ht="24" customHeight="1" x14ac:dyDescent="0.25">
      <c r="A37" s="350">
        <v>12.3</v>
      </c>
      <c r="B37" s="346" t="s">
        <v>666</v>
      </c>
      <c r="C37" s="347" t="s">
        <v>636</v>
      </c>
      <c r="D37" s="347">
        <v>10</v>
      </c>
      <c r="E37" s="348"/>
      <c r="F37" s="348"/>
    </row>
    <row r="38" spans="1:7" ht="24" customHeight="1" x14ac:dyDescent="0.25">
      <c r="A38" s="350">
        <v>12.4</v>
      </c>
      <c r="B38" s="346" t="s">
        <v>667</v>
      </c>
      <c r="C38" s="347" t="s">
        <v>636</v>
      </c>
      <c r="D38" s="347">
        <v>20</v>
      </c>
      <c r="E38" s="348"/>
      <c r="F38" s="348"/>
    </row>
    <row r="39" spans="1:7" ht="24" customHeight="1" x14ac:dyDescent="0.25">
      <c r="A39" s="350">
        <v>12.5</v>
      </c>
      <c r="B39" s="346" t="s">
        <v>668</v>
      </c>
      <c r="C39" s="347" t="s">
        <v>636</v>
      </c>
      <c r="D39" s="347">
        <v>1</v>
      </c>
      <c r="E39" s="348"/>
      <c r="F39" s="348"/>
    </row>
    <row r="40" spans="1:7" ht="24" customHeight="1" x14ac:dyDescent="0.25">
      <c r="A40" s="350">
        <v>12.6</v>
      </c>
      <c r="B40" s="346" t="s">
        <v>669</v>
      </c>
      <c r="C40" s="347" t="s">
        <v>636</v>
      </c>
      <c r="D40" s="347">
        <v>20</v>
      </c>
      <c r="E40" s="348"/>
      <c r="F40" s="348"/>
    </row>
    <row r="41" spans="1:7" ht="24" customHeight="1" x14ac:dyDescent="0.25">
      <c r="A41" s="350">
        <v>12.7</v>
      </c>
      <c r="B41" s="346" t="s">
        <v>670</v>
      </c>
      <c r="C41" s="347" t="s">
        <v>636</v>
      </c>
      <c r="D41" s="347">
        <v>20</v>
      </c>
      <c r="E41" s="348"/>
      <c r="F41" s="348"/>
    </row>
    <row r="42" spans="1:7" ht="24" customHeight="1" x14ac:dyDescent="0.25">
      <c r="A42" s="350">
        <v>12.8</v>
      </c>
      <c r="B42" s="346" t="s">
        <v>671</v>
      </c>
      <c r="C42" s="347" t="s">
        <v>636</v>
      </c>
      <c r="D42" s="347">
        <v>20</v>
      </c>
      <c r="E42" s="348"/>
      <c r="F42" s="348"/>
    </row>
    <row r="43" spans="1:7" ht="24" customHeight="1" x14ac:dyDescent="0.25">
      <c r="A43" s="350">
        <v>12.9</v>
      </c>
      <c r="B43" s="346" t="s">
        <v>672</v>
      </c>
      <c r="C43" s="347" t="s">
        <v>636</v>
      </c>
      <c r="D43" s="347">
        <v>1</v>
      </c>
      <c r="E43" s="348"/>
      <c r="F43" s="348"/>
    </row>
    <row r="44" spans="1:7" ht="24" customHeight="1" x14ac:dyDescent="0.25">
      <c r="A44" s="350">
        <v>12.1</v>
      </c>
      <c r="B44" s="346" t="s">
        <v>673</v>
      </c>
      <c r="C44" s="347" t="s">
        <v>636</v>
      </c>
      <c r="D44" s="347">
        <v>6</v>
      </c>
      <c r="E44" s="348"/>
      <c r="F44" s="348"/>
    </row>
    <row r="45" spans="1:7" ht="27" customHeight="1" x14ac:dyDescent="0.25">
      <c r="A45" s="341">
        <v>13</v>
      </c>
      <c r="B45" s="342" t="s">
        <v>674</v>
      </c>
      <c r="C45" s="343"/>
      <c r="D45" s="343"/>
      <c r="E45" s="348">
        <v>37846701</v>
      </c>
      <c r="F45" s="348"/>
      <c r="G45" s="337" t="s">
        <v>675</v>
      </c>
    </row>
    <row r="46" spans="1:7" ht="27" customHeight="1" x14ac:dyDescent="0.25">
      <c r="A46" s="357">
        <v>14</v>
      </c>
      <c r="B46" s="358" t="s">
        <v>681</v>
      </c>
      <c r="C46" s="357"/>
      <c r="D46" s="357">
        <v>1</v>
      </c>
      <c r="E46" s="348">
        <f>4120000/20</f>
        <v>206000</v>
      </c>
      <c r="F46" s="348"/>
    </row>
    <row r="47" spans="1:7" x14ac:dyDescent="0.25">
      <c r="E47" s="348"/>
      <c r="F47" s="348"/>
    </row>
    <row r="48" spans="1:7" x14ac:dyDescent="0.25">
      <c r="E48" s="348">
        <f>SUM(E8:E47)</f>
        <v>45115385.451624811</v>
      </c>
      <c r="F48" s="348"/>
    </row>
    <row r="51" spans="1:4" x14ac:dyDescent="0.25">
      <c r="A51" s="368" t="s">
        <v>676</v>
      </c>
      <c r="B51" s="368"/>
      <c r="C51" s="368"/>
      <c r="D51" s="368"/>
    </row>
  </sheetData>
  <mergeCells count="3">
    <mergeCell ref="A4:A5"/>
    <mergeCell ref="B4:D4"/>
    <mergeCell ref="A51:D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E3F4-74B8-444B-BA8B-7960D22CC321}">
  <sheetPr>
    <tabColor rgb="FFFFC000"/>
  </sheetPr>
  <dimension ref="A1:S96"/>
  <sheetViews>
    <sheetView showGridLines="0" zoomScale="60" zoomScaleNormal="60" workbookViewId="0">
      <pane ySplit="6" topLeftCell="A59" activePane="bottomLeft" state="frozen"/>
      <selection pane="bottomLeft" activeCell="E90" sqref="E90"/>
    </sheetView>
  </sheetViews>
  <sheetFormatPr defaultColWidth="0" defaultRowHeight="15" x14ac:dyDescent="0.25"/>
  <cols>
    <col min="1" max="1" width="74.28515625" bestFit="1" customWidth="1"/>
    <col min="2" max="2" width="14.42578125" style="32" customWidth="1"/>
    <col min="3" max="3" width="13.140625" style="137" customWidth="1"/>
    <col min="4" max="4" width="17.42578125" bestFit="1" customWidth="1"/>
    <col min="5" max="5" width="24.28515625" customWidth="1"/>
    <col min="6" max="6" width="105.85546875" style="138" bestFit="1" customWidth="1"/>
    <col min="7" max="8" width="11.7109375" hidden="1" customWidth="1"/>
    <col min="9" max="19" width="0" hidden="1" customWidth="1"/>
    <col min="20" max="16384" width="12.28515625" hidden="1"/>
  </cols>
  <sheetData>
    <row r="1" spans="1:6" ht="23.25" x14ac:dyDescent="0.25">
      <c r="A1" s="210" t="s">
        <v>36</v>
      </c>
    </row>
    <row r="3" spans="1:6" ht="15.75" x14ac:dyDescent="0.25">
      <c r="A3" t="s">
        <v>37</v>
      </c>
      <c r="D3" s="139">
        <f>Inputs!C10</f>
        <v>17.2</v>
      </c>
    </row>
    <row r="5" spans="1:6" s="141" customFormat="1" ht="20.25" thickBot="1" x14ac:dyDescent="0.35">
      <c r="A5" s="140" t="s">
        <v>38</v>
      </c>
      <c r="B5" s="211"/>
      <c r="C5" s="142"/>
      <c r="F5" s="143"/>
    </row>
    <row r="6" spans="1:6" ht="15.75" thickTop="1" x14ac:dyDescent="0.25">
      <c r="A6" s="144" t="s">
        <v>39</v>
      </c>
      <c r="B6" s="144" t="s">
        <v>40</v>
      </c>
      <c r="C6" s="145" t="s">
        <v>41</v>
      </c>
      <c r="D6" s="144" t="s">
        <v>42</v>
      </c>
      <c r="E6" s="144" t="s">
        <v>43</v>
      </c>
      <c r="F6" s="146" t="s">
        <v>44</v>
      </c>
    </row>
    <row r="7" spans="1:6" x14ac:dyDescent="0.25">
      <c r="A7" s="112" t="s">
        <v>45</v>
      </c>
      <c r="B7" s="32" t="s">
        <v>46</v>
      </c>
      <c r="C7" s="158">
        <v>1</v>
      </c>
      <c r="D7" s="181"/>
      <c r="E7" s="167">
        <f>C7*D7</f>
        <v>0</v>
      </c>
      <c r="F7" s="180" t="s">
        <v>47</v>
      </c>
    </row>
    <row r="8" spans="1:6" x14ac:dyDescent="0.25">
      <c r="A8" s="112" t="s">
        <v>48</v>
      </c>
      <c r="B8" s="32" t="s">
        <v>46</v>
      </c>
      <c r="C8" s="158">
        <v>1</v>
      </c>
      <c r="D8" s="182"/>
      <c r="E8" s="167">
        <f t="shared" ref="E8" si="0">C8*D8</f>
        <v>0</v>
      </c>
      <c r="F8" s="180" t="s">
        <v>49</v>
      </c>
    </row>
    <row r="9" spans="1:6" x14ac:dyDescent="0.25">
      <c r="A9" s="151" t="s">
        <v>50</v>
      </c>
      <c r="B9" s="176"/>
      <c r="C9" s="153"/>
      <c r="D9" s="152"/>
      <c r="E9" s="175">
        <f>+SUM(E7:E8)</f>
        <v>0</v>
      </c>
      <c r="F9" s="155"/>
    </row>
    <row r="10" spans="1:6" x14ac:dyDescent="0.25">
      <c r="C10"/>
      <c r="F10"/>
    </row>
    <row r="11" spans="1:6" s="141" customFormat="1" ht="20.25" thickBot="1" x14ac:dyDescent="0.35">
      <c r="A11" s="141" t="s">
        <v>51</v>
      </c>
      <c r="B11" s="211"/>
      <c r="C11" s="142"/>
      <c r="E11" s="156"/>
      <c r="F11" s="143"/>
    </row>
    <row r="12" spans="1:6" ht="15.75" thickTop="1" x14ac:dyDescent="0.25">
      <c r="A12" t="s">
        <v>52</v>
      </c>
      <c r="B12" s="32" t="s">
        <v>53</v>
      </c>
      <c r="C12" s="147">
        <v>1</v>
      </c>
      <c r="D12" s="148">
        <f>ATN!H11</f>
        <v>155874</v>
      </c>
      <c r="E12" s="149">
        <f>D12*C12</f>
        <v>155874</v>
      </c>
      <c r="F12" t="s">
        <v>54</v>
      </c>
    </row>
    <row r="13" spans="1:6" x14ac:dyDescent="0.25">
      <c r="A13" s="112" t="s">
        <v>55</v>
      </c>
      <c r="B13" s="32" t="s">
        <v>56</v>
      </c>
      <c r="C13" s="147">
        <v>1</v>
      </c>
      <c r="D13" s="148"/>
      <c r="E13" s="167">
        <f>D13*C13</f>
        <v>0</v>
      </c>
      <c r="F13" s="180" t="s">
        <v>57</v>
      </c>
    </row>
    <row r="14" spans="1:6" x14ac:dyDescent="0.25">
      <c r="A14" s="131" t="s">
        <v>58</v>
      </c>
      <c r="B14" s="32" t="s">
        <v>56</v>
      </c>
      <c r="C14" s="147">
        <v>1</v>
      </c>
      <c r="D14" s="148">
        <f>ATN!D16+ATN!H16</f>
        <v>393745</v>
      </c>
      <c r="E14" s="149">
        <f>D14*C14</f>
        <v>393745</v>
      </c>
      <c r="F14" t="s">
        <v>59</v>
      </c>
    </row>
    <row r="15" spans="1:6" x14ac:dyDescent="0.25">
      <c r="A15" s="132" t="s">
        <v>60</v>
      </c>
      <c r="B15" s="32" t="s">
        <v>53</v>
      </c>
      <c r="C15" s="147">
        <v>1</v>
      </c>
      <c r="D15" s="148">
        <f>ATN!D17+ATN!H17</f>
        <v>187647</v>
      </c>
      <c r="E15" s="149">
        <f t="shared" ref="E15:E20" si="1">D15*C15</f>
        <v>187647</v>
      </c>
      <c r="F15" t="s">
        <v>61</v>
      </c>
    </row>
    <row r="16" spans="1:6" x14ac:dyDescent="0.25">
      <c r="A16" s="132" t="s">
        <v>62</v>
      </c>
      <c r="B16" s="32" t="s">
        <v>53</v>
      </c>
      <c r="C16" s="32">
        <v>1</v>
      </c>
      <c r="D16" s="148">
        <f>ATN!D18+ATN!H18</f>
        <v>415874</v>
      </c>
      <c r="E16" s="149">
        <f t="shared" si="1"/>
        <v>415874</v>
      </c>
      <c r="F16" t="s">
        <v>63</v>
      </c>
    </row>
    <row r="17" spans="1:6" x14ac:dyDescent="0.25">
      <c r="A17" s="132" t="s">
        <v>64</v>
      </c>
      <c r="B17" s="32" t="s">
        <v>53</v>
      </c>
      <c r="C17" s="32">
        <v>1</v>
      </c>
      <c r="D17" s="148">
        <f>ATN!D19+ATN!H19</f>
        <v>165287</v>
      </c>
      <c r="E17" s="149">
        <f t="shared" si="1"/>
        <v>165287</v>
      </c>
      <c r="F17" t="s">
        <v>65</v>
      </c>
    </row>
    <row r="18" spans="1:6" x14ac:dyDescent="0.25">
      <c r="A18" s="133" t="s">
        <v>66</v>
      </c>
      <c r="B18" s="32" t="s">
        <v>53</v>
      </c>
      <c r="C18" s="32">
        <v>1</v>
      </c>
      <c r="D18" s="150">
        <f>ATN!D21+ATN!H21</f>
        <v>95874</v>
      </c>
      <c r="E18" s="149">
        <f t="shared" si="1"/>
        <v>95874</v>
      </c>
      <c r="F18" t="s">
        <v>67</v>
      </c>
    </row>
    <row r="19" spans="1:6" x14ac:dyDescent="0.25">
      <c r="A19" s="134" t="s">
        <v>68</v>
      </c>
      <c r="B19" s="32" t="s">
        <v>53</v>
      </c>
      <c r="C19" s="32">
        <v>1</v>
      </c>
      <c r="D19" s="148">
        <f>ATN!D22+ATN!H22</f>
        <v>929373</v>
      </c>
      <c r="E19" s="149">
        <f t="shared" si="1"/>
        <v>929373</v>
      </c>
      <c r="F19" t="s">
        <v>69</v>
      </c>
    </row>
    <row r="20" spans="1:6" x14ac:dyDescent="0.25">
      <c r="A20" s="135" t="s">
        <v>70</v>
      </c>
      <c r="B20" s="32" t="s">
        <v>53</v>
      </c>
      <c r="C20" s="32">
        <v>1</v>
      </c>
      <c r="D20" s="148">
        <f>ATN!D23+ATN!H23</f>
        <v>815367</v>
      </c>
      <c r="E20" s="149">
        <f t="shared" si="1"/>
        <v>815367</v>
      </c>
      <c r="F20" t="s">
        <v>71</v>
      </c>
    </row>
    <row r="21" spans="1:6" ht="18.95" customHeight="1" x14ac:dyDescent="0.25">
      <c r="A21" s="134" t="s">
        <v>72</v>
      </c>
      <c r="B21" s="32" t="s">
        <v>53</v>
      </c>
      <c r="C21" s="32">
        <v>1</v>
      </c>
      <c r="D21" s="148">
        <f>ATN!D24+ATN!H24</f>
        <v>128957</v>
      </c>
      <c r="E21" s="149">
        <f>D21*C21</f>
        <v>128957</v>
      </c>
      <c r="F21" t="s">
        <v>73</v>
      </c>
    </row>
    <row r="22" spans="1:6" x14ac:dyDescent="0.25">
      <c r="A22" s="134" t="str">
        <f>ATN!A12</f>
        <v>Comisionamiento</v>
      </c>
      <c r="B22" s="32" t="s">
        <v>53</v>
      </c>
      <c r="C22" s="32">
        <v>1</v>
      </c>
      <c r="D22" s="148">
        <f>ATN!H12</f>
        <v>105684</v>
      </c>
      <c r="E22" s="149">
        <f t="shared" ref="E22:E23" si="2">D22*C22</f>
        <v>105684</v>
      </c>
      <c r="F22" t="s">
        <v>74</v>
      </c>
    </row>
    <row r="23" spans="1:6" x14ac:dyDescent="0.25">
      <c r="A23" s="203" t="str">
        <f>ATN!A13</f>
        <v>Equipo de pruebas CX</v>
      </c>
      <c r="B23" s="32" t="s">
        <v>53</v>
      </c>
      <c r="C23" s="157">
        <v>1</v>
      </c>
      <c r="D23" s="148">
        <f>ATN!H13</f>
        <v>25000</v>
      </c>
      <c r="E23" s="149">
        <f t="shared" si="2"/>
        <v>25000</v>
      </c>
      <c r="F23" t="s">
        <v>75</v>
      </c>
    </row>
    <row r="24" spans="1:6" x14ac:dyDescent="0.25">
      <c r="A24" s="186" t="s">
        <v>456</v>
      </c>
      <c r="B24" s="176"/>
      <c r="C24" s="153"/>
      <c r="D24" s="152"/>
      <c r="E24" s="175">
        <f>+SUM(E12:E23)</f>
        <v>3418682</v>
      </c>
      <c r="F24" s="155"/>
    </row>
    <row r="25" spans="1:6" x14ac:dyDescent="0.25">
      <c r="C25"/>
      <c r="F25"/>
    </row>
    <row r="26" spans="1:6" x14ac:dyDescent="0.25">
      <c r="C26"/>
      <c r="F26"/>
    </row>
    <row r="27" spans="1:6" s="141" customFormat="1" ht="20.25" thickBot="1" x14ac:dyDescent="0.35">
      <c r="A27" s="141" t="s">
        <v>460</v>
      </c>
      <c r="B27" s="211"/>
      <c r="C27" s="142"/>
      <c r="E27" s="156"/>
      <c r="F27" s="143"/>
    </row>
    <row r="28" spans="1:6" ht="15.75" thickTop="1" x14ac:dyDescent="0.25">
      <c r="A28" s="131" t="s">
        <v>76</v>
      </c>
      <c r="B28" s="32" t="s">
        <v>77</v>
      </c>
      <c r="C28" s="147">
        <f>ATN!B27</f>
        <v>1</v>
      </c>
      <c r="D28" s="148">
        <f>ATN!D27+ATN!H27</f>
        <v>55698</v>
      </c>
      <c r="E28" s="149">
        <f>C28*D28</f>
        <v>55698</v>
      </c>
      <c r="F28" t="s">
        <v>78</v>
      </c>
    </row>
    <row r="29" spans="1:6" x14ac:dyDescent="0.25">
      <c r="A29" s="132" t="s">
        <v>79</v>
      </c>
      <c r="B29" s="32" t="s">
        <v>77</v>
      </c>
      <c r="C29" s="147">
        <f>ATN!B28</f>
        <v>1</v>
      </c>
      <c r="D29" s="148">
        <f>ATN!D28+ATN!H28</f>
        <v>196874</v>
      </c>
      <c r="E29" s="149">
        <f t="shared" ref="E29:E38" si="3">C29*D29</f>
        <v>196874</v>
      </c>
      <c r="F29" t="s">
        <v>80</v>
      </c>
    </row>
    <row r="30" spans="1:6" x14ac:dyDescent="0.25">
      <c r="A30" s="132" t="s">
        <v>81</v>
      </c>
      <c r="B30" s="32" t="s">
        <v>77</v>
      </c>
      <c r="C30" s="32">
        <f>ATN!B29</f>
        <v>2</v>
      </c>
      <c r="D30" s="148">
        <f>ATN!D29+ATN!H29</f>
        <v>415874</v>
      </c>
      <c r="E30" s="149">
        <f t="shared" si="3"/>
        <v>831748</v>
      </c>
      <c r="F30" t="s">
        <v>82</v>
      </c>
    </row>
    <row r="31" spans="1:6" x14ac:dyDescent="0.25">
      <c r="A31" s="132" t="s">
        <v>83</v>
      </c>
      <c r="B31" s="32" t="s">
        <v>77</v>
      </c>
      <c r="C31" s="32">
        <f>ATN!B30</f>
        <v>1</v>
      </c>
      <c r="D31" s="148">
        <f>ATN!D30+ATN!H30</f>
        <v>333327</v>
      </c>
      <c r="E31" s="149">
        <f t="shared" si="3"/>
        <v>333327</v>
      </c>
      <c r="F31" t="s">
        <v>84</v>
      </c>
    </row>
    <row r="32" spans="1:6" x14ac:dyDescent="0.25">
      <c r="A32" s="133" t="s">
        <v>85</v>
      </c>
      <c r="B32" s="32" t="s">
        <v>77</v>
      </c>
      <c r="C32" s="32">
        <f>ATN!B31</f>
        <v>2</v>
      </c>
      <c r="D32" s="150">
        <f>ATN!D31+ATN!H31</f>
        <v>565247</v>
      </c>
      <c r="E32" s="149">
        <f t="shared" si="3"/>
        <v>1130494</v>
      </c>
      <c r="F32" t="s">
        <v>86</v>
      </c>
    </row>
    <row r="33" spans="1:6" x14ac:dyDescent="0.25">
      <c r="A33" s="134" t="s">
        <v>87</v>
      </c>
      <c r="B33" s="32" t="s">
        <v>77</v>
      </c>
      <c r="C33" s="32">
        <f>ATN!B32</f>
        <v>0</v>
      </c>
      <c r="D33" s="148">
        <f>ATN!D32+ATN!H32</f>
        <v>78140</v>
      </c>
      <c r="E33" s="149">
        <f t="shared" si="3"/>
        <v>0</v>
      </c>
      <c r="F33" t="s">
        <v>88</v>
      </c>
    </row>
    <row r="34" spans="1:6" x14ac:dyDescent="0.25">
      <c r="A34" s="135" t="s">
        <v>89</v>
      </c>
      <c r="B34" s="32" t="s">
        <v>77</v>
      </c>
      <c r="C34" s="32">
        <f>ATN!B33</f>
        <v>0</v>
      </c>
      <c r="D34" s="148">
        <f>ATN!D33+ATN!H33</f>
        <v>35254</v>
      </c>
      <c r="E34" s="149">
        <f t="shared" si="3"/>
        <v>0</v>
      </c>
      <c r="F34" t="s">
        <v>88</v>
      </c>
    </row>
    <row r="35" spans="1:6" x14ac:dyDescent="0.25">
      <c r="A35" s="134" t="s">
        <v>90</v>
      </c>
      <c r="B35" s="32" t="s">
        <v>77</v>
      </c>
      <c r="C35" s="32">
        <f>ATN!B34</f>
        <v>2</v>
      </c>
      <c r="D35" s="148">
        <f>ATN!D34+ATN!H34</f>
        <v>589658</v>
      </c>
      <c r="E35" s="149">
        <f t="shared" si="3"/>
        <v>1179316</v>
      </c>
      <c r="F35" t="s">
        <v>91</v>
      </c>
    </row>
    <row r="36" spans="1:6" x14ac:dyDescent="0.25">
      <c r="A36" s="133" t="s">
        <v>92</v>
      </c>
      <c r="B36" s="32" t="s">
        <v>93</v>
      </c>
      <c r="C36" s="32">
        <f>ATN!B35</f>
        <v>0</v>
      </c>
      <c r="D36" s="150">
        <f>ATN!D35+ATN!H35</f>
        <v>165874</v>
      </c>
      <c r="E36" s="149">
        <f t="shared" si="3"/>
        <v>0</v>
      </c>
      <c r="F36" t="s">
        <v>88</v>
      </c>
    </row>
    <row r="37" spans="1:6" x14ac:dyDescent="0.25">
      <c r="A37" s="133" t="s">
        <v>94</v>
      </c>
      <c r="B37" s="32" t="s">
        <v>77</v>
      </c>
      <c r="C37" s="32">
        <v>7</v>
      </c>
      <c r="D37" s="150">
        <f>ATN!D36+ATN!H36</f>
        <v>20859</v>
      </c>
      <c r="E37" s="149">
        <f t="shared" si="3"/>
        <v>146013</v>
      </c>
      <c r="F37" t="s">
        <v>95</v>
      </c>
    </row>
    <row r="38" spans="1:6" x14ac:dyDescent="0.25">
      <c r="A38" s="206" t="s">
        <v>96</v>
      </c>
      <c r="B38" s="32" t="s">
        <v>93</v>
      </c>
      <c r="C38" s="32">
        <v>1</v>
      </c>
      <c r="D38" s="150">
        <f>ATN!D37+ATN!H37</f>
        <v>85987</v>
      </c>
      <c r="E38" s="149">
        <f t="shared" si="3"/>
        <v>85987</v>
      </c>
      <c r="F38" t="s">
        <v>97</v>
      </c>
    </row>
    <row r="39" spans="1:6" s="152" customFormat="1" x14ac:dyDescent="0.25">
      <c r="A39" s="186" t="s">
        <v>50</v>
      </c>
      <c r="B39" s="176"/>
      <c r="C39" s="176"/>
      <c r="D39" s="178"/>
      <c r="E39" s="175">
        <f>+SUM(E28:E38)</f>
        <v>3959457</v>
      </c>
    </row>
    <row r="40" spans="1:6" x14ac:dyDescent="0.25">
      <c r="A40" s="161"/>
      <c r="C40" s="32"/>
      <c r="D40" s="177"/>
      <c r="E40" s="185"/>
      <c r="F40"/>
    </row>
    <row r="41" spans="1:6" x14ac:dyDescent="0.25">
      <c r="A41" s="161"/>
      <c r="C41" s="32"/>
      <c r="D41" s="177"/>
      <c r="E41" s="185"/>
      <c r="F41"/>
    </row>
    <row r="42" spans="1:6" s="141" customFormat="1" ht="20.25" thickBot="1" x14ac:dyDescent="0.35">
      <c r="A42" s="141" t="s">
        <v>459</v>
      </c>
      <c r="B42" s="211"/>
      <c r="C42" s="142"/>
      <c r="E42" s="156"/>
      <c r="F42" s="143"/>
    </row>
    <row r="43" spans="1:6" ht="15.75" thickTop="1" x14ac:dyDescent="0.25">
      <c r="A43" s="207" t="s">
        <v>98</v>
      </c>
      <c r="B43" s="32" t="s">
        <v>56</v>
      </c>
      <c r="C43" s="32">
        <v>1</v>
      </c>
      <c r="D43" s="148">
        <f>ATN!D40+ATN!H40</f>
        <v>185874</v>
      </c>
      <c r="E43" s="149">
        <f>C43*D43</f>
        <v>185874</v>
      </c>
      <c r="F43"/>
    </row>
    <row r="44" spans="1:6" x14ac:dyDescent="0.25">
      <c r="A44" s="207" t="s">
        <v>99</v>
      </c>
      <c r="B44" s="32" t="s">
        <v>56</v>
      </c>
      <c r="C44" s="147">
        <v>1</v>
      </c>
      <c r="D44" s="148">
        <f>ATN!D41+ATN!H41</f>
        <v>45254</v>
      </c>
      <c r="E44" s="149">
        <f t="shared" ref="E44:E49" si="4">C44*D44</f>
        <v>45254</v>
      </c>
      <c r="F44" t="s">
        <v>100</v>
      </c>
    </row>
    <row r="45" spans="1:6" x14ac:dyDescent="0.25">
      <c r="A45" s="208" t="s">
        <v>101</v>
      </c>
      <c r="B45" s="32" t="s">
        <v>56</v>
      </c>
      <c r="C45" s="147">
        <v>1</v>
      </c>
      <c r="D45" s="148">
        <f>ATN!D42+ATN!H42</f>
        <v>65254</v>
      </c>
      <c r="E45" s="149">
        <f t="shared" si="4"/>
        <v>65254</v>
      </c>
      <c r="F45"/>
    </row>
    <row r="46" spans="1:6" x14ac:dyDescent="0.25">
      <c r="A46" s="96" t="s">
        <v>102</v>
      </c>
      <c r="B46" s="32" t="s">
        <v>56</v>
      </c>
      <c r="C46" s="32">
        <v>1</v>
      </c>
      <c r="D46" s="148">
        <f>ATN!D43+ATN!H43</f>
        <v>52358.5</v>
      </c>
      <c r="E46" s="149">
        <f t="shared" si="4"/>
        <v>52358.5</v>
      </c>
      <c r="F46"/>
    </row>
    <row r="47" spans="1:6" x14ac:dyDescent="0.25">
      <c r="A47" s="126" t="s">
        <v>103</v>
      </c>
      <c r="B47" s="32" t="s">
        <v>56</v>
      </c>
      <c r="C47" s="32">
        <v>1</v>
      </c>
      <c r="D47" s="148">
        <f>ATN!D44+ATN!H44</f>
        <v>230254</v>
      </c>
      <c r="E47" s="149">
        <f t="shared" si="4"/>
        <v>230254</v>
      </c>
      <c r="F47" t="s">
        <v>104</v>
      </c>
    </row>
    <row r="48" spans="1:6" ht="37.5" customHeight="1" x14ac:dyDescent="0.25">
      <c r="A48" s="207" t="s">
        <v>105</v>
      </c>
      <c r="B48" s="32" t="s">
        <v>56</v>
      </c>
      <c r="C48" s="32">
        <v>1</v>
      </c>
      <c r="D48" s="150">
        <f>ATN!D45+ATN!H45</f>
        <v>235874</v>
      </c>
      <c r="E48" s="149">
        <f t="shared" si="4"/>
        <v>235874</v>
      </c>
      <c r="F48"/>
    </row>
    <row r="49" spans="1:6" ht="38.25" customHeight="1" x14ac:dyDescent="0.25">
      <c r="A49" s="209" t="s">
        <v>106</v>
      </c>
      <c r="B49" s="188" t="s">
        <v>56</v>
      </c>
      <c r="C49" s="188">
        <v>1</v>
      </c>
      <c r="D49" s="190">
        <f>ATN!D46+ATN!H46</f>
        <v>142406.74229999998</v>
      </c>
      <c r="E49" s="149">
        <f t="shared" si="4"/>
        <v>142406.74229999998</v>
      </c>
      <c r="F49"/>
    </row>
    <row r="50" spans="1:6" s="179" customFormat="1" x14ac:dyDescent="0.25">
      <c r="A50" s="186" t="s">
        <v>50</v>
      </c>
      <c r="B50" s="188"/>
      <c r="C50" s="187"/>
      <c r="E50" s="175">
        <f>SUM(E43:E49)</f>
        <v>957275.24230000004</v>
      </c>
      <c r="F50" s="152"/>
    </row>
    <row r="51" spans="1:6" x14ac:dyDescent="0.25">
      <c r="A51" s="174"/>
      <c r="E51" s="149"/>
    </row>
    <row r="52" spans="1:6" s="141" customFormat="1" ht="20.25" thickBot="1" x14ac:dyDescent="0.35">
      <c r="A52" s="141" t="s">
        <v>107</v>
      </c>
      <c r="B52" s="211"/>
      <c r="C52" s="142"/>
      <c r="E52" s="156"/>
      <c r="F52" s="143"/>
    </row>
    <row r="53" spans="1:6" ht="15.75" thickTop="1" x14ac:dyDescent="0.25">
      <c r="A53" s="183" t="s">
        <v>108</v>
      </c>
      <c r="B53" s="32" t="s">
        <v>109</v>
      </c>
      <c r="C53" s="158">
        <v>1</v>
      </c>
      <c r="D53" s="212"/>
      <c r="E53" s="167">
        <f t="shared" ref="E53:E54" si="5">C53*D53</f>
        <v>0</v>
      </c>
      <c r="F53" s="180" t="s">
        <v>110</v>
      </c>
    </row>
    <row r="54" spans="1:6" x14ac:dyDescent="0.25">
      <c r="A54" s="191" t="s">
        <v>111</v>
      </c>
      <c r="B54" s="188"/>
      <c r="C54" s="189">
        <v>1</v>
      </c>
      <c r="D54" s="213">
        <f>5000000/TC</f>
        <v>290697.67441860464</v>
      </c>
      <c r="E54" s="167">
        <f t="shared" si="5"/>
        <v>290697.67441860464</v>
      </c>
      <c r="F54" s="180" t="s">
        <v>112</v>
      </c>
    </row>
    <row r="55" spans="1:6" s="179" customFormat="1" x14ac:dyDescent="0.25">
      <c r="A55" s="186" t="s">
        <v>50</v>
      </c>
      <c r="B55" s="188"/>
      <c r="C55" s="187"/>
      <c r="E55" s="154">
        <f>SUM(E53:E54)</f>
        <v>290697.67441860464</v>
      </c>
      <c r="F55" s="152"/>
    </row>
    <row r="56" spans="1:6" x14ac:dyDescent="0.25">
      <c r="A56" s="161"/>
      <c r="E56" s="149"/>
      <c r="F56"/>
    </row>
    <row r="58" spans="1:6" s="141" customFormat="1" ht="20.25" thickBot="1" x14ac:dyDescent="0.35">
      <c r="A58" s="141" t="s">
        <v>458</v>
      </c>
      <c r="B58" s="211"/>
      <c r="C58" s="142"/>
      <c r="E58" s="156"/>
      <c r="F58" s="159"/>
    </row>
    <row r="59" spans="1:6" ht="16.5" thickTop="1" x14ac:dyDescent="0.25">
      <c r="A59" t="s">
        <v>113</v>
      </c>
      <c r="B59" s="32" t="s">
        <v>114</v>
      </c>
      <c r="C59" s="157">
        <v>18</v>
      </c>
      <c r="D59" s="163">
        <f>851194.32/18</f>
        <v>47288.573333333334</v>
      </c>
      <c r="E59" s="149">
        <f>C59*D59</f>
        <v>851194.32000000007</v>
      </c>
      <c r="F59" t="s">
        <v>115</v>
      </c>
    </row>
    <row r="60" spans="1:6" ht="15.75" x14ac:dyDescent="0.25">
      <c r="A60" t="s">
        <v>116</v>
      </c>
      <c r="B60" s="32" t="s">
        <v>114</v>
      </c>
      <c r="C60" s="157">
        <v>18</v>
      </c>
      <c r="D60" s="163">
        <f>282512/18</f>
        <v>15695.111111111111</v>
      </c>
      <c r="E60" s="149">
        <f>C60*D60</f>
        <v>282512</v>
      </c>
      <c r="F60" t="s">
        <v>117</v>
      </c>
    </row>
    <row r="61" spans="1:6" x14ac:dyDescent="0.25">
      <c r="A61" s="184" t="s">
        <v>118</v>
      </c>
      <c r="B61" s="32" t="s">
        <v>109</v>
      </c>
      <c r="C61" s="158">
        <v>1</v>
      </c>
      <c r="D61" s="215">
        <f>'network eq.'!G8</f>
        <v>802800</v>
      </c>
      <c r="E61" s="167">
        <f t="shared" ref="E61:E64" si="6">C61*D61</f>
        <v>802800</v>
      </c>
      <c r="F61" s="180" t="s">
        <v>119</v>
      </c>
    </row>
    <row r="62" spans="1:6" x14ac:dyDescent="0.25">
      <c r="A62" s="184" t="s">
        <v>120</v>
      </c>
      <c r="B62" s="32" t="s">
        <v>114</v>
      </c>
      <c r="C62" s="158">
        <v>2</v>
      </c>
      <c r="D62" s="215">
        <f>'network eq.'!B13/2</f>
        <v>50000</v>
      </c>
      <c r="E62" s="167">
        <f t="shared" si="6"/>
        <v>100000</v>
      </c>
      <c r="F62" s="180" t="s">
        <v>120</v>
      </c>
    </row>
    <row r="63" spans="1:6" x14ac:dyDescent="0.25">
      <c r="A63" s="184" t="s">
        <v>121</v>
      </c>
      <c r="B63" s="32" t="s">
        <v>114</v>
      </c>
      <c r="C63" s="158">
        <v>4</v>
      </c>
      <c r="D63" s="215">
        <f>'network eq.'!B12/4</f>
        <v>60000</v>
      </c>
      <c r="E63" s="167">
        <f t="shared" si="6"/>
        <v>240000</v>
      </c>
      <c r="F63" s="180" t="s">
        <v>122</v>
      </c>
    </row>
    <row r="64" spans="1:6" x14ac:dyDescent="0.25">
      <c r="A64" s="184" t="s">
        <v>123</v>
      </c>
      <c r="B64" s="32" t="s">
        <v>114</v>
      </c>
      <c r="C64" s="158">
        <v>72</v>
      </c>
      <c r="D64" s="215">
        <v>480000</v>
      </c>
      <c r="E64" s="167">
        <f t="shared" si="6"/>
        <v>34560000</v>
      </c>
      <c r="F64" s="180" t="s">
        <v>124</v>
      </c>
    </row>
    <row r="65" spans="1:18" s="152" customFormat="1" x14ac:dyDescent="0.25">
      <c r="A65" s="151" t="s">
        <v>50</v>
      </c>
      <c r="B65" s="176"/>
      <c r="C65" s="153"/>
      <c r="E65" s="154">
        <f>SUM(E59:E64)</f>
        <v>36836506.32</v>
      </c>
      <c r="F65" s="155"/>
    </row>
    <row r="67" spans="1:18" s="141" customFormat="1" ht="20.25" thickBot="1" x14ac:dyDescent="0.35">
      <c r="A67" s="141" t="s">
        <v>125</v>
      </c>
      <c r="B67" s="211"/>
      <c r="C67" s="142"/>
      <c r="E67" s="156"/>
      <c r="F67" s="143"/>
    </row>
    <row r="68" spans="1:18" s="92" customFormat="1" ht="21" customHeight="1" thickTop="1" x14ac:dyDescent="0.25">
      <c r="A68" s="162" t="s">
        <v>126</v>
      </c>
      <c r="B68" s="92" t="s">
        <v>109</v>
      </c>
      <c r="C68" s="147">
        <v>1</v>
      </c>
      <c r="D68" s="214">
        <f>48000/TC</f>
        <v>2790.6976744186049</v>
      </c>
      <c r="E68" s="164">
        <f t="shared" ref="E68:E69" si="7">C68*D68</f>
        <v>2790.6976744186049</v>
      </c>
      <c r="F68" s="217" t="s">
        <v>127</v>
      </c>
    </row>
    <row r="69" spans="1:18" ht="15.75" x14ac:dyDescent="0.25">
      <c r="A69" s="137" t="s">
        <v>128</v>
      </c>
      <c r="B69" s="32" t="s">
        <v>46</v>
      </c>
      <c r="C69" s="147">
        <v>1</v>
      </c>
      <c r="D69" s="139">
        <f>713000/TC</f>
        <v>41453.488372093023</v>
      </c>
      <c r="E69" s="164">
        <f t="shared" si="7"/>
        <v>41453.488372093023</v>
      </c>
      <c r="F69" s="138" t="s">
        <v>129</v>
      </c>
      <c r="N69" s="137" t="s">
        <v>130</v>
      </c>
      <c r="O69" s="139">
        <v>200000</v>
      </c>
      <c r="P69" s="139">
        <v>4</v>
      </c>
      <c r="Q69" s="165">
        <f>P69*O69</f>
        <v>800000</v>
      </c>
      <c r="R69" t="s">
        <v>131</v>
      </c>
    </row>
    <row r="70" spans="1:18" x14ac:dyDescent="0.25">
      <c r="A70" s="151" t="s">
        <v>50</v>
      </c>
      <c r="B70" s="176"/>
      <c r="C70" s="153"/>
      <c r="D70" s="152"/>
      <c r="E70" s="154">
        <f>SUM(E68:E69)</f>
        <v>44244.186046511626</v>
      </c>
      <c r="F70" s="155"/>
    </row>
    <row r="71" spans="1:18" x14ac:dyDescent="0.25">
      <c r="A71" s="137"/>
      <c r="E71" s="149"/>
      <c r="N71" s="166" t="s">
        <v>132</v>
      </c>
    </row>
    <row r="72" spans="1:18" s="141" customFormat="1" ht="20.25" thickBot="1" x14ac:dyDescent="0.35">
      <c r="A72" s="141" t="s">
        <v>133</v>
      </c>
      <c r="B72" s="211"/>
      <c r="C72" s="142"/>
      <c r="E72" s="156"/>
      <c r="F72" s="143"/>
    </row>
    <row r="73" spans="1:18" ht="15.75" thickTop="1" x14ac:dyDescent="0.25">
      <c r="A73" s="184" t="s">
        <v>134</v>
      </c>
      <c r="B73" s="32" t="s">
        <v>109</v>
      </c>
      <c r="C73" s="158">
        <v>1</v>
      </c>
      <c r="D73" s="216">
        <v>350000</v>
      </c>
      <c r="E73" s="167">
        <f t="shared" ref="E73:E76" si="8">C73*D73</f>
        <v>350000</v>
      </c>
      <c r="F73" s="160" t="s">
        <v>135</v>
      </c>
    </row>
    <row r="74" spans="1:18" x14ac:dyDescent="0.25">
      <c r="A74" s="112" t="s">
        <v>136</v>
      </c>
      <c r="B74" s="32" t="s">
        <v>109</v>
      </c>
      <c r="C74" s="158">
        <v>1</v>
      </c>
      <c r="D74" s="216">
        <v>750000</v>
      </c>
      <c r="E74" s="167">
        <f t="shared" si="8"/>
        <v>750000</v>
      </c>
      <c r="F74" s="160" t="s">
        <v>137</v>
      </c>
    </row>
    <row r="75" spans="1:18" x14ac:dyDescent="0.25">
      <c r="A75" s="112" t="s">
        <v>592</v>
      </c>
      <c r="B75" s="32" t="s">
        <v>109</v>
      </c>
      <c r="C75" s="158">
        <v>1</v>
      </c>
      <c r="D75" s="216">
        <v>300000</v>
      </c>
      <c r="E75" s="167">
        <f t="shared" si="8"/>
        <v>300000</v>
      </c>
      <c r="F75" s="160" t="s">
        <v>593</v>
      </c>
    </row>
    <row r="76" spans="1:18" ht="15.75" x14ac:dyDescent="0.25">
      <c r="A76" s="184" t="s">
        <v>138</v>
      </c>
      <c r="B76" s="32" t="s">
        <v>139</v>
      </c>
      <c r="C76" s="158">
        <v>1</v>
      </c>
      <c r="D76" s="139"/>
      <c r="E76" s="167">
        <f t="shared" si="8"/>
        <v>0</v>
      </c>
      <c r="F76" s="160" t="s">
        <v>140</v>
      </c>
    </row>
    <row r="77" spans="1:18" x14ac:dyDescent="0.25">
      <c r="A77" s="151" t="s">
        <v>50</v>
      </c>
      <c r="B77" s="176"/>
      <c r="C77" s="153"/>
      <c r="D77" s="152"/>
      <c r="E77" s="154">
        <f>SUM(E73:E76)</f>
        <v>1400000</v>
      </c>
      <c r="F77" s="155"/>
    </row>
    <row r="79" spans="1:18" x14ac:dyDescent="0.25">
      <c r="A79" s="161"/>
      <c r="E79" s="149"/>
    </row>
    <row r="80" spans="1:18" s="141" customFormat="1" ht="20.25" thickBot="1" x14ac:dyDescent="0.35">
      <c r="A80" s="141" t="s">
        <v>457</v>
      </c>
      <c r="B80" s="211"/>
      <c r="C80" s="142"/>
      <c r="E80" s="156"/>
      <c r="F80" s="143"/>
    </row>
    <row r="81" spans="1:6" ht="16.5" thickTop="1" x14ac:dyDescent="0.25">
      <c r="A81" s="193" t="s">
        <v>141</v>
      </c>
      <c r="B81" s="194" t="s">
        <v>109</v>
      </c>
      <c r="C81" s="195">
        <v>1</v>
      </c>
      <c r="D81" s="196">
        <v>900000</v>
      </c>
      <c r="E81" s="197">
        <f>C81*D81</f>
        <v>900000</v>
      </c>
      <c r="F81" s="198" t="s">
        <v>142</v>
      </c>
    </row>
    <row r="82" spans="1:6" x14ac:dyDescent="0.25">
      <c r="A82" s="151" t="s">
        <v>50</v>
      </c>
      <c r="B82" s="176"/>
      <c r="C82" s="153"/>
      <c r="D82" s="152"/>
      <c r="E82" s="154">
        <f>SUM(E81)</f>
        <v>900000</v>
      </c>
      <c r="F82" s="155"/>
    </row>
    <row r="84" spans="1:6" s="141" customFormat="1" ht="20.25" thickBot="1" x14ac:dyDescent="0.35">
      <c r="A84" s="141" t="s">
        <v>143</v>
      </c>
      <c r="B84" s="211"/>
      <c r="C84" s="142"/>
      <c r="E84" s="156"/>
      <c r="F84" s="143"/>
    </row>
    <row r="85" spans="1:6" ht="15.75" thickTop="1" x14ac:dyDescent="0.25">
      <c r="A85" s="193" t="s">
        <v>143</v>
      </c>
      <c r="B85" s="194" t="s">
        <v>139</v>
      </c>
      <c r="C85" s="199">
        <v>0.01</v>
      </c>
      <c r="D85" s="197">
        <f>E87</f>
        <v>47806862.422765121</v>
      </c>
      <c r="E85" s="205">
        <f>C85*D85</f>
        <v>478068.62422765122</v>
      </c>
      <c r="F85" s="200" t="s">
        <v>144</v>
      </c>
    </row>
    <row r="87" spans="1:6" ht="18.75" x14ac:dyDescent="0.25">
      <c r="A87" s="169" t="s">
        <v>50</v>
      </c>
      <c r="B87" s="176"/>
      <c r="C87" s="153"/>
      <c r="D87" s="152"/>
      <c r="E87" s="201">
        <f>E77+E70+E65+E55+E39+E50+E24+E9+E82</f>
        <v>47806862.422765121</v>
      </c>
      <c r="F87" s="170"/>
    </row>
    <row r="88" spans="1:6" x14ac:dyDescent="0.25">
      <c r="E88" s="229"/>
    </row>
    <row r="89" spans="1:6" s="141" customFormat="1" ht="20.25" thickBot="1" x14ac:dyDescent="0.35">
      <c r="A89" s="141" t="s">
        <v>145</v>
      </c>
      <c r="B89" s="211"/>
      <c r="C89" s="142"/>
      <c r="E89" s="156"/>
      <c r="F89" s="143"/>
    </row>
    <row r="90" spans="1:6" ht="16.5" thickTop="1" x14ac:dyDescent="0.25">
      <c r="A90" t="s">
        <v>146</v>
      </c>
      <c r="C90" s="168"/>
      <c r="D90" s="171">
        <v>7.0000000000000007E-2</v>
      </c>
      <c r="E90" s="204">
        <f>E87*D90</f>
        <v>3346480.3695935588</v>
      </c>
      <c r="F90" s="172"/>
    </row>
    <row r="92" spans="1:6" s="141" customFormat="1" ht="20.25" thickBot="1" x14ac:dyDescent="0.35">
      <c r="A92" s="141" t="s">
        <v>147</v>
      </c>
      <c r="B92" s="211"/>
      <c r="C92" s="142"/>
      <c r="F92" s="143"/>
    </row>
    <row r="93" spans="1:6" ht="19.5" thickTop="1" x14ac:dyDescent="0.25">
      <c r="C93"/>
      <c r="E93" s="202">
        <f>E87+E90+E85</f>
        <v>51631411.416586332</v>
      </c>
    </row>
    <row r="94" spans="1:6" x14ac:dyDescent="0.25">
      <c r="E94" s="136"/>
      <c r="F94" s="173"/>
    </row>
    <row r="95" spans="1:6" x14ac:dyDescent="0.25">
      <c r="E95" s="241"/>
    </row>
    <row r="96" spans="1:6" x14ac:dyDescent="0.25">
      <c r="E96" s="1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P75"/>
  <sheetViews>
    <sheetView showGridLines="0" zoomScale="90" zoomScaleNormal="90" workbookViewId="0">
      <pane ySplit="1" topLeftCell="A6" activePane="bottomLeft" state="frozen"/>
      <selection pane="bottomLeft" activeCell="F6" sqref="F6"/>
    </sheetView>
  </sheetViews>
  <sheetFormatPr defaultColWidth="8.85546875" defaultRowHeight="15" outlineLevelRow="1" x14ac:dyDescent="0.25"/>
  <cols>
    <col min="1" max="1" width="16" customWidth="1"/>
    <col min="2" max="2" width="22" customWidth="1"/>
    <col min="3" max="3" width="36" customWidth="1"/>
    <col min="4" max="5" width="10" customWidth="1"/>
    <col min="6" max="6" width="20" customWidth="1"/>
    <col min="7" max="7" width="14" customWidth="1"/>
    <col min="8" max="8" width="14.7109375" bestFit="1" customWidth="1"/>
    <col min="9" max="9" width="14.7109375" customWidth="1"/>
    <col min="10" max="10" width="14" customWidth="1"/>
    <col min="11" max="11" width="34" customWidth="1"/>
    <col min="13" max="13" width="43.7109375" customWidth="1"/>
    <col min="14" max="14" width="12.85546875" bestFit="1" customWidth="1"/>
    <col min="15" max="15" width="13.28515625" bestFit="1" customWidth="1"/>
    <col min="16" max="16" width="11.42578125" bestFit="1" customWidth="1"/>
  </cols>
  <sheetData>
    <row r="1" spans="1:16" ht="30" x14ac:dyDescent="0.25">
      <c r="A1" s="5" t="s">
        <v>148</v>
      </c>
      <c r="B1" s="5" t="s">
        <v>149</v>
      </c>
      <c r="C1" s="5" t="s">
        <v>150</v>
      </c>
      <c r="D1" s="5" t="s">
        <v>151</v>
      </c>
      <c r="E1" s="5" t="s">
        <v>152</v>
      </c>
      <c r="F1" s="5" t="s">
        <v>153</v>
      </c>
      <c r="G1" s="5" t="s">
        <v>154</v>
      </c>
      <c r="H1" s="5" t="s">
        <v>155</v>
      </c>
      <c r="I1" s="5"/>
      <c r="J1" s="5" t="s">
        <v>156</v>
      </c>
      <c r="K1" s="5" t="s">
        <v>157</v>
      </c>
      <c r="M1" s="6" t="s">
        <v>158</v>
      </c>
      <c r="N1" s="2" t="s">
        <v>159</v>
      </c>
      <c r="O1" s="2" t="s">
        <v>160</v>
      </c>
      <c r="P1" s="2" t="s">
        <v>156</v>
      </c>
    </row>
    <row r="2" spans="1:16" x14ac:dyDescent="0.25">
      <c r="N2" s="17">
        <f>G60</f>
        <v>2657529</v>
      </c>
      <c r="O2" s="17">
        <f>H60</f>
        <v>31890348</v>
      </c>
      <c r="P2" s="17">
        <f>N2/(Inputs!$C$8*1000)</f>
        <v>2657.529</v>
      </c>
    </row>
    <row r="3" spans="1:16" x14ac:dyDescent="0.25">
      <c r="N3" s="2" t="s">
        <v>161</v>
      </c>
      <c r="O3" s="2" t="s">
        <v>162</v>
      </c>
      <c r="P3" s="2" t="s">
        <v>163</v>
      </c>
    </row>
    <row r="4" spans="1:16" x14ac:dyDescent="0.25">
      <c r="N4" s="17" t="e">
        <f>G62</f>
        <v>#REF!</v>
      </c>
      <c r="O4" s="17" t="e">
        <f>H62</f>
        <v>#REF!</v>
      </c>
      <c r="P4" s="17" t="e">
        <f>N4/(Inputs!$C$8*1000)</f>
        <v>#REF!</v>
      </c>
    </row>
    <row r="5" spans="1:16" x14ac:dyDescent="0.25">
      <c r="A5" s="15" t="s">
        <v>164</v>
      </c>
      <c r="B5" s="15"/>
      <c r="C5" s="15"/>
      <c r="D5" s="15"/>
      <c r="E5" s="15"/>
      <c r="F5" s="16">
        <f>SUM(F7:F7)</f>
        <v>0</v>
      </c>
      <c r="G5" s="16">
        <f>SUM(G7:G7)</f>
        <v>0</v>
      </c>
      <c r="H5" s="16">
        <f>SUM(H7:H7)</f>
        <v>0</v>
      </c>
      <c r="I5" s="16">
        <f>SUM('OPEX (2)'!I6)</f>
        <v>1246772.0930232559</v>
      </c>
      <c r="J5" s="16">
        <f>SUM(J7:J7)</f>
        <v>0</v>
      </c>
      <c r="K5" s="15"/>
    </row>
    <row r="6" spans="1:16" ht="30" outlineLevel="1" x14ac:dyDescent="0.25">
      <c r="A6" s="7" t="s">
        <v>165</v>
      </c>
      <c r="B6" s="7" t="s">
        <v>166</v>
      </c>
      <c r="C6" s="7" t="s">
        <v>167</v>
      </c>
      <c r="D6" s="4" t="s">
        <v>168</v>
      </c>
      <c r="E6" s="3">
        <v>1</v>
      </c>
      <c r="K6" s="7" t="s">
        <v>169</v>
      </c>
    </row>
    <row r="7" spans="1:16" outlineLevel="1" x14ac:dyDescent="0.25">
      <c r="A7" s="22"/>
      <c r="B7" s="22" t="s">
        <v>170</v>
      </c>
      <c r="C7" s="22"/>
      <c r="D7" s="23"/>
      <c r="E7" s="24"/>
      <c r="F7" s="25"/>
      <c r="G7" s="25"/>
      <c r="H7" s="25"/>
      <c r="I7" s="25"/>
      <c r="J7" s="24"/>
      <c r="K7" s="22" t="s">
        <v>171</v>
      </c>
    </row>
    <row r="8" spans="1:16" x14ac:dyDescent="0.25">
      <c r="A8" s="7"/>
      <c r="B8" s="7"/>
      <c r="C8" s="7"/>
      <c r="D8" s="4"/>
      <c r="E8" s="3"/>
      <c r="F8" s="8"/>
      <c r="G8" s="8"/>
      <c r="H8" s="8"/>
      <c r="I8" s="8"/>
      <c r="J8" s="3"/>
      <c r="K8" s="7"/>
      <c r="M8" s="20"/>
      <c r="N8" s="21"/>
    </row>
    <row r="9" spans="1:16" x14ac:dyDescent="0.25">
      <c r="A9" s="11" t="s">
        <v>172</v>
      </c>
      <c r="B9" s="11"/>
      <c r="C9" s="11"/>
      <c r="D9" s="12"/>
      <c r="E9" s="13"/>
      <c r="F9" s="14">
        <f>SUM(F10:F21)</f>
        <v>424000</v>
      </c>
      <c r="G9" s="14">
        <f t="shared" ref="G9:J9" si="0">SUM(G10:G21)</f>
        <v>454000</v>
      </c>
      <c r="H9" s="14">
        <f t="shared" si="0"/>
        <v>5448000</v>
      </c>
      <c r="I9" s="14">
        <f t="shared" ref="I9:I34" si="1">H9/TC</f>
        <v>316744.18604651163</v>
      </c>
      <c r="J9" s="14">
        <f t="shared" si="0"/>
        <v>454</v>
      </c>
      <c r="K9" s="11"/>
      <c r="M9" s="20"/>
      <c r="N9" s="21"/>
    </row>
    <row r="10" spans="1:16" s="20" customFormat="1" ht="33" customHeight="1" outlineLevel="1" x14ac:dyDescent="0.25">
      <c r="B10" s="26" t="s">
        <v>173</v>
      </c>
      <c r="C10" s="26" t="s">
        <v>174</v>
      </c>
      <c r="D10" s="2" t="s">
        <v>175</v>
      </c>
      <c r="E10" s="19">
        <v>1</v>
      </c>
      <c r="F10" s="9">
        <v>90000</v>
      </c>
      <c r="G10" s="9">
        <f t="shared" ref="G10:G19" si="2">E10*F10</f>
        <v>90000</v>
      </c>
      <c r="H10" s="9">
        <f t="shared" ref="H10:H19" si="3">G10*12</f>
        <v>1080000</v>
      </c>
      <c r="I10" s="8">
        <f t="shared" si="1"/>
        <v>62790.69767441861</v>
      </c>
      <c r="J10" s="19">
        <f>G10/(Inputs!C8*1000)</f>
        <v>90</v>
      </c>
      <c r="K10" s="26" t="s">
        <v>176</v>
      </c>
      <c r="M10" s="20" t="s">
        <v>586</v>
      </c>
    </row>
    <row r="11" spans="1:16" s="20" customFormat="1" ht="33" customHeight="1" outlineLevel="1" x14ac:dyDescent="0.25">
      <c r="A11" s="26"/>
      <c r="B11" s="26" t="s">
        <v>173</v>
      </c>
      <c r="C11" s="26" t="s">
        <v>177</v>
      </c>
      <c r="D11" s="2" t="s">
        <v>178</v>
      </c>
      <c r="E11" s="19">
        <v>1</v>
      </c>
      <c r="F11" s="9">
        <v>35000</v>
      </c>
      <c r="G11" s="9">
        <f t="shared" si="2"/>
        <v>35000</v>
      </c>
      <c r="H11" s="9">
        <f t="shared" si="3"/>
        <v>420000</v>
      </c>
      <c r="I11" s="8">
        <f t="shared" si="1"/>
        <v>24418.60465116279</v>
      </c>
      <c r="J11" s="19">
        <f>G11/(Inputs!C8*1000)</f>
        <v>35</v>
      </c>
      <c r="K11" s="26" t="s">
        <v>179</v>
      </c>
      <c r="M11" s="20" t="s">
        <v>585</v>
      </c>
    </row>
    <row r="12" spans="1:16" s="20" customFormat="1" ht="33" customHeight="1" outlineLevel="1" x14ac:dyDescent="0.25">
      <c r="A12" s="26"/>
      <c r="B12" s="26" t="s">
        <v>173</v>
      </c>
      <c r="C12" s="26" t="s">
        <v>180</v>
      </c>
      <c r="D12" s="2" t="s">
        <v>181</v>
      </c>
      <c r="E12" s="19">
        <v>2</v>
      </c>
      <c r="F12" s="9">
        <v>30000</v>
      </c>
      <c r="G12" s="9">
        <f t="shared" si="2"/>
        <v>60000</v>
      </c>
      <c r="H12" s="9">
        <f t="shared" si="3"/>
        <v>720000</v>
      </c>
      <c r="I12" s="8">
        <f t="shared" si="1"/>
        <v>41860.465116279069</v>
      </c>
      <c r="J12" s="19">
        <f>G12/(Inputs!C8*1000)</f>
        <v>60</v>
      </c>
      <c r="K12" s="26" t="s">
        <v>182</v>
      </c>
    </row>
    <row r="13" spans="1:16" s="20" customFormat="1" ht="33" customHeight="1" outlineLevel="1" x14ac:dyDescent="0.25">
      <c r="A13" s="26"/>
      <c r="B13" s="26" t="s">
        <v>173</v>
      </c>
      <c r="C13" s="26" t="s">
        <v>183</v>
      </c>
      <c r="D13" s="2" t="s">
        <v>168</v>
      </c>
      <c r="E13" s="19">
        <v>1</v>
      </c>
      <c r="F13" s="9">
        <v>12000</v>
      </c>
      <c r="G13" s="9">
        <f t="shared" si="2"/>
        <v>12000</v>
      </c>
      <c r="H13" s="9">
        <f t="shared" si="3"/>
        <v>144000</v>
      </c>
      <c r="I13" s="8">
        <f t="shared" si="1"/>
        <v>8372.0930232558148</v>
      </c>
      <c r="J13" s="19">
        <f>G13/(Inputs!C8*1000)</f>
        <v>12</v>
      </c>
      <c r="K13" s="26" t="s">
        <v>184</v>
      </c>
      <c r="P13" s="218"/>
    </row>
    <row r="14" spans="1:16" s="20" customFormat="1" ht="33" customHeight="1" outlineLevel="1" x14ac:dyDescent="0.25">
      <c r="A14" s="26"/>
      <c r="B14" s="26" t="s">
        <v>185</v>
      </c>
      <c r="C14" s="26" t="s">
        <v>186</v>
      </c>
      <c r="D14" s="2" t="s">
        <v>187</v>
      </c>
      <c r="E14" s="19">
        <v>1</v>
      </c>
      <c r="F14" s="9">
        <v>18000</v>
      </c>
      <c r="G14" s="9">
        <f t="shared" si="2"/>
        <v>18000</v>
      </c>
      <c r="H14" s="9">
        <f t="shared" si="3"/>
        <v>216000</v>
      </c>
      <c r="I14" s="8">
        <f t="shared" si="1"/>
        <v>12558.139534883721</v>
      </c>
      <c r="J14" s="19">
        <f>G14/(Inputs!C8*1000)</f>
        <v>18</v>
      </c>
      <c r="K14" s="26" t="s">
        <v>188</v>
      </c>
    </row>
    <row r="15" spans="1:16" s="20" customFormat="1" ht="33" customHeight="1" outlineLevel="1" x14ac:dyDescent="0.25">
      <c r="A15" s="26"/>
      <c r="B15" s="26" t="s">
        <v>189</v>
      </c>
      <c r="C15" s="26" t="s">
        <v>190</v>
      </c>
      <c r="D15" s="2" t="s">
        <v>187</v>
      </c>
      <c r="E15" s="19">
        <v>1</v>
      </c>
      <c r="F15" s="9">
        <v>140000</v>
      </c>
      <c r="G15" s="9">
        <f t="shared" si="2"/>
        <v>140000</v>
      </c>
      <c r="H15" s="9">
        <f t="shared" si="3"/>
        <v>1680000</v>
      </c>
      <c r="I15" s="8">
        <f t="shared" si="1"/>
        <v>97674.41860465116</v>
      </c>
      <c r="J15" s="19">
        <f>G15/(Inputs!C8*1000)</f>
        <v>140</v>
      </c>
      <c r="K15" s="26" t="s">
        <v>191</v>
      </c>
    </row>
    <row r="16" spans="1:16" s="20" customFormat="1" ht="33" customHeight="1" outlineLevel="1" x14ac:dyDescent="0.25">
      <c r="A16" s="26"/>
      <c r="B16" s="26" t="s">
        <v>189</v>
      </c>
      <c r="C16" s="26" t="s">
        <v>192</v>
      </c>
      <c r="D16" s="2" t="s">
        <v>187</v>
      </c>
      <c r="E16" s="19">
        <v>1</v>
      </c>
      <c r="F16" s="9">
        <v>15000</v>
      </c>
      <c r="G16" s="9">
        <f t="shared" si="2"/>
        <v>15000</v>
      </c>
      <c r="H16" s="9">
        <f t="shared" si="3"/>
        <v>180000</v>
      </c>
      <c r="I16" s="8">
        <f t="shared" si="1"/>
        <v>10465.116279069767</v>
      </c>
      <c r="J16" s="19">
        <f>G16/(Inputs!C8*1000)</f>
        <v>15</v>
      </c>
      <c r="K16" s="26" t="s">
        <v>193</v>
      </c>
    </row>
    <row r="17" spans="1:16" s="20" customFormat="1" ht="33" customHeight="1" outlineLevel="1" x14ac:dyDescent="0.25">
      <c r="A17" s="26"/>
      <c r="B17" s="26" t="s">
        <v>194</v>
      </c>
      <c r="C17" s="26" t="s">
        <v>195</v>
      </c>
      <c r="D17" s="2" t="s">
        <v>187</v>
      </c>
      <c r="E17" s="19">
        <v>1</v>
      </c>
      <c r="F17" s="9">
        <v>30000</v>
      </c>
      <c r="G17" s="9">
        <f t="shared" si="2"/>
        <v>30000</v>
      </c>
      <c r="H17" s="9">
        <f t="shared" si="3"/>
        <v>360000</v>
      </c>
      <c r="I17" s="8">
        <f t="shared" si="1"/>
        <v>20930.232558139534</v>
      </c>
      <c r="J17" s="19">
        <f>G17/(Inputs!C8*1000)</f>
        <v>30</v>
      </c>
      <c r="K17" s="26" t="s">
        <v>196</v>
      </c>
    </row>
    <row r="18" spans="1:16" s="20" customFormat="1" ht="33" customHeight="1" outlineLevel="1" x14ac:dyDescent="0.25">
      <c r="A18" s="26"/>
      <c r="B18" s="27" t="s">
        <v>197</v>
      </c>
      <c r="C18" s="27" t="s">
        <v>198</v>
      </c>
      <c r="D18" s="28" t="s">
        <v>187</v>
      </c>
      <c r="E18" s="29">
        <v>1</v>
      </c>
      <c r="F18" s="30">
        <v>40000</v>
      </c>
      <c r="G18" s="30">
        <f t="shared" si="2"/>
        <v>40000</v>
      </c>
      <c r="H18" s="30">
        <f t="shared" si="3"/>
        <v>480000</v>
      </c>
      <c r="I18" s="8">
        <f t="shared" si="1"/>
        <v>27906.976744186049</v>
      </c>
      <c r="J18" s="29">
        <f>G18/(Inputs!C8*1000)</f>
        <v>40</v>
      </c>
      <c r="K18" s="27" t="s">
        <v>199</v>
      </c>
    </row>
    <row r="19" spans="1:16" s="20" customFormat="1" ht="33" customHeight="1" outlineLevel="1" x14ac:dyDescent="0.25">
      <c r="A19" s="26"/>
      <c r="B19" s="26" t="s">
        <v>200</v>
      </c>
      <c r="C19" s="26" t="s">
        <v>201</v>
      </c>
      <c r="D19" s="2" t="s">
        <v>187</v>
      </c>
      <c r="E19" s="19">
        <v>1</v>
      </c>
      <c r="F19" s="9">
        <v>6000</v>
      </c>
      <c r="G19" s="9">
        <f t="shared" si="2"/>
        <v>6000</v>
      </c>
      <c r="H19" s="9">
        <f t="shared" si="3"/>
        <v>72000</v>
      </c>
      <c r="I19" s="8">
        <f t="shared" si="1"/>
        <v>4186.0465116279074</v>
      </c>
      <c r="J19" s="19">
        <f>G19/(Inputs!C8*1000)</f>
        <v>6</v>
      </c>
      <c r="K19" s="26" t="s">
        <v>202</v>
      </c>
      <c r="N19" s="218"/>
    </row>
    <row r="20" spans="1:16" s="20" customFormat="1" ht="33" customHeight="1" outlineLevel="1" x14ac:dyDescent="0.25">
      <c r="A20" s="26"/>
      <c r="B20" s="27" t="s">
        <v>200</v>
      </c>
      <c r="C20" s="27" t="s">
        <v>203</v>
      </c>
      <c r="D20" s="28" t="s">
        <v>175</v>
      </c>
      <c r="E20" s="29">
        <v>1</v>
      </c>
      <c r="F20" s="30"/>
      <c r="G20" s="30">
        <f t="shared" ref="G20" si="4">E20*F20</f>
        <v>0</v>
      </c>
      <c r="H20" s="30">
        <f t="shared" ref="H20" si="5">G20*12</f>
        <v>0</v>
      </c>
      <c r="I20" s="8">
        <f t="shared" si="1"/>
        <v>0</v>
      </c>
      <c r="J20" s="29">
        <f>G20/(Inputs!C8*1000)</f>
        <v>0</v>
      </c>
      <c r="K20" s="27"/>
    </row>
    <row r="21" spans="1:16" s="20" customFormat="1" ht="33" customHeight="1" outlineLevel="1" x14ac:dyDescent="0.25">
      <c r="A21" s="26"/>
      <c r="B21" s="26" t="s">
        <v>200</v>
      </c>
      <c r="C21" s="26" t="s">
        <v>204</v>
      </c>
      <c r="D21" s="2" t="s">
        <v>187</v>
      </c>
      <c r="E21" s="19">
        <v>1</v>
      </c>
      <c r="F21" s="9">
        <v>8000</v>
      </c>
      <c r="G21" s="9">
        <f>E21*F21</f>
        <v>8000</v>
      </c>
      <c r="H21" s="9">
        <f>G21*12</f>
        <v>96000</v>
      </c>
      <c r="I21" s="8">
        <f t="shared" si="1"/>
        <v>5581.3953488372099</v>
      </c>
      <c r="J21" s="19">
        <f>G21/(Inputs!C8*1000)</f>
        <v>8</v>
      </c>
      <c r="K21" s="26" t="s">
        <v>205</v>
      </c>
    </row>
    <row r="22" spans="1:16" x14ac:dyDescent="0.25">
      <c r="A22" s="7"/>
      <c r="B22" s="7"/>
      <c r="C22" s="7"/>
      <c r="D22" s="4"/>
      <c r="E22" s="3"/>
      <c r="F22" s="8"/>
      <c r="G22" s="8"/>
      <c r="H22" s="8"/>
      <c r="I22" s="8">
        <f t="shared" si="1"/>
        <v>0</v>
      </c>
      <c r="J22" s="3"/>
      <c r="K22" s="7"/>
    </row>
    <row r="23" spans="1:16" x14ac:dyDescent="0.25">
      <c r="A23" s="11" t="s">
        <v>206</v>
      </c>
      <c r="B23" s="11"/>
      <c r="C23" s="11"/>
      <c r="D23" s="12"/>
      <c r="E23" s="13"/>
      <c r="F23" s="14">
        <f>SUM(F24:F34)</f>
        <v>555800</v>
      </c>
      <c r="G23" s="14">
        <f t="shared" ref="G23:J23" si="6">SUM(G24:G34)</f>
        <v>673400</v>
      </c>
      <c r="H23" s="14">
        <f t="shared" si="6"/>
        <v>8080800</v>
      </c>
      <c r="I23" s="8">
        <f t="shared" si="1"/>
        <v>469813.95348837209</v>
      </c>
      <c r="J23" s="14">
        <f t="shared" si="6"/>
        <v>673.4</v>
      </c>
      <c r="K23" s="11"/>
    </row>
    <row r="24" spans="1:16" s="20" customFormat="1" ht="33" customHeight="1" outlineLevel="1" x14ac:dyDescent="0.25">
      <c r="A24" s="26" t="s">
        <v>207</v>
      </c>
      <c r="B24" s="26" t="s">
        <v>208</v>
      </c>
      <c r="C24" s="26" t="s">
        <v>209</v>
      </c>
      <c r="D24" s="2" t="s">
        <v>210</v>
      </c>
      <c r="E24" s="19">
        <v>3</v>
      </c>
      <c r="F24" s="9">
        <v>42000</v>
      </c>
      <c r="G24" s="9">
        <f t="shared" ref="G24:G34" si="7">E24*F24</f>
        <v>126000</v>
      </c>
      <c r="H24" s="9">
        <f t="shared" ref="H24:H34" si="8">G24*12</f>
        <v>1512000</v>
      </c>
      <c r="I24" s="8">
        <f t="shared" si="1"/>
        <v>87906.976744186046</v>
      </c>
      <c r="J24" s="19">
        <f>G24/(Inputs!C8*1000)</f>
        <v>126</v>
      </c>
      <c r="K24" s="26" t="s">
        <v>211</v>
      </c>
      <c r="M24" s="20" t="s">
        <v>574</v>
      </c>
      <c r="N24" s="20" t="s">
        <v>582</v>
      </c>
    </row>
    <row r="25" spans="1:16" s="20" customFormat="1" ht="33" customHeight="1" outlineLevel="1" x14ac:dyDescent="0.25">
      <c r="A25" s="26" t="s">
        <v>207</v>
      </c>
      <c r="B25" s="26" t="s">
        <v>208</v>
      </c>
      <c r="C25" s="26" t="s">
        <v>212</v>
      </c>
      <c r="D25" s="2" t="s">
        <v>210</v>
      </c>
      <c r="E25" s="19">
        <v>3</v>
      </c>
      <c r="F25" s="9">
        <f>42000*(Inputs!C6+Inputs!C7)</f>
        <v>16800</v>
      </c>
      <c r="G25" s="9">
        <f t="shared" si="7"/>
        <v>50400</v>
      </c>
      <c r="H25" s="9">
        <f t="shared" si="8"/>
        <v>604800</v>
      </c>
      <c r="I25" s="8">
        <f t="shared" si="1"/>
        <v>35162.79069767442</v>
      </c>
      <c r="J25" s="19">
        <f>G25/(Inputs!C8*1000)</f>
        <v>50.4</v>
      </c>
      <c r="K25" s="26" t="s">
        <v>213</v>
      </c>
      <c r="M25" s="20" t="s">
        <v>566</v>
      </c>
      <c r="N25" s="20" t="s">
        <v>576</v>
      </c>
      <c r="O25" s="20" t="s">
        <v>577</v>
      </c>
      <c r="P25" s="20" t="s">
        <v>578</v>
      </c>
    </row>
    <row r="26" spans="1:16" s="20" customFormat="1" ht="33" customHeight="1" outlineLevel="1" x14ac:dyDescent="0.25">
      <c r="A26" s="26" t="s">
        <v>207</v>
      </c>
      <c r="B26" s="26" t="s">
        <v>214</v>
      </c>
      <c r="C26" s="26" t="s">
        <v>215</v>
      </c>
      <c r="D26" s="2" t="s">
        <v>210</v>
      </c>
      <c r="E26" s="19">
        <v>1</v>
      </c>
      <c r="F26" s="9">
        <v>75000</v>
      </c>
      <c r="G26" s="9">
        <f t="shared" si="7"/>
        <v>75000</v>
      </c>
      <c r="H26" s="9">
        <f t="shared" si="8"/>
        <v>900000</v>
      </c>
      <c r="I26" s="8">
        <f t="shared" si="1"/>
        <v>52325.58139534884</v>
      </c>
      <c r="J26" s="19">
        <f>G26/(Inputs!C8*1000)</f>
        <v>75</v>
      </c>
      <c r="K26" s="26" t="s">
        <v>216</v>
      </c>
      <c r="M26" s="20" t="s">
        <v>575</v>
      </c>
      <c r="N26" s="20" t="s">
        <v>576</v>
      </c>
      <c r="O26" s="20" t="s">
        <v>577</v>
      </c>
      <c r="P26" s="20" t="s">
        <v>578</v>
      </c>
    </row>
    <row r="27" spans="1:16" s="20" customFormat="1" ht="33" customHeight="1" outlineLevel="1" x14ac:dyDescent="0.25">
      <c r="A27" s="26" t="s">
        <v>207</v>
      </c>
      <c r="B27" s="26" t="s">
        <v>214</v>
      </c>
      <c r="C27" s="26" t="s">
        <v>217</v>
      </c>
      <c r="D27" s="2" t="s">
        <v>210</v>
      </c>
      <c r="E27" s="19">
        <v>1</v>
      </c>
      <c r="F27" s="9">
        <f>75000*(Inputs!C6+Inputs!C7)</f>
        <v>30000</v>
      </c>
      <c r="G27" s="9">
        <f t="shared" si="7"/>
        <v>30000</v>
      </c>
      <c r="H27" s="9">
        <f t="shared" si="8"/>
        <v>360000</v>
      </c>
      <c r="I27" s="8">
        <f t="shared" si="1"/>
        <v>20930.232558139534</v>
      </c>
      <c r="J27" s="19">
        <f>G27/(Inputs!C8*1000)</f>
        <v>30</v>
      </c>
      <c r="K27" s="26" t="s">
        <v>213</v>
      </c>
      <c r="M27" s="20" t="s">
        <v>579</v>
      </c>
      <c r="N27" s="20" t="s">
        <v>566</v>
      </c>
      <c r="P27" s="20" t="s">
        <v>566</v>
      </c>
    </row>
    <row r="28" spans="1:16" s="20" customFormat="1" ht="33" customHeight="1" outlineLevel="1" x14ac:dyDescent="0.25">
      <c r="A28" s="26" t="s">
        <v>218</v>
      </c>
      <c r="B28" s="26" t="s">
        <v>219</v>
      </c>
      <c r="C28" s="26" t="s">
        <v>220</v>
      </c>
      <c r="D28" s="2" t="s">
        <v>210</v>
      </c>
      <c r="E28" s="19">
        <v>1</v>
      </c>
      <c r="F28" s="9">
        <v>90000</v>
      </c>
      <c r="G28" s="9">
        <f t="shared" si="7"/>
        <v>90000</v>
      </c>
      <c r="H28" s="9">
        <f t="shared" si="8"/>
        <v>1080000</v>
      </c>
      <c r="I28" s="8">
        <f t="shared" si="1"/>
        <v>62790.69767441861</v>
      </c>
      <c r="J28" s="19">
        <f>G28/(Inputs!C8*1000)</f>
        <v>90</v>
      </c>
      <c r="K28" s="26" t="s">
        <v>221</v>
      </c>
      <c r="M28" s="20" t="s">
        <v>580</v>
      </c>
    </row>
    <row r="29" spans="1:16" s="20" customFormat="1" ht="33" customHeight="1" outlineLevel="1" x14ac:dyDescent="0.25">
      <c r="A29" s="26" t="s">
        <v>218</v>
      </c>
      <c r="B29" s="26" t="s">
        <v>219</v>
      </c>
      <c r="C29" s="26" t="s">
        <v>222</v>
      </c>
      <c r="D29" s="2" t="s">
        <v>210</v>
      </c>
      <c r="E29" s="19">
        <v>1</v>
      </c>
      <c r="F29" s="9">
        <f>90000*(Inputs!C6+Inputs!C7)</f>
        <v>36000</v>
      </c>
      <c r="G29" s="9">
        <f t="shared" si="7"/>
        <v>36000</v>
      </c>
      <c r="H29" s="9">
        <f t="shared" si="8"/>
        <v>432000</v>
      </c>
      <c r="I29" s="8">
        <f t="shared" si="1"/>
        <v>25116.279069767443</v>
      </c>
      <c r="J29" s="19">
        <f>G29/(Inputs!C8*1000)</f>
        <v>36</v>
      </c>
      <c r="K29" s="26" t="s">
        <v>213</v>
      </c>
      <c r="M29" s="20" t="s">
        <v>581</v>
      </c>
    </row>
    <row r="30" spans="1:16" s="20" customFormat="1" ht="33" customHeight="1" outlineLevel="1" x14ac:dyDescent="0.25">
      <c r="A30" s="26" t="s">
        <v>218</v>
      </c>
      <c r="B30" s="26" t="s">
        <v>223</v>
      </c>
      <c r="C30" s="26" t="s">
        <v>224</v>
      </c>
      <c r="D30" s="2" t="s">
        <v>210</v>
      </c>
      <c r="E30" s="19">
        <v>1</v>
      </c>
      <c r="F30" s="9">
        <v>100000</v>
      </c>
      <c r="G30" s="9">
        <f t="shared" si="7"/>
        <v>100000</v>
      </c>
      <c r="H30" s="9">
        <f t="shared" si="8"/>
        <v>1200000</v>
      </c>
      <c r="I30" s="8">
        <f t="shared" si="1"/>
        <v>69767.441860465115</v>
      </c>
      <c r="J30" s="19">
        <f>G30/(Inputs!C8*1000)</f>
        <v>100</v>
      </c>
      <c r="K30" s="26" t="s">
        <v>225</v>
      </c>
      <c r="M30" s="20" t="s">
        <v>583</v>
      </c>
    </row>
    <row r="31" spans="1:16" s="20" customFormat="1" ht="33" customHeight="1" outlineLevel="1" x14ac:dyDescent="0.25">
      <c r="A31" s="26" t="s">
        <v>218</v>
      </c>
      <c r="B31" s="26" t="s">
        <v>223</v>
      </c>
      <c r="C31" s="26" t="s">
        <v>226</v>
      </c>
      <c r="D31" s="2" t="s">
        <v>210</v>
      </c>
      <c r="E31" s="19">
        <v>1</v>
      </c>
      <c r="F31" s="9">
        <f>100000*(Inputs!C6+Inputs!C7)</f>
        <v>40000</v>
      </c>
      <c r="G31" s="9">
        <f t="shared" si="7"/>
        <v>40000</v>
      </c>
      <c r="H31" s="9">
        <f t="shared" si="8"/>
        <v>480000</v>
      </c>
      <c r="I31" s="8">
        <f t="shared" si="1"/>
        <v>27906.976744186049</v>
      </c>
      <c r="J31" s="19">
        <f>G31/(Inputs!C8*1000)</f>
        <v>40</v>
      </c>
      <c r="K31" s="26" t="s">
        <v>213</v>
      </c>
      <c r="M31" s="20" t="s">
        <v>584</v>
      </c>
    </row>
    <row r="32" spans="1:16" s="20" customFormat="1" ht="33" customHeight="1" outlineLevel="1" x14ac:dyDescent="0.25">
      <c r="A32" s="26" t="s">
        <v>218</v>
      </c>
      <c r="B32" s="26" t="s">
        <v>227</v>
      </c>
      <c r="C32" s="26" t="s">
        <v>228</v>
      </c>
      <c r="D32" s="2" t="s">
        <v>210</v>
      </c>
      <c r="E32" s="19">
        <v>1</v>
      </c>
      <c r="F32" s="9">
        <v>65000</v>
      </c>
      <c r="G32" s="9">
        <f t="shared" si="7"/>
        <v>65000</v>
      </c>
      <c r="H32" s="9">
        <f t="shared" si="8"/>
        <v>780000</v>
      </c>
      <c r="I32" s="8">
        <f t="shared" si="1"/>
        <v>45348.837209302328</v>
      </c>
      <c r="J32" s="19">
        <f>G32/(Inputs!C8*1000)</f>
        <v>65</v>
      </c>
      <c r="K32" s="26" t="s">
        <v>229</v>
      </c>
    </row>
    <row r="33" spans="1:13" s="20" customFormat="1" ht="33" customHeight="1" outlineLevel="1" x14ac:dyDescent="0.25">
      <c r="A33" s="26" t="s">
        <v>218</v>
      </c>
      <c r="B33" s="26" t="s">
        <v>227</v>
      </c>
      <c r="C33" s="26" t="s">
        <v>230</v>
      </c>
      <c r="D33" s="2" t="s">
        <v>210</v>
      </c>
      <c r="E33" s="19">
        <v>1</v>
      </c>
      <c r="F33" s="9">
        <f>65000*(Inputs!C6+Inputs!C7)</f>
        <v>26000</v>
      </c>
      <c r="G33" s="9">
        <f t="shared" si="7"/>
        <v>26000</v>
      </c>
      <c r="H33" s="9">
        <f t="shared" si="8"/>
        <v>312000</v>
      </c>
      <c r="I33" s="8">
        <f t="shared" si="1"/>
        <v>18139.534883720931</v>
      </c>
      <c r="J33" s="19">
        <f>G33/(Inputs!C8*1000)</f>
        <v>26</v>
      </c>
      <c r="K33" s="26" t="s">
        <v>213</v>
      </c>
      <c r="M33" s="20" t="s">
        <v>587</v>
      </c>
    </row>
    <row r="34" spans="1:13" s="20" customFormat="1" ht="33" customHeight="1" outlineLevel="1" x14ac:dyDescent="0.25">
      <c r="A34" s="26" t="s">
        <v>218</v>
      </c>
      <c r="B34" s="26" t="s">
        <v>194</v>
      </c>
      <c r="C34" s="26" t="s">
        <v>231</v>
      </c>
      <c r="D34" s="2" t="s">
        <v>168</v>
      </c>
      <c r="E34" s="19">
        <v>1</v>
      </c>
      <c r="F34" s="9">
        <v>35000</v>
      </c>
      <c r="G34" s="9">
        <f t="shared" si="7"/>
        <v>35000</v>
      </c>
      <c r="H34" s="9">
        <f t="shared" si="8"/>
        <v>420000</v>
      </c>
      <c r="I34" s="8">
        <f t="shared" si="1"/>
        <v>24418.60465116279</v>
      </c>
      <c r="J34" s="19">
        <f>G34/(Inputs!C8*1000)</f>
        <v>35</v>
      </c>
      <c r="K34" s="26" t="s">
        <v>232</v>
      </c>
    </row>
    <row r="35" spans="1:13" x14ac:dyDescent="0.25">
      <c r="A35" s="7"/>
      <c r="B35" s="7"/>
      <c r="C35" s="7"/>
      <c r="D35" s="4"/>
      <c r="E35" s="3"/>
      <c r="F35" s="8"/>
      <c r="G35" s="8"/>
      <c r="H35" s="8"/>
      <c r="I35" s="8"/>
      <c r="J35" s="3"/>
      <c r="K35" s="7"/>
      <c r="M35" s="20" t="s">
        <v>588</v>
      </c>
    </row>
    <row r="36" spans="1:13" x14ac:dyDescent="0.25">
      <c r="A36" s="11" t="s">
        <v>233</v>
      </c>
      <c r="B36" s="11"/>
      <c r="C36" s="11"/>
      <c r="D36" s="12"/>
      <c r="E36" s="13"/>
      <c r="F36" s="14">
        <f>SUM(F37:F43)</f>
        <v>429155</v>
      </c>
      <c r="G36" s="14">
        <f>SUM(G37:G43)</f>
        <v>960129</v>
      </c>
      <c r="H36" s="14">
        <f>SUM(H37:H43)</f>
        <v>11521548</v>
      </c>
      <c r="I36" s="8">
        <f t="shared" ref="I36:I43" si="9">H36/TC</f>
        <v>669857.4418604651</v>
      </c>
      <c r="J36" s="14">
        <f>SUM(J37:J43)</f>
        <v>960.12900000000013</v>
      </c>
      <c r="K36" s="11"/>
      <c r="M36" s="20" t="s">
        <v>589</v>
      </c>
    </row>
    <row r="37" spans="1:13" s="20" customFormat="1" ht="27.95" customHeight="1" outlineLevel="1" x14ac:dyDescent="0.25">
      <c r="A37" s="26" t="s">
        <v>233</v>
      </c>
      <c r="B37" s="26" t="s">
        <v>234</v>
      </c>
      <c r="C37" s="26" t="s">
        <v>235</v>
      </c>
      <c r="D37" s="2" t="s">
        <v>236</v>
      </c>
      <c r="E37" s="19">
        <v>2</v>
      </c>
      <c r="F37" s="9">
        <v>26100</v>
      </c>
      <c r="G37" s="9">
        <f>E37*F37</f>
        <v>52200</v>
      </c>
      <c r="H37" s="9">
        <f>G37*12</f>
        <v>626400</v>
      </c>
      <c r="I37" s="8">
        <f t="shared" si="9"/>
        <v>36418.604651162794</v>
      </c>
      <c r="J37" s="19">
        <f>G37/(Inputs!C8*1000)</f>
        <v>52.2</v>
      </c>
      <c r="K37" s="26" t="s">
        <v>237</v>
      </c>
      <c r="M37" s="20" t="s">
        <v>590</v>
      </c>
    </row>
    <row r="38" spans="1:13" s="20" customFormat="1" ht="27.95" customHeight="1" outlineLevel="1" x14ac:dyDescent="0.25">
      <c r="A38" s="27" t="s">
        <v>233</v>
      </c>
      <c r="B38" s="27" t="s">
        <v>234</v>
      </c>
      <c r="C38" s="27" t="s">
        <v>238</v>
      </c>
      <c r="D38" s="28" t="s">
        <v>236</v>
      </c>
      <c r="E38" s="29">
        <v>3</v>
      </c>
      <c r="F38" s="30">
        <v>252437</v>
      </c>
      <c r="G38" s="30">
        <f>E38*F38</f>
        <v>757311</v>
      </c>
      <c r="H38" s="30">
        <f>G38*12</f>
        <v>9087732</v>
      </c>
      <c r="I38" s="8">
        <f t="shared" si="9"/>
        <v>528356.51162790705</v>
      </c>
      <c r="J38" s="29">
        <f>G38/(Inputs!C8*1000)</f>
        <v>757.31100000000004</v>
      </c>
      <c r="K38" s="27" t="s">
        <v>239</v>
      </c>
      <c r="M38" s="20" t="s">
        <v>591</v>
      </c>
    </row>
    <row r="39" spans="1:13" s="20" customFormat="1" ht="27.95" customHeight="1" outlineLevel="1" x14ac:dyDescent="0.25">
      <c r="A39" s="26" t="s">
        <v>233</v>
      </c>
      <c r="B39" s="26" t="s">
        <v>234</v>
      </c>
      <c r="C39" s="26" t="s">
        <v>240</v>
      </c>
      <c r="D39" s="2" t="s">
        <v>168</v>
      </c>
      <c r="E39" s="19">
        <v>1</v>
      </c>
      <c r="F39" s="9">
        <v>34618</v>
      </c>
      <c r="G39" s="9">
        <f t="shared" ref="G39" si="10">E39*F39</f>
        <v>34618</v>
      </c>
      <c r="H39" s="9">
        <f t="shared" ref="H39" si="11">G39*12</f>
        <v>415416</v>
      </c>
      <c r="I39" s="8">
        <f t="shared" si="9"/>
        <v>24152.093023255817</v>
      </c>
      <c r="J39" s="19">
        <f>G39/(Inputs!C8*1000)</f>
        <v>34.618000000000002</v>
      </c>
      <c r="K39" s="26" t="s">
        <v>237</v>
      </c>
    </row>
    <row r="40" spans="1:13" s="20" customFormat="1" ht="27.95" customHeight="1" outlineLevel="1" x14ac:dyDescent="0.25">
      <c r="A40" s="26" t="s">
        <v>233</v>
      </c>
      <c r="B40" s="26" t="s">
        <v>241</v>
      </c>
      <c r="C40" s="26" t="s">
        <v>242</v>
      </c>
      <c r="D40" s="2" t="s">
        <v>168</v>
      </c>
      <c r="E40" s="19">
        <v>1</v>
      </c>
      <c r="F40" s="9">
        <v>15000</v>
      </c>
      <c r="G40" s="9">
        <f>E40*F40</f>
        <v>15000</v>
      </c>
      <c r="H40" s="9">
        <f>G40*12</f>
        <v>180000</v>
      </c>
      <c r="I40" s="8">
        <f t="shared" si="9"/>
        <v>10465.116279069767</v>
      </c>
      <c r="J40" s="19">
        <f>G40/(Inputs!C8*1000)</f>
        <v>15</v>
      </c>
      <c r="K40" s="26" t="s">
        <v>243</v>
      </c>
    </row>
    <row r="41" spans="1:13" s="20" customFormat="1" ht="27.95" customHeight="1" outlineLevel="1" x14ac:dyDescent="0.25">
      <c r="A41" s="26" t="s">
        <v>233</v>
      </c>
      <c r="B41" s="26" t="s">
        <v>244</v>
      </c>
      <c r="C41" s="26" t="s">
        <v>245</v>
      </c>
      <c r="D41" s="2" t="s">
        <v>168</v>
      </c>
      <c r="E41" s="19">
        <v>1</v>
      </c>
      <c r="F41" s="9">
        <v>25000</v>
      </c>
      <c r="G41" s="9">
        <f>E41*F41</f>
        <v>25000</v>
      </c>
      <c r="H41" s="9">
        <f>G41*12</f>
        <v>300000</v>
      </c>
      <c r="I41" s="8">
        <f t="shared" si="9"/>
        <v>17441.860465116279</v>
      </c>
      <c r="J41" s="19">
        <f>G41/(Inputs!C8*1000)</f>
        <v>25</v>
      </c>
      <c r="K41" s="26" t="s">
        <v>246</v>
      </c>
    </row>
    <row r="42" spans="1:13" s="20" customFormat="1" ht="27.95" customHeight="1" outlineLevel="1" x14ac:dyDescent="0.25">
      <c r="A42" s="27" t="s">
        <v>233</v>
      </c>
      <c r="B42" s="27" t="s">
        <v>247</v>
      </c>
      <c r="C42" s="27" t="s">
        <v>248</v>
      </c>
      <c r="D42" s="28" t="s">
        <v>168</v>
      </c>
      <c r="E42" s="29">
        <v>1</v>
      </c>
      <c r="F42" s="30">
        <v>70000</v>
      </c>
      <c r="G42" s="30">
        <f>E42*F42</f>
        <v>70000</v>
      </c>
      <c r="H42" s="30">
        <f>G42*12</f>
        <v>840000</v>
      </c>
      <c r="I42" s="8">
        <f t="shared" si="9"/>
        <v>48837.20930232558</v>
      </c>
      <c r="J42" s="29">
        <f>G42/(Inputs!C8*1000)</f>
        <v>70</v>
      </c>
      <c r="K42" s="27" t="s">
        <v>249</v>
      </c>
    </row>
    <row r="43" spans="1:13" s="20" customFormat="1" ht="27.95" customHeight="1" outlineLevel="1" x14ac:dyDescent="0.25">
      <c r="A43" s="26" t="s">
        <v>233</v>
      </c>
      <c r="B43" s="26" t="s">
        <v>250</v>
      </c>
      <c r="C43" s="26" t="s">
        <v>251</v>
      </c>
      <c r="D43" s="2" t="s">
        <v>168</v>
      </c>
      <c r="E43" s="19">
        <v>1</v>
      </c>
      <c r="F43" s="9">
        <v>6000</v>
      </c>
      <c r="G43" s="9">
        <f>E43*F43</f>
        <v>6000</v>
      </c>
      <c r="H43" s="9">
        <f>G43*12</f>
        <v>72000</v>
      </c>
      <c r="I43" s="8">
        <f t="shared" si="9"/>
        <v>4186.0465116279074</v>
      </c>
      <c r="J43" s="19">
        <f>G43/(Inputs!C8*1000)</f>
        <v>6</v>
      </c>
      <c r="K43" s="26" t="s">
        <v>252</v>
      </c>
    </row>
    <row r="44" spans="1:13" x14ac:dyDescent="0.25">
      <c r="A44" s="7"/>
      <c r="B44" s="7"/>
      <c r="C44" s="7"/>
      <c r="D44" s="4"/>
      <c r="E44" s="3"/>
      <c r="F44" s="8"/>
      <c r="G44" s="8"/>
      <c r="H44" s="8"/>
      <c r="I44" s="8"/>
      <c r="J44" s="3"/>
      <c r="K44" s="7"/>
    </row>
    <row r="45" spans="1:13" x14ac:dyDescent="0.25">
      <c r="A45" s="11" t="s">
        <v>253</v>
      </c>
      <c r="B45" s="11"/>
      <c r="C45" s="11"/>
      <c r="D45" s="12"/>
      <c r="E45" s="13"/>
      <c r="F45" s="14">
        <f>SUM(F46:F47)</f>
        <v>145000</v>
      </c>
      <c r="G45" s="14">
        <f>SUM(G46:G47)</f>
        <v>145000</v>
      </c>
      <c r="H45" s="14">
        <f>SUM(H46:H47)</f>
        <v>1740000</v>
      </c>
      <c r="I45" s="8">
        <f>H45/TC</f>
        <v>101162.79069767443</v>
      </c>
      <c r="J45" s="14">
        <f>SUM(J46:J47)</f>
        <v>145</v>
      </c>
      <c r="K45" s="11"/>
    </row>
    <row r="46" spans="1:13" s="20" customFormat="1" ht="33" customHeight="1" outlineLevel="1" x14ac:dyDescent="0.25">
      <c r="A46" s="26" t="s">
        <v>253</v>
      </c>
      <c r="B46" s="26" t="s">
        <v>254</v>
      </c>
      <c r="C46" s="26" t="s">
        <v>255</v>
      </c>
      <c r="D46" s="2" t="s">
        <v>168</v>
      </c>
      <c r="E46" s="19">
        <v>1</v>
      </c>
      <c r="F46" s="9">
        <v>120000</v>
      </c>
      <c r="G46" s="9">
        <f>E46*F46</f>
        <v>120000</v>
      </c>
      <c r="H46" s="9">
        <f>G46*12</f>
        <v>1440000</v>
      </c>
      <c r="I46" s="8">
        <f>H46/TC</f>
        <v>83720.930232558138</v>
      </c>
      <c r="J46" s="19">
        <f>G46/(Inputs!C8*1000)</f>
        <v>120</v>
      </c>
      <c r="K46" s="26" t="s">
        <v>256</v>
      </c>
    </row>
    <row r="47" spans="1:13" s="20" customFormat="1" ht="33" customHeight="1" outlineLevel="1" x14ac:dyDescent="0.25">
      <c r="A47" s="26" t="s">
        <v>253</v>
      </c>
      <c r="B47" s="26" t="s">
        <v>254</v>
      </c>
      <c r="C47" s="26" t="s">
        <v>257</v>
      </c>
      <c r="D47" s="2" t="s">
        <v>168</v>
      </c>
      <c r="E47" s="19">
        <v>1</v>
      </c>
      <c r="F47" s="9">
        <v>25000</v>
      </c>
      <c r="G47" s="9">
        <f>E47*F47</f>
        <v>25000</v>
      </c>
      <c r="H47" s="9">
        <f>G47*12</f>
        <v>300000</v>
      </c>
      <c r="I47" s="8">
        <f>H47/TC</f>
        <v>17441.860465116279</v>
      </c>
      <c r="J47" s="19">
        <f>G47/(Inputs!C8*1000)</f>
        <v>25</v>
      </c>
      <c r="K47" s="26" t="s">
        <v>258</v>
      </c>
    </row>
    <row r="48" spans="1:13" x14ac:dyDescent="0.25">
      <c r="A48" s="7"/>
      <c r="B48" s="7"/>
      <c r="C48" s="7"/>
      <c r="D48" s="4"/>
      <c r="E48" s="3"/>
      <c r="F48" s="8"/>
      <c r="G48" s="8"/>
      <c r="H48" s="8"/>
      <c r="I48" s="8"/>
      <c r="J48" s="3"/>
      <c r="K48" s="7"/>
    </row>
    <row r="49" spans="1:11" x14ac:dyDescent="0.25">
      <c r="A49" s="11" t="s">
        <v>259</v>
      </c>
      <c r="B49" s="11"/>
      <c r="C49" s="11"/>
      <c r="D49" s="12"/>
      <c r="E49" s="13"/>
      <c r="F49" s="14">
        <f>SUM(F50:F58)</f>
        <v>325000</v>
      </c>
      <c r="G49" s="14">
        <f t="shared" ref="G49:J49" si="12">SUM(G50:G58)</f>
        <v>425000</v>
      </c>
      <c r="H49" s="14">
        <f t="shared" si="12"/>
        <v>5100000</v>
      </c>
      <c r="I49" s="8">
        <f t="shared" ref="I49:I58" si="13">H49/TC</f>
        <v>296511.62790697673</v>
      </c>
      <c r="J49" s="14">
        <f t="shared" si="12"/>
        <v>425</v>
      </c>
      <c r="K49" s="11"/>
    </row>
    <row r="50" spans="1:11" s="20" customFormat="1" ht="45" outlineLevel="1" x14ac:dyDescent="0.25">
      <c r="A50" s="26" t="s">
        <v>234</v>
      </c>
      <c r="B50" s="26" t="s">
        <v>234</v>
      </c>
      <c r="C50" s="26" t="s">
        <v>260</v>
      </c>
      <c r="D50" s="2" t="s">
        <v>168</v>
      </c>
      <c r="E50" s="19">
        <v>1</v>
      </c>
      <c r="F50" s="9">
        <v>50000</v>
      </c>
      <c r="G50" s="9">
        <f t="shared" ref="G50" si="14">E50*F50</f>
        <v>50000</v>
      </c>
      <c r="H50" s="9">
        <f t="shared" ref="H50" si="15">G50*12</f>
        <v>600000</v>
      </c>
      <c r="I50" s="8">
        <f t="shared" si="13"/>
        <v>34883.720930232557</v>
      </c>
      <c r="J50" s="19">
        <f>G50/(Inputs!C8*1000)</f>
        <v>50</v>
      </c>
      <c r="K50" s="26"/>
    </row>
    <row r="51" spans="1:11" s="20" customFormat="1" ht="30" outlineLevel="1" x14ac:dyDescent="0.25">
      <c r="A51" s="26" t="s">
        <v>206</v>
      </c>
      <c r="B51" s="26" t="s">
        <v>261</v>
      </c>
      <c r="C51" s="26"/>
      <c r="D51" s="2" t="s">
        <v>262</v>
      </c>
      <c r="E51" s="19">
        <v>6</v>
      </c>
      <c r="F51" s="9">
        <v>15000</v>
      </c>
      <c r="G51" s="9">
        <f t="shared" ref="G51:G58" si="16">E51*F51</f>
        <v>90000</v>
      </c>
      <c r="H51" s="9">
        <f t="shared" ref="H51:H58" si="17">G51*12</f>
        <v>1080000</v>
      </c>
      <c r="I51" s="8">
        <f t="shared" si="13"/>
        <v>62790.69767441861</v>
      </c>
      <c r="J51" s="19">
        <f>G51/(Inputs!C8*1000)</f>
        <v>90</v>
      </c>
      <c r="K51" s="26" t="s">
        <v>263</v>
      </c>
    </row>
    <row r="52" spans="1:11" s="20" customFormat="1" outlineLevel="1" x14ac:dyDescent="0.25">
      <c r="A52" s="26"/>
      <c r="B52" s="26" t="s">
        <v>264</v>
      </c>
      <c r="C52" s="26"/>
      <c r="D52" s="2" t="s">
        <v>265</v>
      </c>
      <c r="E52" s="19">
        <v>2</v>
      </c>
      <c r="F52" s="9">
        <v>25000</v>
      </c>
      <c r="G52" s="9">
        <f t="shared" si="16"/>
        <v>50000</v>
      </c>
      <c r="H52" s="9">
        <f t="shared" si="17"/>
        <v>600000</v>
      </c>
      <c r="I52" s="8">
        <f t="shared" si="13"/>
        <v>34883.720930232557</v>
      </c>
      <c r="J52" s="19">
        <f>G52/(Inputs!C8*1000)</f>
        <v>50</v>
      </c>
      <c r="K52" s="26" t="s">
        <v>266</v>
      </c>
    </row>
    <row r="53" spans="1:11" s="20" customFormat="1" outlineLevel="1" x14ac:dyDescent="0.25">
      <c r="A53" s="26"/>
      <c r="B53" s="26" t="s">
        <v>267</v>
      </c>
      <c r="C53" s="26"/>
      <c r="D53" s="2" t="s">
        <v>265</v>
      </c>
      <c r="E53" s="19">
        <v>1</v>
      </c>
      <c r="F53" s="9">
        <v>35000</v>
      </c>
      <c r="G53" s="9">
        <f t="shared" si="16"/>
        <v>35000</v>
      </c>
      <c r="H53" s="9">
        <f t="shared" si="17"/>
        <v>420000</v>
      </c>
      <c r="I53" s="8">
        <f t="shared" si="13"/>
        <v>24418.60465116279</v>
      </c>
      <c r="J53" s="19">
        <f>G53/(Inputs!C8*1000)</f>
        <v>35</v>
      </c>
      <c r="K53" s="26"/>
    </row>
    <row r="54" spans="1:11" s="20" customFormat="1" outlineLevel="1" x14ac:dyDescent="0.25">
      <c r="A54" s="26"/>
      <c r="B54" s="26" t="s">
        <v>268</v>
      </c>
      <c r="C54" s="26"/>
      <c r="D54" s="2" t="s">
        <v>265</v>
      </c>
      <c r="E54" s="19">
        <v>1</v>
      </c>
      <c r="F54" s="9">
        <v>60000</v>
      </c>
      <c r="G54" s="9">
        <f t="shared" si="16"/>
        <v>60000</v>
      </c>
      <c r="H54" s="9">
        <f t="shared" si="17"/>
        <v>720000</v>
      </c>
      <c r="I54" s="8">
        <f t="shared" si="13"/>
        <v>41860.465116279069</v>
      </c>
      <c r="J54" s="19">
        <f>G54/(Inputs!C8*1000)</f>
        <v>60</v>
      </c>
      <c r="K54" s="26"/>
    </row>
    <row r="55" spans="1:11" s="20" customFormat="1" outlineLevel="1" x14ac:dyDescent="0.25">
      <c r="A55" s="26" t="s">
        <v>233</v>
      </c>
      <c r="C55" s="26" t="s">
        <v>269</v>
      </c>
      <c r="D55" s="2" t="s">
        <v>168</v>
      </c>
      <c r="E55" s="19">
        <v>1</v>
      </c>
      <c r="F55" s="9">
        <v>80000</v>
      </c>
      <c r="G55" s="9">
        <f t="shared" si="16"/>
        <v>80000</v>
      </c>
      <c r="H55" s="9">
        <f t="shared" si="17"/>
        <v>960000</v>
      </c>
      <c r="I55" s="8">
        <f t="shared" si="13"/>
        <v>55813.953488372099</v>
      </c>
      <c r="J55" s="19">
        <f>G55/(Inputs!C8*1000)</f>
        <v>80</v>
      </c>
      <c r="K55" s="26"/>
    </row>
    <row r="56" spans="1:11" s="20" customFormat="1" outlineLevel="1" x14ac:dyDescent="0.25">
      <c r="A56" s="26" t="s">
        <v>270</v>
      </c>
      <c r="B56" s="26"/>
      <c r="C56" s="26" t="s">
        <v>271</v>
      </c>
      <c r="D56" s="2" t="s">
        <v>168</v>
      </c>
      <c r="E56" s="19">
        <v>1</v>
      </c>
      <c r="F56" s="9">
        <v>20000</v>
      </c>
      <c r="G56" s="9">
        <f t="shared" si="16"/>
        <v>20000</v>
      </c>
      <c r="H56" s="9">
        <f t="shared" si="17"/>
        <v>240000</v>
      </c>
      <c r="I56" s="8">
        <f t="shared" si="13"/>
        <v>13953.488372093025</v>
      </c>
      <c r="J56" s="19">
        <f>G56/(Inputs!C8*1000)</f>
        <v>20</v>
      </c>
      <c r="K56" s="26"/>
    </row>
    <row r="57" spans="1:11" s="20" customFormat="1" outlineLevel="1" x14ac:dyDescent="0.25">
      <c r="A57" s="26" t="s">
        <v>272</v>
      </c>
      <c r="B57" s="26"/>
      <c r="C57" s="26" t="s">
        <v>273</v>
      </c>
      <c r="D57" s="2" t="s">
        <v>168</v>
      </c>
      <c r="E57" s="19">
        <v>1</v>
      </c>
      <c r="F57" s="9">
        <v>20000</v>
      </c>
      <c r="G57" s="9">
        <f t="shared" si="16"/>
        <v>20000</v>
      </c>
      <c r="H57" s="9">
        <f t="shared" si="17"/>
        <v>240000</v>
      </c>
      <c r="I57" s="8">
        <f t="shared" si="13"/>
        <v>13953.488372093025</v>
      </c>
      <c r="J57" s="19">
        <f>G57/(Inputs!C8*1000)</f>
        <v>20</v>
      </c>
      <c r="K57" s="26"/>
    </row>
    <row r="58" spans="1:11" s="20" customFormat="1" ht="30" outlineLevel="1" x14ac:dyDescent="0.25">
      <c r="A58" s="26" t="s">
        <v>274</v>
      </c>
      <c r="B58" s="26" t="s">
        <v>275</v>
      </c>
      <c r="C58" s="26" t="s">
        <v>276</v>
      </c>
      <c r="D58" s="2" t="s">
        <v>168</v>
      </c>
      <c r="E58" s="19">
        <v>1</v>
      </c>
      <c r="F58" s="9">
        <v>20000</v>
      </c>
      <c r="G58" s="9">
        <f t="shared" si="16"/>
        <v>20000</v>
      </c>
      <c r="H58" s="9">
        <f t="shared" si="17"/>
        <v>240000</v>
      </c>
      <c r="I58" s="8">
        <f t="shared" si="13"/>
        <v>13953.488372093025</v>
      </c>
      <c r="J58" s="19">
        <f>G58/(Inputs!C8*1000)</f>
        <v>20</v>
      </c>
      <c r="K58" s="26"/>
    </row>
    <row r="59" spans="1:11" x14ac:dyDescent="0.25">
      <c r="A59" s="7"/>
      <c r="B59" s="7"/>
      <c r="C59" s="7"/>
      <c r="D59" s="4"/>
      <c r="E59" s="3"/>
      <c r="F59" s="8"/>
      <c r="G59" s="8"/>
      <c r="H59" s="8"/>
      <c r="I59" s="8"/>
      <c r="J59" s="3"/>
      <c r="K59" s="7"/>
    </row>
    <row r="60" spans="1:11" x14ac:dyDescent="0.25">
      <c r="A60" s="10" t="s">
        <v>277</v>
      </c>
      <c r="B60" s="10"/>
      <c r="C60" s="10"/>
      <c r="D60" s="10"/>
      <c r="E60" s="10"/>
      <c r="F60" s="10"/>
      <c r="G60" s="17">
        <f>G5+G9+G23+G36+G45+G49</f>
        <v>2657529</v>
      </c>
      <c r="H60" s="17">
        <f>H5+H9+H23+H36+H45+H49</f>
        <v>31890348</v>
      </c>
      <c r="I60" s="8">
        <f>H60/TC</f>
        <v>1854090</v>
      </c>
      <c r="J60" s="17">
        <f>J5+J9+J23+J36+J45+J49</f>
        <v>2657.5290000000005</v>
      </c>
      <c r="K60" s="10"/>
    </row>
    <row r="61" spans="1:11" x14ac:dyDescent="0.25">
      <c r="G61" s="307"/>
      <c r="H61" s="307"/>
      <c r="I61" s="307"/>
    </row>
    <row r="62" spans="1:11" x14ac:dyDescent="0.25">
      <c r="A62" s="10" t="s">
        <v>278</v>
      </c>
      <c r="B62" s="10"/>
      <c r="C62" s="10"/>
      <c r="D62" s="10"/>
      <c r="E62" s="10"/>
      <c r="F62" s="10"/>
      <c r="G62" s="17" t="e">
        <f>G60/Inputs!#REF!</f>
        <v>#REF!</v>
      </c>
      <c r="H62" s="17" t="e">
        <f>H60/Inputs!#REF!</f>
        <v>#REF!</v>
      </c>
      <c r="I62" s="17"/>
      <c r="J62" s="17" t="e">
        <f>J60/Inputs!#REF!</f>
        <v>#REF!</v>
      </c>
      <c r="K62" s="10"/>
    </row>
    <row r="75" spans="8:9" x14ac:dyDescent="0.25">
      <c r="H75" s="192"/>
      <c r="I75" s="192"/>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263D-BC27-4C62-AC06-A534E8FE46D4}">
  <sheetPr>
    <tabColor rgb="FF92D050"/>
  </sheetPr>
  <dimension ref="A1:P75"/>
  <sheetViews>
    <sheetView showGridLines="0" topLeftCell="A5" zoomScale="110" zoomScaleNormal="110" workbookViewId="0">
      <pane xSplit="1" topLeftCell="B1" activePane="topRight" state="frozen"/>
      <selection pane="topRight" activeCell="G11" sqref="G11"/>
    </sheetView>
  </sheetViews>
  <sheetFormatPr defaultColWidth="8.85546875" defaultRowHeight="15" outlineLevelRow="1" x14ac:dyDescent="0.25"/>
  <cols>
    <col min="1" max="1" width="24.42578125" customWidth="1"/>
    <col min="2" max="2" width="22" customWidth="1"/>
    <col min="3" max="3" width="36" customWidth="1"/>
    <col min="4" max="5" width="10" customWidth="1"/>
    <col min="6" max="6" width="20" customWidth="1"/>
    <col min="7" max="7" width="15.28515625" bestFit="1" customWidth="1"/>
    <col min="8" max="8" width="17.28515625" bestFit="1" customWidth="1"/>
    <col min="9" max="9" width="15.7109375" style="32" bestFit="1" customWidth="1"/>
    <col min="10" max="10" width="13.85546875" bestFit="1" customWidth="1"/>
    <col min="11" max="11" width="34" customWidth="1"/>
    <col min="13" max="13" width="43.7109375" customWidth="1"/>
    <col min="14" max="15" width="16.5703125" customWidth="1"/>
    <col min="16" max="16" width="11.42578125" bestFit="1" customWidth="1"/>
  </cols>
  <sheetData>
    <row r="1" spans="1:16" ht="30" x14ac:dyDescent="0.25">
      <c r="A1" s="5" t="s">
        <v>148</v>
      </c>
      <c r="B1" s="5" t="s">
        <v>149</v>
      </c>
      <c r="C1" s="5" t="s">
        <v>150</v>
      </c>
      <c r="D1" s="5" t="s">
        <v>151</v>
      </c>
      <c r="E1" s="5" t="s">
        <v>152</v>
      </c>
      <c r="F1" s="5" t="s">
        <v>153</v>
      </c>
      <c r="G1" s="5" t="s">
        <v>154</v>
      </c>
      <c r="H1" s="5" t="s">
        <v>155</v>
      </c>
      <c r="I1" s="311" t="s">
        <v>599</v>
      </c>
      <c r="J1" s="5" t="s">
        <v>156</v>
      </c>
      <c r="K1" s="5" t="s">
        <v>157</v>
      </c>
      <c r="M1" s="6" t="s">
        <v>158</v>
      </c>
      <c r="N1" s="2" t="s">
        <v>159</v>
      </c>
      <c r="O1" s="2" t="s">
        <v>160</v>
      </c>
      <c r="P1" s="2" t="s">
        <v>156</v>
      </c>
    </row>
    <row r="2" spans="1:16" x14ac:dyDescent="0.25">
      <c r="N2" s="323">
        <f>G42</f>
        <v>3521020</v>
      </c>
      <c r="O2" s="323">
        <f>H42</f>
        <v>46452240</v>
      </c>
      <c r="P2" s="323">
        <f>N2/(Inputs!$C$8*1000)</f>
        <v>3521.02</v>
      </c>
    </row>
    <row r="3" spans="1:16" x14ac:dyDescent="0.25">
      <c r="N3" s="2" t="s">
        <v>161</v>
      </c>
      <c r="O3" s="2" t="s">
        <v>162</v>
      </c>
      <c r="P3" s="2" t="s">
        <v>163</v>
      </c>
    </row>
    <row r="4" spans="1:16" x14ac:dyDescent="0.25">
      <c r="N4" s="17">
        <f>G44</f>
        <v>204710.46511627908</v>
      </c>
      <c r="O4" s="17">
        <f>H44</f>
        <v>2700711.6279069767</v>
      </c>
      <c r="P4" s="17">
        <f>N4/(Inputs!$C$8*1000)</f>
        <v>204.7104651162791</v>
      </c>
    </row>
    <row r="5" spans="1:16" x14ac:dyDescent="0.25">
      <c r="A5" s="15" t="s">
        <v>164</v>
      </c>
      <c r="B5" s="15"/>
      <c r="C5" s="15"/>
      <c r="D5" s="15"/>
      <c r="E5" s="15"/>
      <c r="F5" s="321">
        <f>SUM(F6)</f>
        <v>1787040</v>
      </c>
      <c r="G5" s="321">
        <f>SUM(G6)</f>
        <v>1787040</v>
      </c>
      <c r="H5" s="321">
        <f>SUM(H6)</f>
        <v>21444480</v>
      </c>
      <c r="I5" s="322">
        <f>SUM(I6)</f>
        <v>1246772.0930232559</v>
      </c>
      <c r="J5" s="321">
        <f>SUM(J6)</f>
        <v>1787.04</v>
      </c>
      <c r="K5" s="15"/>
    </row>
    <row r="6" spans="1:16" ht="30" outlineLevel="1" x14ac:dyDescent="0.25">
      <c r="A6" s="7" t="s">
        <v>165</v>
      </c>
      <c r="B6" s="7" t="s">
        <v>166</v>
      </c>
      <c r="C6" s="7" t="s">
        <v>167</v>
      </c>
      <c r="D6" s="4" t="s">
        <v>168</v>
      </c>
      <c r="E6" s="314">
        <v>1</v>
      </c>
      <c r="F6" s="8">
        <f>(Inputs!C16*TC)/12</f>
        <v>1787040</v>
      </c>
      <c r="G6" s="8">
        <f>OPEX!E6*F6</f>
        <v>1787040</v>
      </c>
      <c r="H6" s="8">
        <f>G6*12</f>
        <v>21444480</v>
      </c>
      <c r="I6" s="8">
        <f>H6/TC</f>
        <v>1246772.0930232559</v>
      </c>
      <c r="J6" s="3">
        <f>G6/(Inputs!C8*1000)</f>
        <v>1787.04</v>
      </c>
      <c r="K6" s="315" t="s">
        <v>169</v>
      </c>
    </row>
    <row r="7" spans="1:16" x14ac:dyDescent="0.25">
      <c r="A7" s="11" t="s">
        <v>172</v>
      </c>
      <c r="B7" s="11"/>
      <c r="C7" s="11"/>
      <c r="D7" s="12"/>
      <c r="E7" s="316"/>
      <c r="F7" s="322">
        <f>SUM(F8:F19)</f>
        <v>424000</v>
      </c>
      <c r="G7" s="322">
        <f t="shared" ref="G7:J7" si="0">SUM(G8:G19)</f>
        <v>454000</v>
      </c>
      <c r="H7" s="322">
        <f t="shared" si="0"/>
        <v>5448000</v>
      </c>
      <c r="I7" s="322">
        <f t="shared" ref="I7:I23" si="1">H7/TC</f>
        <v>316744.18604651163</v>
      </c>
      <c r="J7" s="322">
        <f t="shared" si="0"/>
        <v>454</v>
      </c>
      <c r="K7" s="317"/>
      <c r="M7" s="20"/>
      <c r="N7" s="21"/>
    </row>
    <row r="8" spans="1:16" s="20" customFormat="1" ht="33" customHeight="1" outlineLevel="1" x14ac:dyDescent="0.25">
      <c r="B8" s="26" t="s">
        <v>173</v>
      </c>
      <c r="C8" s="26" t="s">
        <v>174</v>
      </c>
      <c r="D8" s="2" t="s">
        <v>175</v>
      </c>
      <c r="E8" s="318">
        <v>1</v>
      </c>
      <c r="F8" s="320">
        <v>90000</v>
      </c>
      <c r="G8" s="320">
        <f t="shared" ref="G8:G37" si="2">E8*F8</f>
        <v>90000</v>
      </c>
      <c r="H8" s="320">
        <f t="shared" ref="H8:H37" si="3">G8*12</f>
        <v>1080000</v>
      </c>
      <c r="I8" s="320">
        <f t="shared" si="1"/>
        <v>62790.69767441861</v>
      </c>
      <c r="J8" s="320">
        <f>G8/(Inputs!C8*1000)</f>
        <v>90</v>
      </c>
      <c r="K8" s="319" t="s">
        <v>176</v>
      </c>
    </row>
    <row r="9" spans="1:16" s="20" customFormat="1" ht="33" customHeight="1" outlineLevel="1" x14ac:dyDescent="0.25">
      <c r="A9" s="26"/>
      <c r="B9" s="26" t="s">
        <v>173</v>
      </c>
      <c r="C9" s="26" t="s">
        <v>177</v>
      </c>
      <c r="D9" s="2" t="s">
        <v>178</v>
      </c>
      <c r="E9" s="318">
        <v>1</v>
      </c>
      <c r="F9" s="320">
        <v>35000</v>
      </c>
      <c r="G9" s="320">
        <f t="shared" si="2"/>
        <v>35000</v>
      </c>
      <c r="H9" s="320">
        <f t="shared" si="3"/>
        <v>420000</v>
      </c>
      <c r="I9" s="320">
        <f t="shared" si="1"/>
        <v>24418.60465116279</v>
      </c>
      <c r="J9" s="320">
        <f>G9/(Inputs!C8*1000)</f>
        <v>35</v>
      </c>
      <c r="K9" s="319" t="s">
        <v>179</v>
      </c>
    </row>
    <row r="10" spans="1:16" s="20" customFormat="1" ht="33" customHeight="1" outlineLevel="1" x14ac:dyDescent="0.25">
      <c r="A10" s="26"/>
      <c r="B10" s="26" t="s">
        <v>173</v>
      </c>
      <c r="C10" s="26" t="s">
        <v>180</v>
      </c>
      <c r="D10" s="2" t="s">
        <v>181</v>
      </c>
      <c r="E10" s="318">
        <v>2</v>
      </c>
      <c r="F10" s="320">
        <v>30000</v>
      </c>
      <c r="G10" s="320">
        <f t="shared" si="2"/>
        <v>60000</v>
      </c>
      <c r="H10" s="320">
        <f t="shared" si="3"/>
        <v>720000</v>
      </c>
      <c r="I10" s="320">
        <f t="shared" si="1"/>
        <v>41860.465116279069</v>
      </c>
      <c r="J10" s="320">
        <f>G10/(Inputs!C8*1000)</f>
        <v>60</v>
      </c>
      <c r="K10" s="319" t="s">
        <v>182</v>
      </c>
    </row>
    <row r="11" spans="1:16" s="20" customFormat="1" ht="33" customHeight="1" outlineLevel="1" x14ac:dyDescent="0.25">
      <c r="A11" s="26"/>
      <c r="B11" s="26" t="s">
        <v>173</v>
      </c>
      <c r="C11" s="26" t="s">
        <v>183</v>
      </c>
      <c r="D11" s="2" t="s">
        <v>168</v>
      </c>
      <c r="E11" s="318">
        <v>1</v>
      </c>
      <c r="F11" s="320">
        <v>12000</v>
      </c>
      <c r="G11" s="320">
        <f t="shared" si="2"/>
        <v>12000</v>
      </c>
      <c r="H11" s="320">
        <f t="shared" si="3"/>
        <v>144000</v>
      </c>
      <c r="I11" s="320">
        <f t="shared" si="1"/>
        <v>8372.0930232558148</v>
      </c>
      <c r="J11" s="320">
        <f>G11/(Inputs!C8*1000)</f>
        <v>12</v>
      </c>
      <c r="K11" s="319" t="s">
        <v>184</v>
      </c>
      <c r="P11" s="218"/>
    </row>
    <row r="12" spans="1:16" s="20" customFormat="1" ht="33" customHeight="1" outlineLevel="1" x14ac:dyDescent="0.25">
      <c r="A12" s="26"/>
      <c r="B12" s="26" t="s">
        <v>185</v>
      </c>
      <c r="C12" s="26" t="s">
        <v>186</v>
      </c>
      <c r="D12" s="2" t="s">
        <v>187</v>
      </c>
      <c r="E12" s="318">
        <v>1</v>
      </c>
      <c r="F12" s="320">
        <v>18000</v>
      </c>
      <c r="G12" s="320">
        <f t="shared" si="2"/>
        <v>18000</v>
      </c>
      <c r="H12" s="320">
        <f t="shared" si="3"/>
        <v>216000</v>
      </c>
      <c r="I12" s="320">
        <f t="shared" si="1"/>
        <v>12558.139534883721</v>
      </c>
      <c r="J12" s="320">
        <f>G12/(Inputs!C8*1000)</f>
        <v>18</v>
      </c>
      <c r="K12" s="319" t="s">
        <v>188</v>
      </c>
    </row>
    <row r="13" spans="1:16" s="20" customFormat="1" ht="33" customHeight="1" outlineLevel="1" x14ac:dyDescent="0.25">
      <c r="A13" s="26"/>
      <c r="B13" s="26" t="s">
        <v>189</v>
      </c>
      <c r="C13" s="26" t="s">
        <v>190</v>
      </c>
      <c r="D13" s="2" t="s">
        <v>187</v>
      </c>
      <c r="E13" s="318">
        <v>1</v>
      </c>
      <c r="F13" s="320">
        <v>140000</v>
      </c>
      <c r="G13" s="320">
        <f t="shared" si="2"/>
        <v>140000</v>
      </c>
      <c r="H13" s="320">
        <f t="shared" si="3"/>
        <v>1680000</v>
      </c>
      <c r="I13" s="320">
        <f t="shared" si="1"/>
        <v>97674.41860465116</v>
      </c>
      <c r="J13" s="320">
        <f>G13/(Inputs!C8*1000)</f>
        <v>140</v>
      </c>
      <c r="K13" s="319" t="s">
        <v>191</v>
      </c>
    </row>
    <row r="14" spans="1:16" s="20" customFormat="1" ht="33" customHeight="1" outlineLevel="1" x14ac:dyDescent="0.25">
      <c r="A14" s="26"/>
      <c r="B14" s="26" t="s">
        <v>189</v>
      </c>
      <c r="C14" s="26" t="s">
        <v>192</v>
      </c>
      <c r="D14" s="2" t="s">
        <v>187</v>
      </c>
      <c r="E14" s="318">
        <v>1</v>
      </c>
      <c r="F14" s="320">
        <v>15000</v>
      </c>
      <c r="G14" s="320">
        <f t="shared" si="2"/>
        <v>15000</v>
      </c>
      <c r="H14" s="320">
        <f t="shared" si="3"/>
        <v>180000</v>
      </c>
      <c r="I14" s="320">
        <f t="shared" si="1"/>
        <v>10465.116279069767</v>
      </c>
      <c r="J14" s="320">
        <f>G14/(Inputs!C8*1000)</f>
        <v>15</v>
      </c>
      <c r="K14" s="319" t="s">
        <v>193</v>
      </c>
    </row>
    <row r="15" spans="1:16" s="20" customFormat="1" ht="33" customHeight="1" outlineLevel="1" x14ac:dyDescent="0.25">
      <c r="A15" s="26"/>
      <c r="B15" s="26" t="s">
        <v>194</v>
      </c>
      <c r="C15" s="26" t="s">
        <v>195</v>
      </c>
      <c r="D15" s="2" t="s">
        <v>187</v>
      </c>
      <c r="E15" s="318">
        <v>1</v>
      </c>
      <c r="F15" s="320">
        <v>30000</v>
      </c>
      <c r="G15" s="320">
        <f t="shared" si="2"/>
        <v>30000</v>
      </c>
      <c r="H15" s="320">
        <f t="shared" si="3"/>
        <v>360000</v>
      </c>
      <c r="I15" s="320">
        <f t="shared" si="1"/>
        <v>20930.232558139534</v>
      </c>
      <c r="J15" s="320">
        <f>G15/(Inputs!C8*1000)</f>
        <v>30</v>
      </c>
      <c r="K15" s="319" t="s">
        <v>196</v>
      </c>
    </row>
    <row r="16" spans="1:16" s="20" customFormat="1" ht="33" customHeight="1" outlineLevel="1" x14ac:dyDescent="0.25">
      <c r="A16" s="26"/>
      <c r="B16" s="26" t="s">
        <v>197</v>
      </c>
      <c r="C16" s="26" t="s">
        <v>198</v>
      </c>
      <c r="D16" s="2" t="s">
        <v>187</v>
      </c>
      <c r="E16" s="318">
        <v>1</v>
      </c>
      <c r="F16" s="320">
        <v>40000</v>
      </c>
      <c r="G16" s="320">
        <f t="shared" si="2"/>
        <v>40000</v>
      </c>
      <c r="H16" s="320">
        <f t="shared" si="3"/>
        <v>480000</v>
      </c>
      <c r="I16" s="320">
        <f t="shared" si="1"/>
        <v>27906.976744186049</v>
      </c>
      <c r="J16" s="320">
        <f>G16/(Inputs!C8*1000)</f>
        <v>40</v>
      </c>
      <c r="K16" s="319" t="s">
        <v>199</v>
      </c>
    </row>
    <row r="17" spans="1:14" s="20" customFormat="1" ht="33" customHeight="1" outlineLevel="1" x14ac:dyDescent="0.25">
      <c r="A17" s="26"/>
      <c r="B17" s="26" t="s">
        <v>200</v>
      </c>
      <c r="C17" s="26" t="s">
        <v>201</v>
      </c>
      <c r="D17" s="2" t="s">
        <v>187</v>
      </c>
      <c r="E17" s="318">
        <v>1</v>
      </c>
      <c r="F17" s="320">
        <v>6000</v>
      </c>
      <c r="G17" s="320">
        <f t="shared" si="2"/>
        <v>6000</v>
      </c>
      <c r="H17" s="320">
        <f t="shared" si="3"/>
        <v>72000</v>
      </c>
      <c r="I17" s="320">
        <f t="shared" si="1"/>
        <v>4186.0465116279074</v>
      </c>
      <c r="J17" s="320">
        <f>G17/(Inputs!C8*1000)</f>
        <v>6</v>
      </c>
      <c r="K17" s="319" t="s">
        <v>202</v>
      </c>
      <c r="N17" s="218"/>
    </row>
    <row r="18" spans="1:14" s="20" customFormat="1" ht="33" customHeight="1" outlineLevel="1" x14ac:dyDescent="0.25">
      <c r="A18" s="26"/>
      <c r="B18" s="26" t="s">
        <v>200</v>
      </c>
      <c r="C18" s="26" t="s">
        <v>203</v>
      </c>
      <c r="D18" s="2" t="s">
        <v>175</v>
      </c>
      <c r="E18" s="318">
        <v>1</v>
      </c>
      <c r="F18" s="320"/>
      <c r="G18" s="320">
        <f t="shared" si="2"/>
        <v>0</v>
      </c>
      <c r="H18" s="320">
        <f t="shared" si="3"/>
        <v>0</v>
      </c>
      <c r="I18" s="320">
        <f t="shared" si="1"/>
        <v>0</v>
      </c>
      <c r="J18" s="320">
        <f>G18/(Inputs!C8*1000)</f>
        <v>0</v>
      </c>
      <c r="K18" s="319"/>
    </row>
    <row r="19" spans="1:14" s="20" customFormat="1" ht="33" customHeight="1" outlineLevel="1" x14ac:dyDescent="0.25">
      <c r="A19" s="26"/>
      <c r="B19" s="26" t="s">
        <v>200</v>
      </c>
      <c r="C19" s="26" t="s">
        <v>204</v>
      </c>
      <c r="D19" s="2" t="s">
        <v>187</v>
      </c>
      <c r="E19" s="318">
        <v>1</v>
      </c>
      <c r="F19" s="320">
        <v>8000</v>
      </c>
      <c r="G19" s="320">
        <f t="shared" si="2"/>
        <v>8000</v>
      </c>
      <c r="H19" s="320">
        <f t="shared" si="3"/>
        <v>96000</v>
      </c>
      <c r="I19" s="320">
        <f t="shared" si="1"/>
        <v>5581.3953488372099</v>
      </c>
      <c r="J19" s="320">
        <f>G19/(Inputs!C8*1000)</f>
        <v>8</v>
      </c>
      <c r="K19" s="319" t="s">
        <v>205</v>
      </c>
    </row>
    <row r="20" spans="1:14" x14ac:dyDescent="0.25">
      <c r="A20" s="11" t="s">
        <v>606</v>
      </c>
      <c r="B20" s="11"/>
      <c r="C20" s="11"/>
      <c r="D20" s="12"/>
      <c r="E20" s="316"/>
      <c r="F20" s="322">
        <f>SUM(F21:F23)</f>
        <v>205000</v>
      </c>
      <c r="G20" s="322">
        <f>SUM(G21:G23)</f>
        <v>410000</v>
      </c>
      <c r="H20" s="322">
        <f>SUM(H21:H23)</f>
        <v>4920000</v>
      </c>
      <c r="I20" s="322">
        <f t="shared" si="1"/>
        <v>286046.51162790699</v>
      </c>
      <c r="J20" s="322">
        <f>SUM(J21:J23)</f>
        <v>410</v>
      </c>
      <c r="K20" s="317"/>
    </row>
    <row r="21" spans="1:14" s="20" customFormat="1" ht="33" customHeight="1" outlineLevel="1" x14ac:dyDescent="0.25">
      <c r="A21" s="26" t="s">
        <v>207</v>
      </c>
      <c r="B21" s="26" t="s">
        <v>208</v>
      </c>
      <c r="C21" s="26" t="s">
        <v>598</v>
      </c>
      <c r="D21" s="2" t="s">
        <v>210</v>
      </c>
      <c r="E21" s="318">
        <v>2</v>
      </c>
      <c r="F21" s="320">
        <v>85000</v>
      </c>
      <c r="G21" s="320">
        <f t="shared" si="2"/>
        <v>170000</v>
      </c>
      <c r="H21" s="320">
        <f>G21*12</f>
        <v>2040000</v>
      </c>
      <c r="I21" s="320">
        <f t="shared" si="1"/>
        <v>118604.6511627907</v>
      </c>
      <c r="J21" s="320">
        <f>G21/(Inputs!C8*1000)</f>
        <v>170</v>
      </c>
      <c r="K21" s="319" t="s">
        <v>625</v>
      </c>
    </row>
    <row r="22" spans="1:14" s="20" customFormat="1" ht="33" customHeight="1" outlineLevel="1" x14ac:dyDescent="0.25">
      <c r="A22" s="26" t="s">
        <v>207</v>
      </c>
      <c r="B22" s="26" t="s">
        <v>208</v>
      </c>
      <c r="C22" s="26" t="s">
        <v>600</v>
      </c>
      <c r="D22" s="2" t="s">
        <v>210</v>
      </c>
      <c r="E22" s="318">
        <v>2</v>
      </c>
      <c r="F22" s="320">
        <v>60000</v>
      </c>
      <c r="G22" s="320">
        <f t="shared" si="2"/>
        <v>120000</v>
      </c>
      <c r="H22" s="320">
        <f t="shared" si="3"/>
        <v>1440000</v>
      </c>
      <c r="I22" s="320">
        <f t="shared" si="1"/>
        <v>83720.930232558138</v>
      </c>
      <c r="J22" s="320">
        <f>G22/(Inputs!C8*1000)</f>
        <v>120</v>
      </c>
      <c r="K22" s="319" t="s">
        <v>625</v>
      </c>
      <c r="M22" s="305"/>
    </row>
    <row r="23" spans="1:14" s="20" customFormat="1" ht="33" customHeight="1" outlineLevel="1" x14ac:dyDescent="0.25">
      <c r="A23" s="26" t="s">
        <v>207</v>
      </c>
      <c r="B23" s="26" t="s">
        <v>214</v>
      </c>
      <c r="C23" s="26" t="s">
        <v>601</v>
      </c>
      <c r="D23" s="2" t="s">
        <v>210</v>
      </c>
      <c r="E23" s="318">
        <v>2</v>
      </c>
      <c r="F23" s="320">
        <v>60000</v>
      </c>
      <c r="G23" s="320">
        <f t="shared" si="2"/>
        <v>120000</v>
      </c>
      <c r="H23" s="320">
        <f t="shared" si="3"/>
        <v>1440000</v>
      </c>
      <c r="I23" s="320">
        <f t="shared" si="1"/>
        <v>83720.930232558138</v>
      </c>
      <c r="J23" s="320">
        <f>G23/(Inputs!C8*1000)</f>
        <v>120</v>
      </c>
      <c r="K23" s="319" t="s">
        <v>625</v>
      </c>
    </row>
    <row r="24" spans="1:14" s="20" customFormat="1" ht="24.75" customHeight="1" outlineLevel="1" x14ac:dyDescent="0.25">
      <c r="A24" s="11" t="s">
        <v>622</v>
      </c>
      <c r="B24" s="11"/>
      <c r="C24" s="11"/>
      <c r="D24" s="12"/>
      <c r="E24" s="316"/>
      <c r="F24" s="322">
        <f>SUM(F25)</f>
        <v>67000</v>
      </c>
      <c r="G24" s="322">
        <f>SUM(G25:G25)</f>
        <v>67000</v>
      </c>
      <c r="H24" s="322">
        <f>G24*12</f>
        <v>804000</v>
      </c>
      <c r="I24" s="322">
        <f>H24/TC</f>
        <v>46744.186046511633</v>
      </c>
      <c r="J24" s="322">
        <f>SUM(J25:J25)</f>
        <v>67</v>
      </c>
      <c r="K24" s="317"/>
    </row>
    <row r="25" spans="1:14" s="20" customFormat="1" ht="33" customHeight="1" outlineLevel="1" x14ac:dyDescent="0.25">
      <c r="A25" s="26" t="s">
        <v>612</v>
      </c>
      <c r="B25" s="26" t="s">
        <v>623</v>
      </c>
      <c r="C25" s="26" t="s">
        <v>624</v>
      </c>
      <c r="D25" s="2" t="s">
        <v>168</v>
      </c>
      <c r="E25" s="318">
        <v>1</v>
      </c>
      <c r="F25" s="320">
        <v>67000</v>
      </c>
      <c r="G25" s="320">
        <f>F25*E25</f>
        <v>67000</v>
      </c>
      <c r="H25" s="320">
        <f>G25*12</f>
        <v>804000</v>
      </c>
      <c r="I25" s="320">
        <f>H25/TC</f>
        <v>46744.186046511633</v>
      </c>
      <c r="J25" s="320">
        <f>G25/(Inputs!C8*1000)</f>
        <v>67</v>
      </c>
      <c r="K25" s="319"/>
    </row>
    <row r="26" spans="1:14" s="20" customFormat="1" ht="33" customHeight="1" outlineLevel="1" x14ac:dyDescent="0.25">
      <c r="A26" s="26" t="s">
        <v>233</v>
      </c>
      <c r="B26" s="26" t="s">
        <v>250</v>
      </c>
      <c r="C26" s="26" t="s">
        <v>251</v>
      </c>
      <c r="D26" s="2" t="s">
        <v>168</v>
      </c>
      <c r="E26" s="318">
        <v>1</v>
      </c>
      <c r="F26" s="320">
        <v>6000</v>
      </c>
      <c r="G26" s="320">
        <f t="shared" ref="G26" si="4">E26*F26</f>
        <v>6000</v>
      </c>
      <c r="H26" s="320">
        <f t="shared" ref="H26" si="5">G26*12</f>
        <v>72000</v>
      </c>
      <c r="I26" s="320">
        <f t="shared" ref="I26" si="6">H26/TC</f>
        <v>4186.0465116279074</v>
      </c>
      <c r="J26" s="320">
        <f>G26/(Inputs!C3*1000)</f>
        <v>5</v>
      </c>
      <c r="K26" s="319" t="s">
        <v>252</v>
      </c>
    </row>
    <row r="27" spans="1:14" x14ac:dyDescent="0.25">
      <c r="A27" s="11" t="s">
        <v>234</v>
      </c>
      <c r="B27" s="11"/>
      <c r="C27" s="11"/>
      <c r="D27" s="12"/>
      <c r="E27" s="316"/>
      <c r="F27" s="322">
        <f>SUM(F28:F30)</f>
        <v>654980</v>
      </c>
      <c r="G27" s="322">
        <f>SUM(G28:G30)</f>
        <v>654980</v>
      </c>
      <c r="H27" s="322">
        <f>SUM(H28:H30)</f>
        <v>7859760</v>
      </c>
      <c r="I27" s="322">
        <f t="shared" ref="I27:I30" si="7">H27/TC</f>
        <v>456962.79069767444</v>
      </c>
      <c r="J27" s="322">
        <f>SUM(J28:J30)</f>
        <v>654.98</v>
      </c>
      <c r="K27" s="317"/>
      <c r="M27" s="20"/>
    </row>
    <row r="28" spans="1:14" s="20" customFormat="1" ht="27.95" customHeight="1" outlineLevel="1" x14ac:dyDescent="0.25">
      <c r="A28" s="26" t="s">
        <v>234</v>
      </c>
      <c r="B28" s="26" t="s">
        <v>234</v>
      </c>
      <c r="C28" s="26" t="s">
        <v>235</v>
      </c>
      <c r="D28" s="2" t="s">
        <v>236</v>
      </c>
      <c r="E28" s="318">
        <v>1</v>
      </c>
      <c r="F28" s="332">
        <v>39780</v>
      </c>
      <c r="G28" s="320">
        <f t="shared" si="2"/>
        <v>39780</v>
      </c>
      <c r="H28" s="320">
        <f t="shared" si="3"/>
        <v>477360</v>
      </c>
      <c r="I28" s="330">
        <f t="shared" si="7"/>
        <v>27753.488372093023</v>
      </c>
      <c r="J28" s="320">
        <f>G28/(Inputs!C8*1000)</f>
        <v>39.78</v>
      </c>
      <c r="K28" s="319" t="s">
        <v>237</v>
      </c>
    </row>
    <row r="29" spans="1:14" s="20" customFormat="1" ht="27.95" customHeight="1" outlineLevel="1" x14ac:dyDescent="0.25">
      <c r="A29" s="26" t="s">
        <v>234</v>
      </c>
      <c r="B29" s="26" t="s">
        <v>234</v>
      </c>
      <c r="C29" s="26" t="s">
        <v>238</v>
      </c>
      <c r="D29" s="2" t="s">
        <v>236</v>
      </c>
      <c r="E29" s="318">
        <v>1</v>
      </c>
      <c r="F29" s="331">
        <v>560000</v>
      </c>
      <c r="G29" s="320">
        <f t="shared" si="2"/>
        <v>560000</v>
      </c>
      <c r="H29" s="320">
        <f t="shared" si="3"/>
        <v>6720000</v>
      </c>
      <c r="I29" s="333">
        <f t="shared" si="7"/>
        <v>390697.67441860464</v>
      </c>
      <c r="J29" s="320">
        <f>G29/(Inputs!C8*1000)</f>
        <v>560</v>
      </c>
      <c r="K29" s="319" t="s">
        <v>239</v>
      </c>
    </row>
    <row r="30" spans="1:14" s="20" customFormat="1" ht="27.95" customHeight="1" outlineLevel="1" x14ac:dyDescent="0.25">
      <c r="A30" s="26" t="s">
        <v>234</v>
      </c>
      <c r="B30" s="26" t="s">
        <v>234</v>
      </c>
      <c r="C30" s="26" t="s">
        <v>240</v>
      </c>
      <c r="D30" s="2" t="s">
        <v>168</v>
      </c>
      <c r="E30" s="318">
        <v>1</v>
      </c>
      <c r="F30" s="332">
        <v>55200</v>
      </c>
      <c r="G30" s="320">
        <f t="shared" si="2"/>
        <v>55200</v>
      </c>
      <c r="H30" s="320">
        <f t="shared" si="3"/>
        <v>662400</v>
      </c>
      <c r="I30" s="333">
        <f t="shared" si="7"/>
        <v>38511.627906976748</v>
      </c>
      <c r="J30" s="320">
        <f>G30/(Inputs!C8*1000)</f>
        <v>55.2</v>
      </c>
      <c r="K30" s="319" t="s">
        <v>237</v>
      </c>
    </row>
    <row r="31" spans="1:14" s="20" customFormat="1" ht="17.25" customHeight="1" outlineLevel="1" x14ac:dyDescent="0.25">
      <c r="A31" s="11" t="s">
        <v>247</v>
      </c>
      <c r="B31" s="11"/>
      <c r="C31" s="11"/>
      <c r="D31" s="12"/>
      <c r="E31" s="316"/>
      <c r="F31" s="322">
        <f>SUM(F32)</f>
        <v>350000</v>
      </c>
      <c r="G31" s="322">
        <f>SUM(G32)</f>
        <v>350000</v>
      </c>
      <c r="H31" s="322">
        <f>SUM(H32)</f>
        <v>4200000</v>
      </c>
      <c r="I31" s="322">
        <f t="shared" ref="I31:I37" si="8">H31/TC</f>
        <v>244186.04651162791</v>
      </c>
      <c r="J31" s="322">
        <f>SUM(J32)</f>
        <v>350</v>
      </c>
      <c r="K31" s="317"/>
      <c r="N31" s="328"/>
    </row>
    <row r="32" spans="1:14" s="20" customFormat="1" ht="27.95" customHeight="1" outlineLevel="1" x14ac:dyDescent="0.25">
      <c r="A32" s="26" t="s">
        <v>247</v>
      </c>
      <c r="B32" s="26" t="s">
        <v>247</v>
      </c>
      <c r="C32" s="26" t="s">
        <v>248</v>
      </c>
      <c r="D32" s="2" t="s">
        <v>168</v>
      </c>
      <c r="E32" s="318">
        <v>1</v>
      </c>
      <c r="F32" s="320">
        <v>350000</v>
      </c>
      <c r="G32" s="320">
        <f>E32*F32</f>
        <v>350000</v>
      </c>
      <c r="H32" s="320">
        <f>G32*12</f>
        <v>4200000</v>
      </c>
      <c r="I32" s="320">
        <f t="shared" si="8"/>
        <v>244186.04651162791</v>
      </c>
      <c r="J32" s="320">
        <f>G32/(Inputs!C8*1000)</f>
        <v>350</v>
      </c>
      <c r="K32" s="319" t="s">
        <v>249</v>
      </c>
      <c r="N32" s="328"/>
    </row>
    <row r="33" spans="1:14" s="20" customFormat="1" ht="27.95" customHeight="1" outlineLevel="1" x14ac:dyDescent="0.25">
      <c r="A33" s="11" t="s">
        <v>619</v>
      </c>
      <c r="B33" s="11"/>
      <c r="C33" s="11"/>
      <c r="D33" s="12"/>
      <c r="E33" s="316"/>
      <c r="F33" s="322">
        <f>SUM(F34:F34)</f>
        <v>40000</v>
      </c>
      <c r="G33" s="322">
        <f>SUM(G34:G34)</f>
        <v>40000</v>
      </c>
      <c r="H33" s="322">
        <f>SUM(H34:H34)</f>
        <v>480000</v>
      </c>
      <c r="I33" s="322">
        <f t="shared" si="8"/>
        <v>27906.976744186049</v>
      </c>
      <c r="J33" s="322">
        <f>SUM(J34:J35)</f>
        <v>145</v>
      </c>
      <c r="K33" s="317"/>
      <c r="N33" s="328"/>
    </row>
    <row r="34" spans="1:14" s="20" customFormat="1" ht="27.95" customHeight="1" outlineLevel="1" x14ac:dyDescent="0.25">
      <c r="A34" s="26" t="s">
        <v>619</v>
      </c>
      <c r="B34" s="26" t="s">
        <v>620</v>
      </c>
      <c r="C34" s="26" t="s">
        <v>621</v>
      </c>
      <c r="D34" s="2" t="s">
        <v>168</v>
      </c>
      <c r="E34" s="318">
        <v>1</v>
      </c>
      <c r="F34" s="320">
        <v>40000</v>
      </c>
      <c r="G34" s="320">
        <f t="shared" si="2"/>
        <v>40000</v>
      </c>
      <c r="H34" s="320">
        <f>G34*12</f>
        <v>480000</v>
      </c>
      <c r="I34" s="320">
        <f t="shared" si="8"/>
        <v>27906.976744186049</v>
      </c>
      <c r="J34" s="320"/>
      <c r="K34" s="319"/>
      <c r="N34" s="328"/>
    </row>
    <row r="35" spans="1:14" x14ac:dyDescent="0.25">
      <c r="A35" s="11" t="s">
        <v>253</v>
      </c>
      <c r="B35" s="11"/>
      <c r="C35" s="11"/>
      <c r="D35" s="12"/>
      <c r="E35" s="316"/>
      <c r="F35" s="322">
        <f>SUM(F36:F37)</f>
        <v>145000</v>
      </c>
      <c r="G35" s="322">
        <f>SUM(G36:G37)</f>
        <v>145000</v>
      </c>
      <c r="H35" s="322">
        <f>SUM(H36:H37)</f>
        <v>1740000</v>
      </c>
      <c r="I35" s="322">
        <f t="shared" si="8"/>
        <v>101162.79069767443</v>
      </c>
      <c r="J35" s="322">
        <f>SUM(J36:J37)</f>
        <v>145</v>
      </c>
      <c r="K35" s="317"/>
    </row>
    <row r="36" spans="1:14" s="20" customFormat="1" ht="33" customHeight="1" outlineLevel="1" x14ac:dyDescent="0.25">
      <c r="A36" s="26" t="s">
        <v>253</v>
      </c>
      <c r="B36" s="26" t="s">
        <v>254</v>
      </c>
      <c r="C36" s="26" t="s">
        <v>255</v>
      </c>
      <c r="D36" s="2" t="s">
        <v>168</v>
      </c>
      <c r="E36" s="318">
        <v>1</v>
      </c>
      <c r="F36" s="320">
        <v>120000</v>
      </c>
      <c r="G36" s="320">
        <f t="shared" si="2"/>
        <v>120000</v>
      </c>
      <c r="H36" s="320">
        <f t="shared" si="3"/>
        <v>1440000</v>
      </c>
      <c r="I36" s="329">
        <f t="shared" si="8"/>
        <v>83720.930232558138</v>
      </c>
      <c r="J36" s="320">
        <f>G36/(Inputs!C8*1000)</f>
        <v>120</v>
      </c>
      <c r="K36" s="319" t="s">
        <v>256</v>
      </c>
    </row>
    <row r="37" spans="1:14" s="20" customFormat="1" ht="33" customHeight="1" outlineLevel="1" x14ac:dyDescent="0.25">
      <c r="A37" s="26" t="s">
        <v>253</v>
      </c>
      <c r="B37" s="26" t="s">
        <v>254</v>
      </c>
      <c r="C37" s="26" t="s">
        <v>257</v>
      </c>
      <c r="D37" s="2" t="s">
        <v>168</v>
      </c>
      <c r="E37" s="318">
        <v>1</v>
      </c>
      <c r="F37" s="320">
        <v>25000</v>
      </c>
      <c r="G37" s="320">
        <f t="shared" si="2"/>
        <v>25000</v>
      </c>
      <c r="H37" s="320">
        <f t="shared" si="3"/>
        <v>300000</v>
      </c>
      <c r="I37" s="320">
        <f t="shared" si="8"/>
        <v>17441.860465116279</v>
      </c>
      <c r="J37" s="320">
        <f>G37/(Inputs!C8*1000)</f>
        <v>25</v>
      </c>
      <c r="K37" s="319" t="s">
        <v>258</v>
      </c>
    </row>
    <row r="38" spans="1:14" x14ac:dyDescent="0.25">
      <c r="A38" s="7"/>
      <c r="B38" s="7"/>
      <c r="C38" s="7"/>
      <c r="D38" s="4"/>
      <c r="E38" s="314"/>
      <c r="F38" s="320"/>
      <c r="G38" s="320"/>
      <c r="H38" s="320"/>
      <c r="I38" s="320"/>
      <c r="J38" s="320"/>
      <c r="K38" s="315"/>
    </row>
    <row r="39" spans="1:14" x14ac:dyDescent="0.25">
      <c r="A39" s="11" t="s">
        <v>259</v>
      </c>
      <c r="B39" s="11"/>
      <c r="C39" s="11"/>
      <c r="D39" s="12"/>
      <c r="E39" s="316"/>
      <c r="F39" s="322">
        <f>SUM(F40:F41)</f>
        <v>70000</v>
      </c>
      <c r="G39" s="322">
        <f>SUM(G40:G41)</f>
        <v>70000</v>
      </c>
      <c r="H39" s="322">
        <f>SUM(H40:H41)</f>
        <v>840000</v>
      </c>
      <c r="I39" s="322">
        <f t="shared" ref="I39:I41" si="9">H39/TC</f>
        <v>48837.20930232558</v>
      </c>
      <c r="J39" s="322">
        <f>SUM(J40:J41)</f>
        <v>70</v>
      </c>
      <c r="K39" s="317"/>
    </row>
    <row r="40" spans="1:14" s="20" customFormat="1" ht="45" outlineLevel="1" x14ac:dyDescent="0.25">
      <c r="A40" s="26" t="s">
        <v>234</v>
      </c>
      <c r="B40" s="26" t="s">
        <v>234</v>
      </c>
      <c r="C40" s="26" t="s">
        <v>260</v>
      </c>
      <c r="D40" s="2" t="s">
        <v>168</v>
      </c>
      <c r="E40" s="318">
        <v>1</v>
      </c>
      <c r="F40" s="320">
        <v>50000</v>
      </c>
      <c r="G40" s="320">
        <f t="shared" ref="G40:G41" si="10">E40*F40</f>
        <v>50000</v>
      </c>
      <c r="H40" s="320">
        <f t="shared" ref="H40:H41" si="11">G40*12</f>
        <v>600000</v>
      </c>
      <c r="I40" s="325">
        <f t="shared" si="9"/>
        <v>34883.720930232557</v>
      </c>
      <c r="J40" s="320">
        <f>G40/(Inputs!C8*1000)</f>
        <v>50</v>
      </c>
      <c r="K40" s="319"/>
    </row>
    <row r="41" spans="1:14" s="20" customFormat="1" ht="30" outlineLevel="1" x14ac:dyDescent="0.25">
      <c r="A41" s="26" t="s">
        <v>274</v>
      </c>
      <c r="B41" s="26" t="s">
        <v>275</v>
      </c>
      <c r="C41" s="26" t="s">
        <v>276</v>
      </c>
      <c r="D41" s="2" t="s">
        <v>168</v>
      </c>
      <c r="E41" s="318">
        <v>1</v>
      </c>
      <c r="F41" s="320">
        <v>20000</v>
      </c>
      <c r="G41" s="320">
        <f t="shared" si="10"/>
        <v>20000</v>
      </c>
      <c r="H41" s="320">
        <f t="shared" si="11"/>
        <v>240000</v>
      </c>
      <c r="I41" s="320">
        <f t="shared" si="9"/>
        <v>13953.488372093025</v>
      </c>
      <c r="J41" s="320">
        <f>G41/(Inputs!C8*1000)</f>
        <v>20</v>
      </c>
      <c r="K41" s="319"/>
      <c r="M41" s="328"/>
    </row>
    <row r="42" spans="1:14" x14ac:dyDescent="0.25">
      <c r="A42" s="10" t="s">
        <v>277</v>
      </c>
      <c r="B42" s="10"/>
      <c r="C42" s="10"/>
      <c r="D42" s="10"/>
      <c r="E42" s="10"/>
      <c r="F42" s="10"/>
      <c r="G42" s="324">
        <f>G5+G7+G20+G27+G35+G39</f>
        <v>3521020</v>
      </c>
      <c r="H42" s="324">
        <f>H5+H7+H20+H27+H35+H39+H31</f>
        <v>46452240</v>
      </c>
      <c r="I42" s="324">
        <f>H42/TC</f>
        <v>2700711.6279069767</v>
      </c>
      <c r="J42" s="324">
        <f>J5+J7+J20+J27+J35+J39+J24+J31+J33</f>
        <v>4083.02</v>
      </c>
      <c r="K42" s="10"/>
    </row>
    <row r="43" spans="1:14" x14ac:dyDescent="0.25">
      <c r="G43" s="307"/>
      <c r="H43" s="307"/>
      <c r="I43" s="312"/>
    </row>
    <row r="44" spans="1:14" x14ac:dyDescent="0.25">
      <c r="A44" s="10" t="s">
        <v>278</v>
      </c>
      <c r="B44" s="10"/>
      <c r="C44" s="10"/>
      <c r="D44" s="10"/>
      <c r="E44" s="10"/>
      <c r="F44" s="10"/>
      <c r="G44" s="323">
        <f>G42/TC</f>
        <v>204710.46511627908</v>
      </c>
      <c r="H44" s="323">
        <f>H42/TC</f>
        <v>2700711.6279069767</v>
      </c>
      <c r="I44" s="313"/>
      <c r="J44" s="323">
        <f>J42/TC</f>
        <v>237.38488372093025</v>
      </c>
      <c r="K44" s="10"/>
    </row>
    <row r="50" spans="2:9" x14ac:dyDescent="0.25">
      <c r="B50" s="248" t="s">
        <v>602</v>
      </c>
      <c r="C50" s="248" t="s">
        <v>608</v>
      </c>
    </row>
    <row r="51" spans="2:9" x14ac:dyDescent="0.25">
      <c r="B51" t="s">
        <v>259</v>
      </c>
      <c r="C51" s="229">
        <f>I39</f>
        <v>48837.20930232558</v>
      </c>
    </row>
    <row r="52" spans="2:9" x14ac:dyDescent="0.25">
      <c r="B52" t="s">
        <v>612</v>
      </c>
      <c r="C52" s="229">
        <f>I24</f>
        <v>46744.186046511633</v>
      </c>
    </row>
    <row r="53" spans="2:9" x14ac:dyDescent="0.25">
      <c r="B53" t="s">
        <v>603</v>
      </c>
      <c r="C53" s="229">
        <f>I5</f>
        <v>1246772.0930232559</v>
      </c>
    </row>
    <row r="54" spans="2:9" x14ac:dyDescent="0.25">
      <c r="B54" t="s">
        <v>620</v>
      </c>
      <c r="C54" s="229">
        <f>I33</f>
        <v>27906.976744186049</v>
      </c>
    </row>
    <row r="55" spans="2:9" x14ac:dyDescent="0.25">
      <c r="B55" t="s">
        <v>607</v>
      </c>
      <c r="C55" s="229">
        <f>I35</f>
        <v>101162.79069767443</v>
      </c>
    </row>
    <row r="56" spans="2:9" x14ac:dyDescent="0.25">
      <c r="B56" t="s">
        <v>605</v>
      </c>
      <c r="C56" s="229">
        <f>I20</f>
        <v>286046.51162790699</v>
      </c>
    </row>
    <row r="57" spans="2:9" x14ac:dyDescent="0.25">
      <c r="B57" t="s">
        <v>604</v>
      </c>
      <c r="C57" s="229">
        <f>I7</f>
        <v>316744.18604651163</v>
      </c>
    </row>
    <row r="58" spans="2:9" x14ac:dyDescent="0.25">
      <c r="B58" t="s">
        <v>247</v>
      </c>
      <c r="C58" s="229">
        <f>I31</f>
        <v>244186.04651162791</v>
      </c>
    </row>
    <row r="59" spans="2:9" x14ac:dyDescent="0.25">
      <c r="B59" t="s">
        <v>234</v>
      </c>
      <c r="C59" s="229">
        <f>I27</f>
        <v>456962.79069767444</v>
      </c>
    </row>
    <row r="60" spans="2:9" x14ac:dyDescent="0.25">
      <c r="B60" t="s">
        <v>428</v>
      </c>
      <c r="C60" s="229">
        <f>-SUM(C51:C59)</f>
        <v>-2775362.7906976743</v>
      </c>
      <c r="H60" s="192"/>
      <c r="I60" s="168"/>
    </row>
    <row r="63" spans="2:9" x14ac:dyDescent="0.25">
      <c r="C63" s="229"/>
    </row>
    <row r="65" spans="2:3" x14ac:dyDescent="0.25">
      <c r="B65" s="335" t="s">
        <v>602</v>
      </c>
      <c r="C65" s="335" t="s">
        <v>608</v>
      </c>
    </row>
    <row r="66" spans="2:3" x14ac:dyDescent="0.25">
      <c r="B66" s="63" t="s">
        <v>603</v>
      </c>
      <c r="C66" s="334">
        <v>1072224</v>
      </c>
    </row>
    <row r="67" spans="2:3" x14ac:dyDescent="0.25">
      <c r="B67" s="63" t="s">
        <v>234</v>
      </c>
      <c r="C67" s="334">
        <v>392988</v>
      </c>
    </row>
    <row r="68" spans="2:3" x14ac:dyDescent="0.25">
      <c r="B68" s="63" t="s">
        <v>604</v>
      </c>
      <c r="C68" s="334">
        <v>272400</v>
      </c>
    </row>
    <row r="69" spans="2:3" x14ac:dyDescent="0.25">
      <c r="B69" s="63" t="s">
        <v>605</v>
      </c>
      <c r="C69" s="334">
        <v>246000</v>
      </c>
    </row>
    <row r="70" spans="2:3" x14ac:dyDescent="0.25">
      <c r="B70" s="63" t="s">
        <v>247</v>
      </c>
      <c r="C70" s="334">
        <v>210000</v>
      </c>
    </row>
    <row r="71" spans="2:3" x14ac:dyDescent="0.25">
      <c r="B71" s="63" t="s">
        <v>607</v>
      </c>
      <c r="C71" s="334">
        <v>87000</v>
      </c>
    </row>
    <row r="72" spans="2:3" x14ac:dyDescent="0.25">
      <c r="B72" s="63" t="s">
        <v>612</v>
      </c>
      <c r="C72" s="334">
        <v>60000</v>
      </c>
    </row>
    <row r="73" spans="2:3" x14ac:dyDescent="0.25">
      <c r="B73" s="63" t="s">
        <v>259</v>
      </c>
      <c r="C73" s="334">
        <v>42000</v>
      </c>
    </row>
    <row r="74" spans="2:3" x14ac:dyDescent="0.25">
      <c r="B74" s="63" t="s">
        <v>620</v>
      </c>
      <c r="C74" s="334">
        <v>19999.8</v>
      </c>
    </row>
    <row r="75" spans="2:3" x14ac:dyDescent="0.25">
      <c r="B75" s="63" t="s">
        <v>428</v>
      </c>
      <c r="C75" s="334">
        <v>-2402611.7999999998</v>
      </c>
    </row>
  </sheetData>
  <autoFilter ref="B65:C75" xr:uid="{A291263D-BC27-4C62-AC06-A534E8FE46D4}">
    <sortState xmlns:xlrd2="http://schemas.microsoft.com/office/spreadsheetml/2017/richdata2" ref="B66:C75">
      <sortCondition descending="1" ref="C65:C75"/>
    </sortState>
  </autoFilter>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B549-5F63-4ACD-907D-AF05A041CF18}">
  <sheetPr>
    <tabColor rgb="FF92D050"/>
  </sheetPr>
  <dimension ref="B2:E17"/>
  <sheetViews>
    <sheetView showGridLines="0" workbookViewId="0">
      <selection activeCell="E4" sqref="E4"/>
    </sheetView>
  </sheetViews>
  <sheetFormatPr defaultRowHeight="15" x14ac:dyDescent="0.25"/>
  <cols>
    <col min="2" max="2" width="10.28515625" bestFit="1" customWidth="1"/>
    <col min="3" max="3" width="30" bestFit="1" customWidth="1"/>
    <col min="4" max="4" width="14.28515625" bestFit="1" customWidth="1"/>
    <col min="5" max="5" width="65.7109375" customWidth="1"/>
  </cols>
  <sheetData>
    <row r="2" spans="2:5" x14ac:dyDescent="0.25">
      <c r="B2" s="326" t="s">
        <v>609</v>
      </c>
      <c r="C2" s="326" t="s">
        <v>610</v>
      </c>
      <c r="D2" s="326" t="s">
        <v>618</v>
      </c>
      <c r="E2" s="326" t="s">
        <v>611</v>
      </c>
    </row>
    <row r="3" spans="2:5" x14ac:dyDescent="0.25">
      <c r="B3" s="63" t="s">
        <v>612</v>
      </c>
      <c r="C3" s="63" t="s">
        <v>613</v>
      </c>
      <c r="D3" s="63" t="s">
        <v>47</v>
      </c>
      <c r="E3" s="63"/>
    </row>
    <row r="4" spans="2:5" x14ac:dyDescent="0.25">
      <c r="B4" s="63" t="s">
        <v>259</v>
      </c>
      <c r="C4" s="63" t="s">
        <v>614</v>
      </c>
      <c r="D4" s="327">
        <v>1000000</v>
      </c>
      <c r="E4" s="63"/>
    </row>
    <row r="5" spans="2:5" x14ac:dyDescent="0.25">
      <c r="B5" s="63" t="s">
        <v>615</v>
      </c>
      <c r="C5" s="63" t="s">
        <v>616</v>
      </c>
      <c r="D5" s="327">
        <v>380000</v>
      </c>
      <c r="E5" s="63" t="s">
        <v>617</v>
      </c>
    </row>
    <row r="6" spans="2:5" x14ac:dyDescent="0.25">
      <c r="B6" s="63"/>
      <c r="C6" s="63"/>
      <c r="D6" s="63"/>
      <c r="E6" s="63"/>
    </row>
    <row r="7" spans="2:5" x14ac:dyDescent="0.25">
      <c r="B7" s="63"/>
      <c r="C7" s="63"/>
      <c r="D7" s="63"/>
      <c r="E7" s="63"/>
    </row>
    <row r="8" spans="2:5" x14ac:dyDescent="0.25">
      <c r="B8" s="63"/>
      <c r="C8" s="63"/>
      <c r="D8" s="63"/>
      <c r="E8" s="63"/>
    </row>
    <row r="9" spans="2:5" x14ac:dyDescent="0.25">
      <c r="B9" s="63"/>
      <c r="C9" s="63"/>
      <c r="D9" s="63"/>
      <c r="E9" s="63"/>
    </row>
    <row r="10" spans="2:5" x14ac:dyDescent="0.25">
      <c r="B10" s="63"/>
      <c r="C10" s="63"/>
      <c r="D10" s="63"/>
      <c r="E10" s="63"/>
    </row>
    <row r="11" spans="2:5" x14ac:dyDescent="0.25">
      <c r="B11" s="63"/>
      <c r="C11" s="63"/>
      <c r="D11" s="63"/>
      <c r="E11" s="63"/>
    </row>
    <row r="12" spans="2:5" x14ac:dyDescent="0.25">
      <c r="B12" s="63"/>
      <c r="C12" s="63"/>
      <c r="D12" s="63"/>
      <c r="E12" s="63"/>
    </row>
    <row r="13" spans="2:5" x14ac:dyDescent="0.25">
      <c r="B13" s="63"/>
      <c r="C13" s="63"/>
      <c r="D13" s="63"/>
      <c r="E13" s="63"/>
    </row>
    <row r="14" spans="2:5" x14ac:dyDescent="0.25">
      <c r="B14" s="63"/>
      <c r="C14" s="63"/>
      <c r="D14" s="63"/>
      <c r="E14" s="63"/>
    </row>
    <row r="15" spans="2:5" x14ac:dyDescent="0.25">
      <c r="B15" s="63"/>
      <c r="C15" s="63"/>
      <c r="D15" s="63"/>
      <c r="E15" s="63"/>
    </row>
    <row r="16" spans="2:5" x14ac:dyDescent="0.25">
      <c r="B16" s="63"/>
      <c r="C16" s="63"/>
      <c r="D16" s="63"/>
      <c r="E16" s="63"/>
    </row>
    <row r="17" spans="2:5" x14ac:dyDescent="0.25">
      <c r="B17" s="63"/>
      <c r="C17" s="63"/>
      <c r="D17" s="63"/>
      <c r="E17" s="6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8EAD1-125F-45B4-883E-1E4ABC5032B2}">
  <dimension ref="B3:R13"/>
  <sheetViews>
    <sheetView showGridLines="0" tabSelected="1" workbookViewId="0">
      <selection activeCell="F9" sqref="F9"/>
    </sheetView>
  </sheetViews>
  <sheetFormatPr defaultRowHeight="15" x14ac:dyDescent="0.25"/>
  <cols>
    <col min="2" max="2" width="11" bestFit="1" customWidth="1"/>
    <col min="4" max="4" width="13.5703125" customWidth="1"/>
  </cols>
  <sheetData>
    <row r="3" spans="2:18" x14ac:dyDescent="0.25">
      <c r="C3" s="219" t="s">
        <v>417</v>
      </c>
      <c r="D3" s="219" t="s">
        <v>312</v>
      </c>
      <c r="E3" s="219" t="s">
        <v>418</v>
      </c>
      <c r="F3" s="220">
        <v>45658</v>
      </c>
      <c r="G3" s="220">
        <v>45689</v>
      </c>
      <c r="H3" s="220">
        <v>45717</v>
      </c>
      <c r="I3" s="220">
        <v>45748</v>
      </c>
      <c r="J3" s="220">
        <v>45778</v>
      </c>
      <c r="K3" s="220">
        <v>45809</v>
      </c>
      <c r="L3" s="220">
        <v>45839</v>
      </c>
      <c r="M3" s="220">
        <v>45870</v>
      </c>
      <c r="N3" s="220">
        <v>45901</v>
      </c>
      <c r="O3" s="220">
        <v>45931</v>
      </c>
      <c r="P3" s="220">
        <v>45962</v>
      </c>
      <c r="Q3" s="220">
        <v>45992</v>
      </c>
      <c r="R3" s="221" t="s">
        <v>419</v>
      </c>
    </row>
    <row r="4" spans="2:18" ht="25.5" x14ac:dyDescent="0.25">
      <c r="B4" s="308" t="s">
        <v>594</v>
      </c>
      <c r="C4" s="219" t="s">
        <v>420</v>
      </c>
      <c r="D4" s="222" t="s">
        <v>421</v>
      </c>
      <c r="E4" s="222" t="s">
        <v>422</v>
      </c>
      <c r="F4" s="223">
        <v>0.66</v>
      </c>
      <c r="G4" s="223">
        <v>0.73</v>
      </c>
      <c r="H4" s="223">
        <v>0.66</v>
      </c>
      <c r="I4" s="223">
        <v>0.66</v>
      </c>
      <c r="J4" s="223">
        <v>0.63</v>
      </c>
      <c r="K4" s="223">
        <v>0.64</v>
      </c>
      <c r="L4" s="223">
        <v>0.62</v>
      </c>
      <c r="M4" s="223">
        <v>0.61</v>
      </c>
      <c r="N4" s="223">
        <v>0.63</v>
      </c>
      <c r="O4" s="223">
        <v>0.61</v>
      </c>
      <c r="P4" s="223">
        <v>0.63</v>
      </c>
      <c r="Q4" s="223">
        <v>0.61</v>
      </c>
      <c r="R4" s="223">
        <v>0.61</v>
      </c>
    </row>
    <row r="5" spans="2:18" ht="38.25" x14ac:dyDescent="0.25">
      <c r="B5" s="309" t="s">
        <v>595</v>
      </c>
      <c r="C5" s="219" t="s">
        <v>423</v>
      </c>
      <c r="D5" s="222" t="s">
        <v>424</v>
      </c>
      <c r="E5" s="222" t="s">
        <v>422</v>
      </c>
      <c r="F5" s="223">
        <v>0.76</v>
      </c>
      <c r="G5" s="223">
        <v>0.61</v>
      </c>
      <c r="H5" s="223">
        <v>0.66</v>
      </c>
      <c r="I5" s="223">
        <v>0.53</v>
      </c>
      <c r="J5" s="223">
        <v>0.55000000000000004</v>
      </c>
      <c r="K5" s="223">
        <v>0.5</v>
      </c>
      <c r="L5" s="223">
        <v>0.52</v>
      </c>
      <c r="M5" s="223">
        <v>0.49</v>
      </c>
      <c r="N5" s="223">
        <v>0.5</v>
      </c>
      <c r="O5" s="223">
        <v>0.52</v>
      </c>
      <c r="P5" s="223">
        <v>0.6</v>
      </c>
      <c r="Q5" s="223">
        <v>0.55000000000000004</v>
      </c>
      <c r="R5" s="223">
        <v>0.54</v>
      </c>
    </row>
    <row r="6" spans="2:18" ht="25.5" x14ac:dyDescent="0.25">
      <c r="B6" s="308" t="s">
        <v>594</v>
      </c>
      <c r="C6" s="219" t="s">
        <v>423</v>
      </c>
      <c r="D6" s="222" t="s">
        <v>425</v>
      </c>
      <c r="E6" s="222" t="s">
        <v>422</v>
      </c>
      <c r="F6" s="223">
        <v>0.21</v>
      </c>
      <c r="G6" s="223">
        <v>0.15</v>
      </c>
      <c r="H6" s="223">
        <v>0.15</v>
      </c>
      <c r="I6" s="223">
        <v>0.3</v>
      </c>
      <c r="J6" s="223">
        <v>0.33</v>
      </c>
      <c r="K6" s="223">
        <v>0.13</v>
      </c>
      <c r="L6" s="223">
        <v>0.1</v>
      </c>
      <c r="M6" s="223">
        <v>0.09</v>
      </c>
      <c r="N6" s="223">
        <v>0.17</v>
      </c>
      <c r="O6" s="223">
        <v>0.13</v>
      </c>
      <c r="P6" s="223">
        <v>0.16</v>
      </c>
      <c r="Q6" s="223">
        <v>0.15</v>
      </c>
      <c r="R6" s="223">
        <v>0.16</v>
      </c>
    </row>
    <row r="7" spans="2:18" ht="38.25" x14ac:dyDescent="0.25">
      <c r="B7" s="308" t="s">
        <v>594</v>
      </c>
      <c r="C7" s="219" t="s">
        <v>423</v>
      </c>
      <c r="D7" s="222" t="s">
        <v>426</v>
      </c>
      <c r="E7" s="222" t="s">
        <v>422</v>
      </c>
      <c r="F7" s="223">
        <v>0.54</v>
      </c>
      <c r="G7" s="223">
        <v>0.54</v>
      </c>
      <c r="H7" s="223">
        <v>0.54</v>
      </c>
      <c r="I7" s="223">
        <v>0.54</v>
      </c>
      <c r="J7" s="223">
        <v>0.54</v>
      </c>
      <c r="K7" s="223">
        <v>0.54</v>
      </c>
      <c r="L7" s="223">
        <v>0.54</v>
      </c>
      <c r="M7" s="223">
        <v>0.54</v>
      </c>
      <c r="N7" s="223">
        <v>0.54</v>
      </c>
      <c r="O7" s="223">
        <v>0.54</v>
      </c>
      <c r="P7" s="223">
        <v>0.54</v>
      </c>
      <c r="Q7" s="223">
        <v>0.54</v>
      </c>
      <c r="R7" s="223">
        <v>0.51</v>
      </c>
    </row>
    <row r="8" spans="2:18" ht="25.5" x14ac:dyDescent="0.25">
      <c r="B8" s="309" t="s">
        <v>595</v>
      </c>
      <c r="C8" s="219" t="s">
        <v>423</v>
      </c>
      <c r="D8" s="222" t="s">
        <v>427</v>
      </c>
      <c r="E8" s="222" t="s">
        <v>422</v>
      </c>
      <c r="F8" s="223">
        <v>0.06</v>
      </c>
      <c r="G8" s="223">
        <v>0.06</v>
      </c>
      <c r="H8" s="223">
        <v>0.06</v>
      </c>
      <c r="I8" s="223">
        <v>0.05</v>
      </c>
      <c r="J8" s="223">
        <v>0.05</v>
      </c>
      <c r="K8" s="223">
        <v>0.05</v>
      </c>
      <c r="L8" s="223">
        <v>0.05</v>
      </c>
      <c r="M8" s="223">
        <v>0.05</v>
      </c>
      <c r="N8" s="223">
        <v>0.05</v>
      </c>
      <c r="O8" s="223">
        <v>0.05</v>
      </c>
      <c r="P8" s="223">
        <v>0.05</v>
      </c>
      <c r="Q8" s="223">
        <v>0.05</v>
      </c>
      <c r="R8" s="223">
        <v>0.05</v>
      </c>
    </row>
    <row r="9" spans="2:18" ht="25.5" x14ac:dyDescent="0.25">
      <c r="C9" s="219" t="s">
        <v>428</v>
      </c>
      <c r="D9" s="222" t="s">
        <v>429</v>
      </c>
      <c r="E9" s="222" t="s">
        <v>430</v>
      </c>
      <c r="F9" s="224">
        <f>SUM(F4:F8)</f>
        <v>2.23</v>
      </c>
      <c r="G9" s="224">
        <f t="shared" ref="G9:R9" si="0">SUM(G4:G8)</f>
        <v>2.09</v>
      </c>
      <c r="H9" s="224">
        <f t="shared" si="0"/>
        <v>2.0699999999999998</v>
      </c>
      <c r="I9" s="224">
        <f t="shared" si="0"/>
        <v>2.08</v>
      </c>
      <c r="J9" s="224">
        <f t="shared" si="0"/>
        <v>2.1</v>
      </c>
      <c r="K9" s="224">
        <f t="shared" si="0"/>
        <v>1.86</v>
      </c>
      <c r="L9" s="224">
        <f t="shared" si="0"/>
        <v>1.8300000000000003</v>
      </c>
      <c r="M9" s="224">
        <f t="shared" si="0"/>
        <v>1.7800000000000002</v>
      </c>
      <c r="N9" s="224">
        <f t="shared" si="0"/>
        <v>1.89</v>
      </c>
      <c r="O9" s="224">
        <f t="shared" si="0"/>
        <v>1.8499999999999999</v>
      </c>
      <c r="P9" s="224">
        <f t="shared" si="0"/>
        <v>1.98</v>
      </c>
      <c r="Q9" s="224">
        <f t="shared" si="0"/>
        <v>1.9000000000000001</v>
      </c>
      <c r="R9" s="224">
        <f t="shared" si="0"/>
        <v>1.8699999999999999</v>
      </c>
    </row>
    <row r="10" spans="2:18" ht="25.5" x14ac:dyDescent="0.25">
      <c r="C10" s="219" t="s">
        <v>428</v>
      </c>
      <c r="D10" s="222" t="s">
        <v>429</v>
      </c>
      <c r="E10" s="222" t="s">
        <v>14</v>
      </c>
      <c r="F10" s="225">
        <f>F9/Inputs!$C$10</f>
        <v>0.12965116279069769</v>
      </c>
      <c r="G10" s="225">
        <f>G9/Inputs!$C$10</f>
        <v>0.12151162790697674</v>
      </c>
      <c r="H10" s="225">
        <f>H9/Inputs!$C$10</f>
        <v>0.12034883720930233</v>
      </c>
      <c r="I10" s="225">
        <f>I9/Inputs!$C$10</f>
        <v>0.12093023255813955</v>
      </c>
      <c r="J10" s="225">
        <f>J9/Inputs!$C$10</f>
        <v>0.12209302325581396</v>
      </c>
      <c r="K10" s="225">
        <f>K9/Inputs!$C$10</f>
        <v>0.10813953488372094</v>
      </c>
      <c r="L10" s="225">
        <f>L9/Inputs!$C$10</f>
        <v>0.10639534883720933</v>
      </c>
      <c r="M10" s="225">
        <f>M9/Inputs!$C$10</f>
        <v>0.10348837209302328</v>
      </c>
      <c r="N10" s="225">
        <f>N9/Inputs!$C$10</f>
        <v>0.10988372093023256</v>
      </c>
      <c r="O10" s="225">
        <f>O9/Inputs!$C$10</f>
        <v>0.10755813953488372</v>
      </c>
      <c r="P10" s="225">
        <f>P9/Inputs!$C$10</f>
        <v>0.11511627906976744</v>
      </c>
      <c r="Q10" s="225">
        <f>Q9/Inputs!$C$10</f>
        <v>0.11046511627906978</v>
      </c>
      <c r="R10" s="225">
        <f>R9/Inputs!$C$10</f>
        <v>0.10872093023255813</v>
      </c>
    </row>
    <row r="11" spans="2:18" x14ac:dyDescent="0.25">
      <c r="F11">
        <f>0.07*17.5</f>
        <v>1.2250000000000001</v>
      </c>
    </row>
    <row r="13" spans="2:18" x14ac:dyDescent="0.25">
      <c r="F13" s="361"/>
      <c r="G13" s="361"/>
      <c r="H13" s="361"/>
      <c r="I13" s="361"/>
      <c r="J13" s="361"/>
      <c r="K13" s="361"/>
      <c r="L13" s="361"/>
      <c r="M13" s="361"/>
      <c r="N13" s="361"/>
      <c r="O13" s="361"/>
      <c r="P13" s="361"/>
      <c r="Q13" s="361"/>
      <c r="R13" s="36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21FB-5B1D-4D96-8F3B-90AFEF56C5A0}">
  <dimension ref="B2:S8"/>
  <sheetViews>
    <sheetView showGridLines="0" topLeftCell="B1" workbookViewId="0">
      <selection activeCell="G7" sqref="G7"/>
    </sheetView>
  </sheetViews>
  <sheetFormatPr defaultRowHeight="15" x14ac:dyDescent="0.25"/>
  <cols>
    <col min="2" max="2" width="23.28515625" bestFit="1" customWidth="1"/>
    <col min="4" max="4" width="16.140625" customWidth="1"/>
  </cols>
  <sheetData>
    <row r="2" spans="2:19" x14ac:dyDescent="0.25">
      <c r="C2" s="219" t="s">
        <v>417</v>
      </c>
      <c r="D2" s="219" t="s">
        <v>312</v>
      </c>
      <c r="E2" s="219" t="s">
        <v>418</v>
      </c>
      <c r="F2" s="220">
        <v>45658</v>
      </c>
      <c r="G2" s="220">
        <v>45689</v>
      </c>
      <c r="H2" s="220">
        <v>45717</v>
      </c>
      <c r="I2" s="220">
        <v>45748</v>
      </c>
      <c r="J2" s="220">
        <v>45778</v>
      </c>
      <c r="K2" s="220">
        <v>45809</v>
      </c>
      <c r="L2" s="220">
        <v>45839</v>
      </c>
      <c r="M2" s="220">
        <v>45870</v>
      </c>
      <c r="N2" s="220">
        <v>45901</v>
      </c>
      <c r="O2" s="220">
        <v>45931</v>
      </c>
      <c r="P2" s="220">
        <v>45962</v>
      </c>
      <c r="Q2" s="220">
        <v>45992</v>
      </c>
      <c r="R2" s="221" t="s">
        <v>419</v>
      </c>
    </row>
    <row r="3" spans="2:19" ht="25.5" x14ac:dyDescent="0.25">
      <c r="B3" s="310" t="s">
        <v>597</v>
      </c>
      <c r="C3" s="219" t="s">
        <v>431</v>
      </c>
      <c r="D3" s="219" t="s">
        <v>432</v>
      </c>
      <c r="E3" s="219" t="s">
        <v>422</v>
      </c>
      <c r="F3" s="223">
        <v>1.48</v>
      </c>
      <c r="G3" s="223">
        <v>1.65</v>
      </c>
      <c r="H3" s="223">
        <v>1.49</v>
      </c>
      <c r="I3" s="223">
        <v>1.48</v>
      </c>
      <c r="J3" s="223">
        <v>1.42</v>
      </c>
      <c r="K3" s="223">
        <v>1.43</v>
      </c>
      <c r="L3" s="223">
        <v>1.39</v>
      </c>
      <c r="M3" s="223">
        <v>1.38</v>
      </c>
      <c r="N3" s="223">
        <v>1.41</v>
      </c>
      <c r="O3" s="223">
        <v>1.38</v>
      </c>
      <c r="P3" s="223">
        <v>1.41</v>
      </c>
      <c r="Q3" s="223">
        <v>1.36</v>
      </c>
      <c r="R3" s="223">
        <v>1.38</v>
      </c>
      <c r="S3" s="241"/>
    </row>
    <row r="4" spans="2:19" ht="25.5" x14ac:dyDescent="0.25">
      <c r="B4" s="309" t="s">
        <v>595</v>
      </c>
      <c r="C4" s="219" t="s">
        <v>423</v>
      </c>
      <c r="D4" s="219" t="s">
        <v>433</v>
      </c>
      <c r="E4" s="219" t="s">
        <v>422</v>
      </c>
      <c r="F4" s="223">
        <v>0.04</v>
      </c>
      <c r="G4" s="226" t="s">
        <v>434</v>
      </c>
      <c r="H4" s="223">
        <v>0.04</v>
      </c>
      <c r="I4" s="226" t="s">
        <v>434</v>
      </c>
      <c r="J4" s="223">
        <v>0.04</v>
      </c>
      <c r="K4" s="226" t="s">
        <v>434</v>
      </c>
      <c r="L4" s="223">
        <v>0.05</v>
      </c>
      <c r="M4" s="223">
        <v>0.04</v>
      </c>
      <c r="N4" s="226" t="s">
        <v>434</v>
      </c>
      <c r="O4" s="223">
        <v>0.04</v>
      </c>
      <c r="P4" s="226" t="s">
        <v>434</v>
      </c>
      <c r="Q4" s="223">
        <v>0.06</v>
      </c>
      <c r="R4" s="223">
        <v>0.03</v>
      </c>
    </row>
    <row r="5" spans="2:19" ht="25.5" x14ac:dyDescent="0.25">
      <c r="B5" s="308" t="s">
        <v>594</v>
      </c>
      <c r="C5" s="219" t="s">
        <v>423</v>
      </c>
      <c r="D5" s="219" t="s">
        <v>425</v>
      </c>
      <c r="E5" s="219" t="s">
        <v>422</v>
      </c>
      <c r="F5" s="223">
        <v>0.2</v>
      </c>
      <c r="G5" s="223">
        <v>0.15</v>
      </c>
      <c r="H5" s="223">
        <v>0.14000000000000001</v>
      </c>
      <c r="I5" s="223">
        <v>0.3</v>
      </c>
      <c r="J5" s="223">
        <v>0.33</v>
      </c>
      <c r="K5" s="223">
        <v>0.13</v>
      </c>
      <c r="L5" s="223">
        <v>0.1</v>
      </c>
      <c r="M5" s="223">
        <v>0.09</v>
      </c>
      <c r="N5" s="223">
        <v>0.17</v>
      </c>
      <c r="O5" s="223">
        <v>0.12</v>
      </c>
      <c r="P5" s="223">
        <v>0.16</v>
      </c>
      <c r="Q5" s="223">
        <v>0.16</v>
      </c>
      <c r="R5" s="223">
        <v>0.16</v>
      </c>
    </row>
    <row r="6" spans="2:19" ht="25.5" x14ac:dyDescent="0.25">
      <c r="B6" s="308" t="s">
        <v>594</v>
      </c>
      <c r="C6" s="219" t="s">
        <v>423</v>
      </c>
      <c r="D6" s="219" t="s">
        <v>596</v>
      </c>
      <c r="E6" s="219" t="s">
        <v>422</v>
      </c>
      <c r="F6" s="223">
        <v>0.49</v>
      </c>
      <c r="G6" s="223">
        <v>0.49</v>
      </c>
      <c r="H6" s="223">
        <v>0.49</v>
      </c>
      <c r="I6" s="223">
        <v>0.49</v>
      </c>
      <c r="J6" s="223">
        <v>0.49</v>
      </c>
      <c r="K6" s="223">
        <v>0.49</v>
      </c>
      <c r="L6" s="223">
        <v>0.49</v>
      </c>
      <c r="M6" s="223">
        <v>0.49</v>
      </c>
      <c r="N6" s="223">
        <v>0.49</v>
      </c>
      <c r="O6" s="223">
        <v>0.49</v>
      </c>
      <c r="P6" s="223">
        <v>0.49</v>
      </c>
      <c r="Q6" s="223">
        <v>0.49</v>
      </c>
      <c r="R6" s="223">
        <v>0.47</v>
      </c>
    </row>
    <row r="7" spans="2:19" ht="25.5" x14ac:dyDescent="0.25">
      <c r="C7" s="219" t="s">
        <v>428</v>
      </c>
      <c r="D7" s="222" t="s">
        <v>429</v>
      </c>
      <c r="E7" s="222" t="s">
        <v>430</v>
      </c>
      <c r="F7" s="227">
        <f>SUM(F3:F6)</f>
        <v>2.21</v>
      </c>
      <c r="G7" s="227">
        <f t="shared" ref="G7:R7" si="0">SUM(G3:G6)</f>
        <v>2.29</v>
      </c>
      <c r="H7" s="227">
        <f t="shared" si="0"/>
        <v>2.16</v>
      </c>
      <c r="I7" s="227">
        <f t="shared" si="0"/>
        <v>2.27</v>
      </c>
      <c r="J7" s="227">
        <f t="shared" si="0"/>
        <v>2.2800000000000002</v>
      </c>
      <c r="K7" s="227">
        <f t="shared" si="0"/>
        <v>2.0499999999999998</v>
      </c>
      <c r="L7" s="227">
        <f t="shared" si="0"/>
        <v>2.0300000000000002</v>
      </c>
      <c r="M7" s="227">
        <f t="shared" si="0"/>
        <v>2</v>
      </c>
      <c r="N7" s="227">
        <f t="shared" si="0"/>
        <v>2.0699999999999998</v>
      </c>
      <c r="O7" s="227">
        <f t="shared" si="0"/>
        <v>2.0300000000000002</v>
      </c>
      <c r="P7" s="227">
        <f t="shared" si="0"/>
        <v>2.0599999999999996</v>
      </c>
      <c r="Q7" s="227">
        <f t="shared" si="0"/>
        <v>2.0700000000000003</v>
      </c>
      <c r="R7" s="227">
        <f t="shared" si="0"/>
        <v>2.04</v>
      </c>
    </row>
    <row r="8" spans="2:19" ht="25.5" x14ac:dyDescent="0.25">
      <c r="C8" s="219" t="s">
        <v>428</v>
      </c>
      <c r="D8" s="222" t="s">
        <v>429</v>
      </c>
      <c r="E8" s="222" t="s">
        <v>14</v>
      </c>
      <c r="F8" s="228">
        <f>F7/Inputs!$C$10</f>
        <v>0.12848837209302325</v>
      </c>
      <c r="G8" s="228">
        <f>G7/Inputs!$C$10</f>
        <v>0.13313953488372093</v>
      </c>
      <c r="H8" s="228">
        <f>H7/Inputs!$C$10</f>
        <v>0.12558139534883722</v>
      </c>
      <c r="I8" s="228">
        <f>I7/Inputs!$C$10</f>
        <v>0.13197674418604652</v>
      </c>
      <c r="J8" s="228">
        <f>J7/Inputs!$C$10</f>
        <v>0.13255813953488374</v>
      </c>
      <c r="K8" s="228">
        <f>K7/Inputs!$C$10</f>
        <v>0.1191860465116279</v>
      </c>
      <c r="L8" s="228">
        <f>L7/Inputs!$C$10</f>
        <v>0.11802325581395351</v>
      </c>
      <c r="M8" s="228">
        <f>M7/Inputs!$C$10</f>
        <v>0.11627906976744186</v>
      </c>
      <c r="N8" s="228">
        <f>N7/Inputs!$C$10</f>
        <v>0.12034883720930233</v>
      </c>
      <c r="O8" s="228">
        <f>O7/Inputs!$C$10</f>
        <v>0.11802325581395351</v>
      </c>
      <c r="P8" s="228">
        <f>P7/Inputs!$C$10</f>
        <v>0.1197674418604651</v>
      </c>
      <c r="Q8" s="228">
        <f>Q7/Inputs!$C$10</f>
        <v>0.12034883720930235</v>
      </c>
      <c r="R8" s="228">
        <f>R7/Inputs!$C$10</f>
        <v>0.1186046511627907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85FE-A864-4399-A050-4D934748D4D6}">
  <dimension ref="B3:E22"/>
  <sheetViews>
    <sheetView topLeftCell="A10" workbookViewId="0">
      <selection activeCell="D24" sqref="D24"/>
    </sheetView>
  </sheetViews>
  <sheetFormatPr defaultRowHeight="15" x14ac:dyDescent="0.25"/>
  <cols>
    <col min="2" max="2" width="19.140625" bestFit="1" customWidth="1"/>
    <col min="3" max="3" width="14.7109375" bestFit="1" customWidth="1"/>
    <col min="4" max="4" width="11.7109375" bestFit="1" customWidth="1"/>
    <col min="5" max="5" width="12.5703125" bestFit="1" customWidth="1"/>
  </cols>
  <sheetData>
    <row r="3" spans="2:5" x14ac:dyDescent="0.25">
      <c r="B3" s="242" t="s">
        <v>435</v>
      </c>
      <c r="C3" s="242" t="s">
        <v>436</v>
      </c>
      <c r="D3" s="242" t="s">
        <v>437</v>
      </c>
      <c r="E3" s="242" t="s">
        <v>438</v>
      </c>
    </row>
    <row r="4" spans="2:5" x14ac:dyDescent="0.25">
      <c r="B4" t="s">
        <v>439</v>
      </c>
      <c r="C4" t="s">
        <v>440</v>
      </c>
      <c r="D4">
        <v>1</v>
      </c>
      <c r="E4" s="243">
        <f>8309/Inputs!C10</f>
        <v>483.08139534883725</v>
      </c>
    </row>
    <row r="5" spans="2:5" x14ac:dyDescent="0.25">
      <c r="B5" t="s">
        <v>441</v>
      </c>
      <c r="C5" t="s">
        <v>442</v>
      </c>
      <c r="D5">
        <v>1</v>
      </c>
      <c r="E5" s="243">
        <f>4839/Inputs!C10</f>
        <v>281.33720930232562</v>
      </c>
    </row>
    <row r="6" spans="2:5" x14ac:dyDescent="0.25">
      <c r="B6" s="130" t="s">
        <v>443</v>
      </c>
      <c r="C6" s="130"/>
      <c r="D6" s="130"/>
      <c r="E6" s="246">
        <f>SUM(E4:E5)</f>
        <v>764.41860465116292</v>
      </c>
    </row>
    <row r="7" spans="2:5" x14ac:dyDescent="0.25">
      <c r="E7" s="243"/>
    </row>
    <row r="8" spans="2:5" x14ac:dyDescent="0.25">
      <c r="B8" s="242" t="s">
        <v>444</v>
      </c>
      <c r="C8" s="242"/>
      <c r="D8" s="242"/>
      <c r="E8" s="244">
        <v>35000</v>
      </c>
    </row>
    <row r="9" spans="2:5" x14ac:dyDescent="0.25">
      <c r="B9" s="130" t="s">
        <v>443</v>
      </c>
      <c r="C9" s="130"/>
      <c r="D9" s="130"/>
      <c r="E9" s="246">
        <f>SUM(E8)</f>
        <v>35000</v>
      </c>
    </row>
    <row r="11" spans="2:5" x14ac:dyDescent="0.25">
      <c r="B11" s="242" t="s">
        <v>445</v>
      </c>
      <c r="C11" s="242" t="s">
        <v>446</v>
      </c>
      <c r="D11" s="242" t="s">
        <v>447</v>
      </c>
      <c r="E11" s="242" t="s">
        <v>448</v>
      </c>
    </row>
    <row r="12" spans="2:5" x14ac:dyDescent="0.25">
      <c r="B12" t="s">
        <v>449</v>
      </c>
    </row>
    <row r="13" spans="2:5" x14ac:dyDescent="0.25">
      <c r="B13" t="s">
        <v>450</v>
      </c>
    </row>
    <row r="14" spans="2:5" x14ac:dyDescent="0.25">
      <c r="B14" t="s">
        <v>451</v>
      </c>
    </row>
    <row r="15" spans="2:5" x14ac:dyDescent="0.25">
      <c r="B15" t="s">
        <v>452</v>
      </c>
    </row>
    <row r="16" spans="2:5" x14ac:dyDescent="0.25">
      <c r="B16" s="130" t="s">
        <v>443</v>
      </c>
      <c r="C16" s="130"/>
      <c r="D16" s="130"/>
      <c r="E16" s="246">
        <f>SUM(E14:E15)</f>
        <v>0</v>
      </c>
    </row>
    <row r="18" spans="2:5" x14ac:dyDescent="0.25">
      <c r="B18" s="242" t="s">
        <v>453</v>
      </c>
      <c r="C18" s="242"/>
      <c r="D18" s="242"/>
      <c r="E18" s="245" t="s">
        <v>454</v>
      </c>
    </row>
    <row r="19" spans="2:5" x14ac:dyDescent="0.25">
      <c r="B19" s="130" t="s">
        <v>443</v>
      </c>
      <c r="C19" s="130"/>
      <c r="D19" s="130"/>
      <c r="E19" s="246" t="str">
        <f>E18</f>
        <v>44,670.00</v>
      </c>
    </row>
    <row r="21" spans="2:5" x14ac:dyDescent="0.25">
      <c r="B21" s="242" t="s">
        <v>455</v>
      </c>
      <c r="C21" s="242"/>
      <c r="D21" s="242"/>
      <c r="E21" s="242"/>
    </row>
    <row r="22" spans="2:5" x14ac:dyDescent="0.25">
      <c r="B22" s="130" t="s">
        <v>443</v>
      </c>
      <c r="C22" s="130"/>
      <c r="D22" s="130"/>
      <c r="E22" s="246">
        <f>SUM(E20:E21)</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5745-8AF3-4967-99B0-E374F5F82DA9}">
  <dimension ref="C3:I91"/>
  <sheetViews>
    <sheetView workbookViewId="0">
      <selection activeCell="L6" sqref="L6"/>
    </sheetView>
  </sheetViews>
  <sheetFormatPr defaultRowHeight="15" x14ac:dyDescent="0.25"/>
  <cols>
    <col min="5" max="5" width="68" bestFit="1" customWidth="1"/>
    <col min="6" max="6" width="7" bestFit="1" customWidth="1"/>
    <col min="7" max="7" width="19.140625" bestFit="1" customWidth="1"/>
    <col min="8" max="8" width="16.85546875" bestFit="1" customWidth="1"/>
    <col min="9" max="9" width="17.42578125" bestFit="1" customWidth="1"/>
  </cols>
  <sheetData>
    <row r="3" spans="3:9" ht="15.75" thickBot="1" x14ac:dyDescent="0.3"/>
    <row r="4" spans="3:9" ht="15.75" thickTop="1" x14ac:dyDescent="0.25">
      <c r="C4" s="130" t="s">
        <v>475</v>
      </c>
      <c r="E4" s="249" t="s">
        <v>463</v>
      </c>
      <c r="F4" s="250" t="s">
        <v>464</v>
      </c>
      <c r="G4" s="250" t="s">
        <v>465</v>
      </c>
      <c r="H4" s="250" t="s">
        <v>466</v>
      </c>
      <c r="I4" s="251" t="s">
        <v>467</v>
      </c>
    </row>
    <row r="5" spans="3:9" x14ac:dyDescent="0.25">
      <c r="E5" s="252" t="s">
        <v>468</v>
      </c>
      <c r="F5" s="253">
        <v>2</v>
      </c>
      <c r="G5" s="253" t="s">
        <v>469</v>
      </c>
      <c r="H5" s="254">
        <v>154790</v>
      </c>
      <c r="I5" s="255">
        <f>F5*H5</f>
        <v>309580</v>
      </c>
    </row>
    <row r="6" spans="3:9" x14ac:dyDescent="0.25">
      <c r="E6" s="252" t="s">
        <v>470</v>
      </c>
      <c r="F6" s="253">
        <v>2</v>
      </c>
      <c r="G6" s="253" t="s">
        <v>469</v>
      </c>
      <c r="H6" s="254">
        <v>5910</v>
      </c>
      <c r="I6" s="255">
        <f>F6*H6</f>
        <v>11820</v>
      </c>
    </row>
    <row r="7" spans="3:9" x14ac:dyDescent="0.25">
      <c r="E7" s="252" t="s">
        <v>471</v>
      </c>
      <c r="F7" s="253">
        <v>1</v>
      </c>
      <c r="G7" s="253" t="s">
        <v>469</v>
      </c>
      <c r="H7" s="254">
        <v>24870</v>
      </c>
      <c r="I7" s="255">
        <f>F7*H7</f>
        <v>24870</v>
      </c>
    </row>
    <row r="8" spans="3:9" x14ac:dyDescent="0.25">
      <c r="E8" s="256" t="s">
        <v>472</v>
      </c>
      <c r="F8" s="253">
        <v>2</v>
      </c>
      <c r="G8" s="253" t="s">
        <v>469</v>
      </c>
      <c r="H8" s="254">
        <v>17490</v>
      </c>
      <c r="I8" s="255">
        <f>F8*H8</f>
        <v>34980</v>
      </c>
    </row>
    <row r="9" spans="3:9" x14ac:dyDescent="0.25">
      <c r="E9" s="256" t="s">
        <v>473</v>
      </c>
      <c r="F9" s="253">
        <v>2</v>
      </c>
      <c r="G9" s="253" t="s">
        <v>469</v>
      </c>
      <c r="H9" s="254">
        <v>4610</v>
      </c>
      <c r="I9" s="255">
        <f>F9*H9</f>
        <v>9220</v>
      </c>
    </row>
    <row r="10" spans="3:9" ht="15.75" thickBot="1" x14ac:dyDescent="0.3">
      <c r="E10" s="257" t="s">
        <v>474</v>
      </c>
      <c r="F10" s="258" t="s">
        <v>474</v>
      </c>
      <c r="G10" s="258" t="s">
        <v>474</v>
      </c>
      <c r="H10" s="258" t="s">
        <v>428</v>
      </c>
      <c r="I10" s="259">
        <f>SUM(I5:I9)</f>
        <v>390470</v>
      </c>
    </row>
    <row r="11" spans="3:9" ht="15.75" thickTop="1" x14ac:dyDescent="0.25"/>
    <row r="13" spans="3:9" x14ac:dyDescent="0.25">
      <c r="C13" s="130" t="s">
        <v>488</v>
      </c>
      <c r="E13" s="260" t="s">
        <v>476</v>
      </c>
      <c r="F13" s="260" t="s">
        <v>464</v>
      </c>
      <c r="G13" s="260" t="s">
        <v>477</v>
      </c>
    </row>
    <row r="14" spans="3:9" x14ac:dyDescent="0.25">
      <c r="E14" s="261" t="s">
        <v>478</v>
      </c>
      <c r="F14" s="262">
        <v>2</v>
      </c>
      <c r="G14" s="261" t="s">
        <v>479</v>
      </c>
    </row>
    <row r="15" spans="3:9" x14ac:dyDescent="0.25">
      <c r="E15" s="263" t="s">
        <v>489</v>
      </c>
      <c r="F15" s="264"/>
      <c r="G15" s="264"/>
    </row>
    <row r="16" spans="3:9" x14ac:dyDescent="0.25">
      <c r="E16" s="263" t="s">
        <v>490</v>
      </c>
      <c r="F16" s="264"/>
      <c r="G16" s="264"/>
    </row>
    <row r="17" spans="3:8" x14ac:dyDescent="0.25">
      <c r="E17" s="263" t="s">
        <v>491</v>
      </c>
      <c r="F17" s="264"/>
      <c r="G17" s="264"/>
    </row>
    <row r="18" spans="3:8" x14ac:dyDescent="0.25">
      <c r="E18" s="263" t="s">
        <v>492</v>
      </c>
      <c r="F18" s="264"/>
      <c r="G18" s="264"/>
    </row>
    <row r="19" spans="3:8" x14ac:dyDescent="0.25">
      <c r="E19" s="265" t="s">
        <v>480</v>
      </c>
      <c r="F19" s="264"/>
      <c r="G19" s="264"/>
    </row>
    <row r="20" spans="3:8" x14ac:dyDescent="0.25">
      <c r="E20" s="263" t="s">
        <v>493</v>
      </c>
      <c r="F20" s="264"/>
      <c r="G20" s="264"/>
    </row>
    <row r="21" spans="3:8" x14ac:dyDescent="0.25">
      <c r="E21" s="265" t="s">
        <v>481</v>
      </c>
      <c r="F21" s="264"/>
      <c r="G21" s="264"/>
    </row>
    <row r="22" spans="3:8" ht="45" x14ac:dyDescent="0.25">
      <c r="E22" s="266" t="s">
        <v>482</v>
      </c>
      <c r="F22" s="264"/>
      <c r="G22" s="264"/>
    </row>
    <row r="23" spans="3:8" x14ac:dyDescent="0.25">
      <c r="E23" s="265" t="s">
        <v>483</v>
      </c>
      <c r="F23" s="264"/>
      <c r="G23" s="264"/>
    </row>
    <row r="24" spans="3:8" x14ac:dyDescent="0.25">
      <c r="E24" s="265" t="s">
        <v>484</v>
      </c>
      <c r="F24" s="264"/>
      <c r="G24" s="264"/>
    </row>
    <row r="25" spans="3:8" x14ac:dyDescent="0.25">
      <c r="E25" s="265" t="s">
        <v>485</v>
      </c>
      <c r="F25" s="264"/>
      <c r="G25" s="264"/>
    </row>
    <row r="26" spans="3:8" x14ac:dyDescent="0.25">
      <c r="E26" s="267" t="s">
        <v>486</v>
      </c>
      <c r="F26" s="268"/>
      <c r="G26" s="268"/>
    </row>
    <row r="27" spans="3:8" x14ac:dyDescent="0.25">
      <c r="E27" s="269" t="s">
        <v>494</v>
      </c>
      <c r="F27" s="270">
        <v>1</v>
      </c>
      <c r="G27" s="271" t="s">
        <v>479</v>
      </c>
    </row>
    <row r="28" spans="3:8" x14ac:dyDescent="0.25">
      <c r="E28" s="369" t="s">
        <v>428</v>
      </c>
      <c r="F28" s="370"/>
      <c r="G28" s="271" t="s">
        <v>487</v>
      </c>
    </row>
    <row r="31" spans="3:8" ht="15.75" thickBot="1" x14ac:dyDescent="0.3">
      <c r="E31" s="272"/>
    </row>
    <row r="32" spans="3:8" x14ac:dyDescent="0.25">
      <c r="C32" s="130" t="s">
        <v>538</v>
      </c>
      <c r="E32" s="273" t="s">
        <v>537</v>
      </c>
      <c r="F32" s="274" t="s">
        <v>535</v>
      </c>
      <c r="G32" s="274" t="s">
        <v>536</v>
      </c>
      <c r="H32" s="275" t="s">
        <v>443</v>
      </c>
    </row>
    <row r="33" spans="5:8" x14ac:dyDescent="0.25">
      <c r="E33" s="276"/>
      <c r="H33" s="277"/>
    </row>
    <row r="34" spans="5:8" x14ac:dyDescent="0.25">
      <c r="E34" s="276" t="s">
        <v>495</v>
      </c>
      <c r="F34" s="137">
        <v>2</v>
      </c>
      <c r="G34" s="278">
        <v>241468</v>
      </c>
      <c r="H34" s="279">
        <f>F34*G34</f>
        <v>482936</v>
      </c>
    </row>
    <row r="35" spans="5:8" x14ac:dyDescent="0.25">
      <c r="E35" s="276" t="s">
        <v>496</v>
      </c>
      <c r="H35" s="277"/>
    </row>
    <row r="36" spans="5:8" x14ac:dyDescent="0.25">
      <c r="E36" s="276" t="s">
        <v>497</v>
      </c>
      <c r="H36" s="277"/>
    </row>
    <row r="37" spans="5:8" x14ac:dyDescent="0.25">
      <c r="E37" s="276" t="s">
        <v>498</v>
      </c>
      <c r="H37" s="277"/>
    </row>
    <row r="38" spans="5:8" x14ac:dyDescent="0.25">
      <c r="E38" s="276" t="s">
        <v>499</v>
      </c>
      <c r="H38" s="277"/>
    </row>
    <row r="39" spans="5:8" x14ac:dyDescent="0.25">
      <c r="E39" s="280" t="s">
        <v>500</v>
      </c>
      <c r="H39" s="277"/>
    </row>
    <row r="40" spans="5:8" x14ac:dyDescent="0.25">
      <c r="E40" s="281" t="s">
        <v>501</v>
      </c>
      <c r="H40" s="277"/>
    </row>
    <row r="41" spans="5:8" x14ac:dyDescent="0.25">
      <c r="E41" s="280" t="s">
        <v>502</v>
      </c>
      <c r="H41" s="277"/>
    </row>
    <row r="42" spans="5:8" x14ac:dyDescent="0.25">
      <c r="E42" s="281" t="s">
        <v>503</v>
      </c>
      <c r="H42" s="277"/>
    </row>
    <row r="43" spans="5:8" x14ac:dyDescent="0.25">
      <c r="E43" s="281" t="s">
        <v>504</v>
      </c>
      <c r="H43" s="277"/>
    </row>
    <row r="44" spans="5:8" x14ac:dyDescent="0.25">
      <c r="E44" s="282" t="s">
        <v>505</v>
      </c>
      <c r="H44" s="277"/>
    </row>
    <row r="45" spans="5:8" x14ac:dyDescent="0.25">
      <c r="E45" s="276" t="s">
        <v>506</v>
      </c>
      <c r="H45" s="277"/>
    </row>
    <row r="46" spans="5:8" x14ac:dyDescent="0.25">
      <c r="E46" s="280" t="s">
        <v>507</v>
      </c>
      <c r="H46" s="277"/>
    </row>
    <row r="47" spans="5:8" x14ac:dyDescent="0.25">
      <c r="E47" s="281" t="s">
        <v>508</v>
      </c>
      <c r="H47" s="277"/>
    </row>
    <row r="48" spans="5:8" x14ac:dyDescent="0.25">
      <c r="E48" s="281" t="s">
        <v>509</v>
      </c>
      <c r="H48" s="277"/>
    </row>
    <row r="49" spans="5:8" x14ac:dyDescent="0.25">
      <c r="E49" s="281" t="s">
        <v>510</v>
      </c>
      <c r="H49" s="277"/>
    </row>
    <row r="50" spans="5:8" x14ac:dyDescent="0.25">
      <c r="E50" s="280" t="s">
        <v>511</v>
      </c>
      <c r="H50" s="277"/>
    </row>
    <row r="51" spans="5:8" x14ac:dyDescent="0.25">
      <c r="E51" s="281" t="s">
        <v>512</v>
      </c>
      <c r="H51" s="277"/>
    </row>
    <row r="52" spans="5:8" x14ac:dyDescent="0.25">
      <c r="E52" s="280" t="s">
        <v>513</v>
      </c>
      <c r="H52" s="277"/>
    </row>
    <row r="53" spans="5:8" x14ac:dyDescent="0.25">
      <c r="E53" s="280" t="s">
        <v>514</v>
      </c>
      <c r="H53" s="277"/>
    </row>
    <row r="54" spans="5:8" x14ac:dyDescent="0.25">
      <c r="E54" s="281" t="s">
        <v>515</v>
      </c>
      <c r="H54" s="277"/>
    </row>
    <row r="55" spans="5:8" x14ac:dyDescent="0.25">
      <c r="E55" s="280" t="s">
        <v>516</v>
      </c>
      <c r="H55" s="277"/>
    </row>
    <row r="56" spans="5:8" x14ac:dyDescent="0.25">
      <c r="E56" s="280" t="s">
        <v>517</v>
      </c>
      <c r="H56" s="277"/>
    </row>
    <row r="57" spans="5:8" x14ac:dyDescent="0.25">
      <c r="E57" s="283" t="s">
        <v>518</v>
      </c>
      <c r="H57" s="277"/>
    </row>
    <row r="58" spans="5:8" x14ac:dyDescent="0.25">
      <c r="E58" s="283" t="s">
        <v>519</v>
      </c>
      <c r="H58" s="277"/>
    </row>
    <row r="59" spans="5:8" x14ac:dyDescent="0.25">
      <c r="E59" s="283" t="s">
        <v>520</v>
      </c>
      <c r="H59" s="277"/>
    </row>
    <row r="60" spans="5:8" x14ac:dyDescent="0.25">
      <c r="E60" s="283" t="s">
        <v>521</v>
      </c>
      <c r="H60" s="277"/>
    </row>
    <row r="61" spans="5:8" x14ac:dyDescent="0.25">
      <c r="E61" s="283" t="s">
        <v>522</v>
      </c>
      <c r="H61" s="277"/>
    </row>
    <row r="62" spans="5:8" x14ac:dyDescent="0.25">
      <c r="E62" s="280" t="s">
        <v>523</v>
      </c>
      <c r="H62" s="277"/>
    </row>
    <row r="63" spans="5:8" x14ac:dyDescent="0.25">
      <c r="E63" s="283" t="s">
        <v>524</v>
      </c>
      <c r="H63" s="277"/>
    </row>
    <row r="64" spans="5:8" x14ac:dyDescent="0.25">
      <c r="E64" s="283" t="s">
        <v>525</v>
      </c>
      <c r="H64" s="277"/>
    </row>
    <row r="65" spans="5:8" x14ac:dyDescent="0.25">
      <c r="E65" s="283" t="s">
        <v>526</v>
      </c>
      <c r="H65" s="277"/>
    </row>
    <row r="66" spans="5:8" x14ac:dyDescent="0.25">
      <c r="E66" s="281" t="s">
        <v>527</v>
      </c>
      <c r="H66" s="277"/>
    </row>
    <row r="67" spans="5:8" x14ac:dyDescent="0.25">
      <c r="E67" s="280" t="s">
        <v>528</v>
      </c>
      <c r="H67" s="277"/>
    </row>
    <row r="68" spans="5:8" x14ac:dyDescent="0.25">
      <c r="E68" s="280" t="s">
        <v>529</v>
      </c>
      <c r="H68" s="277"/>
    </row>
    <row r="69" spans="5:8" x14ac:dyDescent="0.25">
      <c r="E69" s="284"/>
      <c r="H69" s="277"/>
    </row>
    <row r="70" spans="5:8" x14ac:dyDescent="0.25">
      <c r="E70" s="276" t="s">
        <v>530</v>
      </c>
      <c r="F70">
        <v>2</v>
      </c>
      <c r="G70" t="s">
        <v>479</v>
      </c>
      <c r="H70" s="277" t="s">
        <v>479</v>
      </c>
    </row>
    <row r="71" spans="5:8" x14ac:dyDescent="0.25">
      <c r="E71" s="281" t="s">
        <v>531</v>
      </c>
      <c r="H71" s="277"/>
    </row>
    <row r="72" spans="5:8" x14ac:dyDescent="0.25">
      <c r="E72" s="280" t="s">
        <v>532</v>
      </c>
      <c r="H72" s="277"/>
    </row>
    <row r="73" spans="5:8" x14ac:dyDescent="0.25">
      <c r="E73" s="280" t="s">
        <v>533</v>
      </c>
      <c r="H73" s="277"/>
    </row>
    <row r="74" spans="5:8" x14ac:dyDescent="0.25">
      <c r="E74" s="280" t="s">
        <v>534</v>
      </c>
      <c r="H74" s="277"/>
    </row>
    <row r="75" spans="5:8" x14ac:dyDescent="0.25">
      <c r="E75" s="276"/>
      <c r="H75" s="277"/>
    </row>
    <row r="76" spans="5:8" x14ac:dyDescent="0.25">
      <c r="E76" s="287" t="s">
        <v>428</v>
      </c>
      <c r="F76" s="130"/>
      <c r="G76" s="130"/>
      <c r="H76" s="288">
        <f>H34</f>
        <v>482936</v>
      </c>
    </row>
    <row r="77" spans="5:8" x14ac:dyDescent="0.25">
      <c r="E77" s="276"/>
      <c r="H77" s="277"/>
    </row>
    <row r="78" spans="5:8" x14ac:dyDescent="0.25">
      <c r="E78" s="276"/>
      <c r="H78" s="277"/>
    </row>
    <row r="79" spans="5:8" x14ac:dyDescent="0.25">
      <c r="E79" s="276" t="s">
        <v>543</v>
      </c>
      <c r="F79" s="289" t="s">
        <v>544</v>
      </c>
      <c r="G79" s="289" t="s">
        <v>545</v>
      </c>
      <c r="H79" s="277" t="s">
        <v>443</v>
      </c>
    </row>
    <row r="80" spans="5:8" x14ac:dyDescent="0.25">
      <c r="E80" s="280" t="s">
        <v>539</v>
      </c>
      <c r="F80" t="s">
        <v>109</v>
      </c>
      <c r="G80" s="290">
        <v>2560</v>
      </c>
      <c r="H80" s="291">
        <f>G80</f>
        <v>2560</v>
      </c>
    </row>
    <row r="81" spans="5:8" x14ac:dyDescent="0.25">
      <c r="E81" s="280" t="s">
        <v>540</v>
      </c>
      <c r="H81" s="277"/>
    </row>
    <row r="82" spans="5:8" x14ac:dyDescent="0.25">
      <c r="E82" s="280" t="s">
        <v>541</v>
      </c>
      <c r="H82" s="277"/>
    </row>
    <row r="83" spans="5:8" x14ac:dyDescent="0.25">
      <c r="E83" s="276"/>
      <c r="H83" s="277"/>
    </row>
    <row r="84" spans="5:8" x14ac:dyDescent="0.25">
      <c r="E84" s="276"/>
      <c r="H84" s="277"/>
    </row>
    <row r="85" spans="5:8" x14ac:dyDescent="0.25">
      <c r="E85" s="276" t="s">
        <v>546</v>
      </c>
      <c r="F85" t="s">
        <v>109</v>
      </c>
      <c r="G85" s="292">
        <v>3400</v>
      </c>
      <c r="H85" s="291">
        <f>G85</f>
        <v>3400</v>
      </c>
    </row>
    <row r="86" spans="5:8" x14ac:dyDescent="0.25">
      <c r="E86" s="280" t="s">
        <v>547</v>
      </c>
      <c r="H86" s="277"/>
    </row>
    <row r="87" spans="5:8" x14ac:dyDescent="0.25">
      <c r="E87" s="280" t="s">
        <v>548</v>
      </c>
      <c r="H87" s="277"/>
    </row>
    <row r="88" spans="5:8" x14ac:dyDescent="0.25">
      <c r="E88" s="280" t="s">
        <v>542</v>
      </c>
      <c r="H88" s="277"/>
    </row>
    <row r="89" spans="5:8" x14ac:dyDescent="0.25">
      <c r="E89" s="284"/>
      <c r="H89" s="291">
        <f>H80+H85</f>
        <v>5960</v>
      </c>
    </row>
    <row r="90" spans="5:8" x14ac:dyDescent="0.25">
      <c r="E90" s="284"/>
      <c r="H90" s="277"/>
    </row>
    <row r="91" spans="5:8" ht="15.75" thickBot="1" x14ac:dyDescent="0.3">
      <c r="E91" s="293" t="s">
        <v>321</v>
      </c>
      <c r="F91" s="285"/>
      <c r="G91" s="285"/>
      <c r="H91" s="286">
        <f>H89+H76</f>
        <v>488896</v>
      </c>
    </row>
  </sheetData>
  <mergeCells count="1">
    <mergeCell ref="E28:F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3749D-DBD3-B746-8272-794A6A9B1246}">
  <dimension ref="A3:O101"/>
  <sheetViews>
    <sheetView topLeftCell="A11" zoomScale="110" zoomScaleNormal="110" workbookViewId="0">
      <selection activeCell="D1" sqref="D1"/>
    </sheetView>
  </sheetViews>
  <sheetFormatPr defaultColWidth="11.42578125" defaultRowHeight="15" x14ac:dyDescent="0.25"/>
  <cols>
    <col min="1" max="1" width="61.42578125" customWidth="1"/>
    <col min="2" max="6" width="14.28515625" style="32" customWidth="1"/>
    <col min="7" max="8" width="19.42578125" style="32" customWidth="1"/>
    <col min="9" max="10" width="18.28515625" style="33" customWidth="1"/>
    <col min="11" max="11" width="12.7109375" bestFit="1" customWidth="1"/>
    <col min="12" max="12" width="35.7109375" customWidth="1"/>
    <col min="13" max="13" width="16.7109375" customWidth="1"/>
    <col min="14" max="14" width="15" bestFit="1" customWidth="1"/>
    <col min="234" max="234" width="64.42578125" customWidth="1"/>
    <col min="235" max="235" width="10.140625" bestFit="1" customWidth="1"/>
    <col min="237" max="237" width="14.7109375" customWidth="1"/>
    <col min="238" max="238" width="16" customWidth="1"/>
    <col min="239" max="239" width="2.7109375" customWidth="1"/>
    <col min="242" max="242" width="12.42578125" bestFit="1" customWidth="1"/>
    <col min="244" max="244" width="12.42578125" bestFit="1" customWidth="1"/>
    <col min="490" max="490" width="64.42578125" customWidth="1"/>
    <col min="491" max="491" width="10.140625" bestFit="1" customWidth="1"/>
    <col min="493" max="493" width="14.7109375" customWidth="1"/>
    <col min="494" max="494" width="16" customWidth="1"/>
    <col min="495" max="495" width="2.7109375" customWidth="1"/>
    <col min="498" max="498" width="12.42578125" bestFit="1" customWidth="1"/>
    <col min="500" max="500" width="12.42578125" bestFit="1" customWidth="1"/>
    <col min="746" max="746" width="64.42578125" customWidth="1"/>
    <col min="747" max="747" width="10.140625" bestFit="1" customWidth="1"/>
    <col min="749" max="749" width="14.7109375" customWidth="1"/>
    <col min="750" max="750" width="16" customWidth="1"/>
    <col min="751" max="751" width="2.7109375" customWidth="1"/>
    <col min="754" max="754" width="12.42578125" bestFit="1" customWidth="1"/>
    <col min="756" max="756" width="12.42578125" bestFit="1" customWidth="1"/>
    <col min="1002" max="1002" width="64.42578125" customWidth="1"/>
    <col min="1003" max="1003" width="10.140625" bestFit="1" customWidth="1"/>
    <col min="1005" max="1005" width="14.7109375" customWidth="1"/>
    <col min="1006" max="1006" width="16" customWidth="1"/>
    <col min="1007" max="1007" width="2.7109375" customWidth="1"/>
    <col min="1010" max="1010" width="12.42578125" bestFit="1" customWidth="1"/>
    <col min="1012" max="1012" width="12.42578125" bestFit="1" customWidth="1"/>
    <col min="1258" max="1258" width="64.42578125" customWidth="1"/>
    <col min="1259" max="1259" width="10.140625" bestFit="1" customWidth="1"/>
    <col min="1261" max="1261" width="14.7109375" customWidth="1"/>
    <col min="1262" max="1262" width="16" customWidth="1"/>
    <col min="1263" max="1263" width="2.7109375" customWidth="1"/>
    <col min="1266" max="1266" width="12.42578125" bestFit="1" customWidth="1"/>
    <col min="1268" max="1268" width="12.42578125" bestFit="1" customWidth="1"/>
    <col min="1514" max="1514" width="64.42578125" customWidth="1"/>
    <col min="1515" max="1515" width="10.140625" bestFit="1" customWidth="1"/>
    <col min="1517" max="1517" width="14.7109375" customWidth="1"/>
    <col min="1518" max="1518" width="16" customWidth="1"/>
    <col min="1519" max="1519" width="2.7109375" customWidth="1"/>
    <col min="1522" max="1522" width="12.42578125" bestFit="1" customWidth="1"/>
    <col min="1524" max="1524" width="12.42578125" bestFit="1" customWidth="1"/>
    <col min="1770" max="1770" width="64.42578125" customWidth="1"/>
    <col min="1771" max="1771" width="10.140625" bestFit="1" customWidth="1"/>
    <col min="1773" max="1773" width="14.7109375" customWidth="1"/>
    <col min="1774" max="1774" width="16" customWidth="1"/>
    <col min="1775" max="1775" width="2.7109375" customWidth="1"/>
    <col min="1778" max="1778" width="12.42578125" bestFit="1" customWidth="1"/>
    <col min="1780" max="1780" width="12.42578125" bestFit="1" customWidth="1"/>
    <col min="2026" max="2026" width="64.42578125" customWidth="1"/>
    <col min="2027" max="2027" width="10.140625" bestFit="1" customWidth="1"/>
    <col min="2029" max="2029" width="14.7109375" customWidth="1"/>
    <col min="2030" max="2030" width="16" customWidth="1"/>
    <col min="2031" max="2031" width="2.7109375" customWidth="1"/>
    <col min="2034" max="2034" width="12.42578125" bestFit="1" customWidth="1"/>
    <col min="2036" max="2036" width="12.42578125" bestFit="1" customWidth="1"/>
    <col min="2282" max="2282" width="64.42578125" customWidth="1"/>
    <col min="2283" max="2283" width="10.140625" bestFit="1" customWidth="1"/>
    <col min="2285" max="2285" width="14.7109375" customWidth="1"/>
    <col min="2286" max="2286" width="16" customWidth="1"/>
    <col min="2287" max="2287" width="2.7109375" customWidth="1"/>
    <col min="2290" max="2290" width="12.42578125" bestFit="1" customWidth="1"/>
    <col min="2292" max="2292" width="12.42578125" bestFit="1" customWidth="1"/>
    <col min="2538" max="2538" width="64.42578125" customWidth="1"/>
    <col min="2539" max="2539" width="10.140625" bestFit="1" customWidth="1"/>
    <col min="2541" max="2541" width="14.7109375" customWidth="1"/>
    <col min="2542" max="2542" width="16" customWidth="1"/>
    <col min="2543" max="2543" width="2.7109375" customWidth="1"/>
    <col min="2546" max="2546" width="12.42578125" bestFit="1" customWidth="1"/>
    <col min="2548" max="2548" width="12.42578125" bestFit="1" customWidth="1"/>
    <col min="2794" max="2794" width="64.42578125" customWidth="1"/>
    <col min="2795" max="2795" width="10.140625" bestFit="1" customWidth="1"/>
    <col min="2797" max="2797" width="14.7109375" customWidth="1"/>
    <col min="2798" max="2798" width="16" customWidth="1"/>
    <col min="2799" max="2799" width="2.7109375" customWidth="1"/>
    <col min="2802" max="2802" width="12.42578125" bestFit="1" customWidth="1"/>
    <col min="2804" max="2804" width="12.42578125" bestFit="1" customWidth="1"/>
    <col min="3050" max="3050" width="64.42578125" customWidth="1"/>
    <col min="3051" max="3051" width="10.140625" bestFit="1" customWidth="1"/>
    <col min="3053" max="3053" width="14.7109375" customWidth="1"/>
    <col min="3054" max="3054" width="16" customWidth="1"/>
    <col min="3055" max="3055" width="2.7109375" customWidth="1"/>
    <col min="3058" max="3058" width="12.42578125" bestFit="1" customWidth="1"/>
    <col min="3060" max="3060" width="12.42578125" bestFit="1" customWidth="1"/>
    <col min="3306" max="3306" width="64.42578125" customWidth="1"/>
    <col min="3307" max="3307" width="10.140625" bestFit="1" customWidth="1"/>
    <col min="3309" max="3309" width="14.7109375" customWidth="1"/>
    <col min="3310" max="3310" width="16" customWidth="1"/>
    <col min="3311" max="3311" width="2.7109375" customWidth="1"/>
    <col min="3314" max="3314" width="12.42578125" bestFit="1" customWidth="1"/>
    <col min="3316" max="3316" width="12.42578125" bestFit="1" customWidth="1"/>
    <col min="3562" max="3562" width="64.42578125" customWidth="1"/>
    <col min="3563" max="3563" width="10.140625" bestFit="1" customWidth="1"/>
    <col min="3565" max="3565" width="14.7109375" customWidth="1"/>
    <col min="3566" max="3566" width="16" customWidth="1"/>
    <col min="3567" max="3567" width="2.7109375" customWidth="1"/>
    <col min="3570" max="3570" width="12.42578125" bestFit="1" customWidth="1"/>
    <col min="3572" max="3572" width="12.42578125" bestFit="1" customWidth="1"/>
    <col min="3818" max="3818" width="64.42578125" customWidth="1"/>
    <col min="3819" max="3819" width="10.140625" bestFit="1" customWidth="1"/>
    <col min="3821" max="3821" width="14.7109375" customWidth="1"/>
    <col min="3822" max="3822" width="16" customWidth="1"/>
    <col min="3823" max="3823" width="2.7109375" customWidth="1"/>
    <col min="3826" max="3826" width="12.42578125" bestFit="1" customWidth="1"/>
    <col min="3828" max="3828" width="12.42578125" bestFit="1" customWidth="1"/>
    <col min="4074" max="4074" width="64.42578125" customWidth="1"/>
    <col min="4075" max="4075" width="10.140625" bestFit="1" customWidth="1"/>
    <col min="4077" max="4077" width="14.7109375" customWidth="1"/>
    <col min="4078" max="4078" width="16" customWidth="1"/>
    <col min="4079" max="4079" width="2.7109375" customWidth="1"/>
    <col min="4082" max="4082" width="12.42578125" bestFit="1" customWidth="1"/>
    <col min="4084" max="4084" width="12.42578125" bestFit="1" customWidth="1"/>
    <col min="4330" max="4330" width="64.42578125" customWidth="1"/>
    <col min="4331" max="4331" width="10.140625" bestFit="1" customWidth="1"/>
    <col min="4333" max="4333" width="14.7109375" customWidth="1"/>
    <col min="4334" max="4334" width="16" customWidth="1"/>
    <col min="4335" max="4335" width="2.7109375" customWidth="1"/>
    <col min="4338" max="4338" width="12.42578125" bestFit="1" customWidth="1"/>
    <col min="4340" max="4340" width="12.42578125" bestFit="1" customWidth="1"/>
    <col min="4586" max="4586" width="64.42578125" customWidth="1"/>
    <col min="4587" max="4587" width="10.140625" bestFit="1" customWidth="1"/>
    <col min="4589" max="4589" width="14.7109375" customWidth="1"/>
    <col min="4590" max="4590" width="16" customWidth="1"/>
    <col min="4591" max="4591" width="2.7109375" customWidth="1"/>
    <col min="4594" max="4594" width="12.42578125" bestFit="1" customWidth="1"/>
    <col min="4596" max="4596" width="12.42578125" bestFit="1" customWidth="1"/>
    <col min="4842" max="4842" width="64.42578125" customWidth="1"/>
    <col min="4843" max="4843" width="10.140625" bestFit="1" customWidth="1"/>
    <col min="4845" max="4845" width="14.7109375" customWidth="1"/>
    <col min="4846" max="4846" width="16" customWidth="1"/>
    <col min="4847" max="4847" width="2.7109375" customWidth="1"/>
    <col min="4850" max="4850" width="12.42578125" bestFit="1" customWidth="1"/>
    <col min="4852" max="4852" width="12.42578125" bestFit="1" customWidth="1"/>
    <col min="5098" max="5098" width="64.42578125" customWidth="1"/>
    <col min="5099" max="5099" width="10.140625" bestFit="1" customWidth="1"/>
    <col min="5101" max="5101" width="14.7109375" customWidth="1"/>
    <col min="5102" max="5102" width="16" customWidth="1"/>
    <col min="5103" max="5103" width="2.7109375" customWidth="1"/>
    <col min="5106" max="5106" width="12.42578125" bestFit="1" customWidth="1"/>
    <col min="5108" max="5108" width="12.42578125" bestFit="1" customWidth="1"/>
    <col min="5354" max="5354" width="64.42578125" customWidth="1"/>
    <col min="5355" max="5355" width="10.140625" bestFit="1" customWidth="1"/>
    <col min="5357" max="5357" width="14.7109375" customWidth="1"/>
    <col min="5358" max="5358" width="16" customWidth="1"/>
    <col min="5359" max="5359" width="2.7109375" customWidth="1"/>
    <col min="5362" max="5362" width="12.42578125" bestFit="1" customWidth="1"/>
    <col min="5364" max="5364" width="12.42578125" bestFit="1" customWidth="1"/>
    <col min="5610" max="5610" width="64.42578125" customWidth="1"/>
    <col min="5611" max="5611" width="10.140625" bestFit="1" customWidth="1"/>
    <col min="5613" max="5613" width="14.7109375" customWidth="1"/>
    <col min="5614" max="5614" width="16" customWidth="1"/>
    <col min="5615" max="5615" width="2.7109375" customWidth="1"/>
    <col min="5618" max="5618" width="12.42578125" bestFit="1" customWidth="1"/>
    <col min="5620" max="5620" width="12.42578125" bestFit="1" customWidth="1"/>
    <col min="5866" max="5866" width="64.42578125" customWidth="1"/>
    <col min="5867" max="5867" width="10.140625" bestFit="1" customWidth="1"/>
    <col min="5869" max="5869" width="14.7109375" customWidth="1"/>
    <col min="5870" max="5870" width="16" customWidth="1"/>
    <col min="5871" max="5871" width="2.7109375" customWidth="1"/>
    <col min="5874" max="5874" width="12.42578125" bestFit="1" customWidth="1"/>
    <col min="5876" max="5876" width="12.42578125" bestFit="1" customWidth="1"/>
    <col min="6122" max="6122" width="64.42578125" customWidth="1"/>
    <col min="6123" max="6123" width="10.140625" bestFit="1" customWidth="1"/>
    <col min="6125" max="6125" width="14.7109375" customWidth="1"/>
    <col min="6126" max="6126" width="16" customWidth="1"/>
    <col min="6127" max="6127" width="2.7109375" customWidth="1"/>
    <col min="6130" max="6130" width="12.42578125" bestFit="1" customWidth="1"/>
    <col min="6132" max="6132" width="12.42578125" bestFit="1" customWidth="1"/>
    <col min="6378" max="6378" width="64.42578125" customWidth="1"/>
    <col min="6379" max="6379" width="10.140625" bestFit="1" customWidth="1"/>
    <col min="6381" max="6381" width="14.7109375" customWidth="1"/>
    <col min="6382" max="6382" width="16" customWidth="1"/>
    <col min="6383" max="6383" width="2.7109375" customWidth="1"/>
    <col min="6386" max="6386" width="12.42578125" bestFit="1" customWidth="1"/>
    <col min="6388" max="6388" width="12.42578125" bestFit="1" customWidth="1"/>
    <col min="6634" max="6634" width="64.42578125" customWidth="1"/>
    <col min="6635" max="6635" width="10.140625" bestFit="1" customWidth="1"/>
    <col min="6637" max="6637" width="14.7109375" customWidth="1"/>
    <col min="6638" max="6638" width="16" customWidth="1"/>
    <col min="6639" max="6639" width="2.7109375" customWidth="1"/>
    <col min="6642" max="6642" width="12.42578125" bestFit="1" customWidth="1"/>
    <col min="6644" max="6644" width="12.42578125" bestFit="1" customWidth="1"/>
    <col min="6890" max="6890" width="64.42578125" customWidth="1"/>
    <col min="6891" max="6891" width="10.140625" bestFit="1" customWidth="1"/>
    <col min="6893" max="6893" width="14.7109375" customWidth="1"/>
    <col min="6894" max="6894" width="16" customWidth="1"/>
    <col min="6895" max="6895" width="2.7109375" customWidth="1"/>
    <col min="6898" max="6898" width="12.42578125" bestFit="1" customWidth="1"/>
    <col min="6900" max="6900" width="12.42578125" bestFit="1" customWidth="1"/>
    <col min="7146" max="7146" width="64.42578125" customWidth="1"/>
    <col min="7147" max="7147" width="10.140625" bestFit="1" customWidth="1"/>
    <col min="7149" max="7149" width="14.7109375" customWidth="1"/>
    <col min="7150" max="7150" width="16" customWidth="1"/>
    <col min="7151" max="7151" width="2.7109375" customWidth="1"/>
    <col min="7154" max="7154" width="12.42578125" bestFit="1" customWidth="1"/>
    <col min="7156" max="7156" width="12.42578125" bestFit="1" customWidth="1"/>
    <col min="7402" max="7402" width="64.42578125" customWidth="1"/>
    <col min="7403" max="7403" width="10.140625" bestFit="1" customWidth="1"/>
    <col min="7405" max="7405" width="14.7109375" customWidth="1"/>
    <col min="7406" max="7406" width="16" customWidth="1"/>
    <col min="7407" max="7407" width="2.7109375" customWidth="1"/>
    <col min="7410" max="7410" width="12.42578125" bestFit="1" customWidth="1"/>
    <col min="7412" max="7412" width="12.42578125" bestFit="1" customWidth="1"/>
    <col min="7658" max="7658" width="64.42578125" customWidth="1"/>
    <col min="7659" max="7659" width="10.140625" bestFit="1" customWidth="1"/>
    <col min="7661" max="7661" width="14.7109375" customWidth="1"/>
    <col min="7662" max="7662" width="16" customWidth="1"/>
    <col min="7663" max="7663" width="2.7109375" customWidth="1"/>
    <col min="7666" max="7666" width="12.42578125" bestFit="1" customWidth="1"/>
    <col min="7668" max="7668" width="12.42578125" bestFit="1" customWidth="1"/>
    <col min="7914" max="7914" width="64.42578125" customWidth="1"/>
    <col min="7915" max="7915" width="10.140625" bestFit="1" customWidth="1"/>
    <col min="7917" max="7917" width="14.7109375" customWidth="1"/>
    <col min="7918" max="7918" width="16" customWidth="1"/>
    <col min="7919" max="7919" width="2.7109375" customWidth="1"/>
    <col min="7922" max="7922" width="12.42578125" bestFit="1" customWidth="1"/>
    <col min="7924" max="7924" width="12.42578125" bestFit="1" customWidth="1"/>
    <col min="8170" max="8170" width="64.42578125" customWidth="1"/>
    <col min="8171" max="8171" width="10.140625" bestFit="1" customWidth="1"/>
    <col min="8173" max="8173" width="14.7109375" customWidth="1"/>
    <col min="8174" max="8174" width="16" customWidth="1"/>
    <col min="8175" max="8175" width="2.7109375" customWidth="1"/>
    <col min="8178" max="8178" width="12.42578125" bestFit="1" customWidth="1"/>
    <col min="8180" max="8180" width="12.42578125" bestFit="1" customWidth="1"/>
    <col min="8426" max="8426" width="64.42578125" customWidth="1"/>
    <col min="8427" max="8427" width="10.140625" bestFit="1" customWidth="1"/>
    <col min="8429" max="8429" width="14.7109375" customWidth="1"/>
    <col min="8430" max="8430" width="16" customWidth="1"/>
    <col min="8431" max="8431" width="2.7109375" customWidth="1"/>
    <col min="8434" max="8434" width="12.42578125" bestFit="1" customWidth="1"/>
    <col min="8436" max="8436" width="12.42578125" bestFit="1" customWidth="1"/>
    <col min="8682" max="8682" width="64.42578125" customWidth="1"/>
    <col min="8683" max="8683" width="10.140625" bestFit="1" customWidth="1"/>
    <col min="8685" max="8685" width="14.7109375" customWidth="1"/>
    <col min="8686" max="8686" width="16" customWidth="1"/>
    <col min="8687" max="8687" width="2.7109375" customWidth="1"/>
    <col min="8690" max="8690" width="12.42578125" bestFit="1" customWidth="1"/>
    <col min="8692" max="8692" width="12.42578125" bestFit="1" customWidth="1"/>
    <col min="8938" max="8938" width="64.42578125" customWidth="1"/>
    <col min="8939" max="8939" width="10.140625" bestFit="1" customWidth="1"/>
    <col min="8941" max="8941" width="14.7109375" customWidth="1"/>
    <col min="8942" max="8942" width="16" customWidth="1"/>
    <col min="8943" max="8943" width="2.7109375" customWidth="1"/>
    <col min="8946" max="8946" width="12.42578125" bestFit="1" customWidth="1"/>
    <col min="8948" max="8948" width="12.42578125" bestFit="1" customWidth="1"/>
    <col min="9194" max="9194" width="64.42578125" customWidth="1"/>
    <col min="9195" max="9195" width="10.140625" bestFit="1" customWidth="1"/>
    <col min="9197" max="9197" width="14.7109375" customWidth="1"/>
    <col min="9198" max="9198" width="16" customWidth="1"/>
    <col min="9199" max="9199" width="2.7109375" customWidth="1"/>
    <col min="9202" max="9202" width="12.42578125" bestFit="1" customWidth="1"/>
    <col min="9204" max="9204" width="12.42578125" bestFit="1" customWidth="1"/>
    <col min="9450" max="9450" width="64.42578125" customWidth="1"/>
    <col min="9451" max="9451" width="10.140625" bestFit="1" customWidth="1"/>
    <col min="9453" max="9453" width="14.7109375" customWidth="1"/>
    <col min="9454" max="9454" width="16" customWidth="1"/>
    <col min="9455" max="9455" width="2.7109375" customWidth="1"/>
    <col min="9458" max="9458" width="12.42578125" bestFit="1" customWidth="1"/>
    <col min="9460" max="9460" width="12.42578125" bestFit="1" customWidth="1"/>
    <col min="9706" max="9706" width="64.42578125" customWidth="1"/>
    <col min="9707" max="9707" width="10.140625" bestFit="1" customWidth="1"/>
    <col min="9709" max="9709" width="14.7109375" customWidth="1"/>
    <col min="9710" max="9710" width="16" customWidth="1"/>
    <col min="9711" max="9711" width="2.7109375" customWidth="1"/>
    <col min="9714" max="9714" width="12.42578125" bestFit="1" customWidth="1"/>
    <col min="9716" max="9716" width="12.42578125" bestFit="1" customWidth="1"/>
    <col min="9962" max="9962" width="64.42578125" customWidth="1"/>
    <col min="9963" max="9963" width="10.140625" bestFit="1" customWidth="1"/>
    <col min="9965" max="9965" width="14.7109375" customWidth="1"/>
    <col min="9966" max="9966" width="16" customWidth="1"/>
    <col min="9967" max="9967" width="2.7109375" customWidth="1"/>
    <col min="9970" max="9970" width="12.42578125" bestFit="1" customWidth="1"/>
    <col min="9972" max="9972" width="12.42578125" bestFit="1" customWidth="1"/>
    <col min="10218" max="10218" width="64.42578125" customWidth="1"/>
    <col min="10219" max="10219" width="10.140625" bestFit="1" customWidth="1"/>
    <col min="10221" max="10221" width="14.7109375" customWidth="1"/>
    <col min="10222" max="10222" width="16" customWidth="1"/>
    <col min="10223" max="10223" width="2.7109375" customWidth="1"/>
    <col min="10226" max="10226" width="12.42578125" bestFit="1" customWidth="1"/>
    <col min="10228" max="10228" width="12.42578125" bestFit="1" customWidth="1"/>
    <col min="10474" max="10474" width="64.42578125" customWidth="1"/>
    <col min="10475" max="10475" width="10.140625" bestFit="1" customWidth="1"/>
    <col min="10477" max="10477" width="14.7109375" customWidth="1"/>
    <col min="10478" max="10478" width="16" customWidth="1"/>
    <col min="10479" max="10479" width="2.7109375" customWidth="1"/>
    <col min="10482" max="10482" width="12.42578125" bestFit="1" customWidth="1"/>
    <col min="10484" max="10484" width="12.42578125" bestFit="1" customWidth="1"/>
    <col min="10730" max="10730" width="64.42578125" customWidth="1"/>
    <col min="10731" max="10731" width="10.140625" bestFit="1" customWidth="1"/>
    <col min="10733" max="10733" width="14.7109375" customWidth="1"/>
    <col min="10734" max="10734" width="16" customWidth="1"/>
    <col min="10735" max="10735" width="2.7109375" customWidth="1"/>
    <col min="10738" max="10738" width="12.42578125" bestFit="1" customWidth="1"/>
    <col min="10740" max="10740" width="12.42578125" bestFit="1" customWidth="1"/>
    <col min="10986" max="10986" width="64.42578125" customWidth="1"/>
    <col min="10987" max="10987" width="10.140625" bestFit="1" customWidth="1"/>
    <col min="10989" max="10989" width="14.7109375" customWidth="1"/>
    <col min="10990" max="10990" width="16" customWidth="1"/>
    <col min="10991" max="10991" width="2.7109375" customWidth="1"/>
    <col min="10994" max="10994" width="12.42578125" bestFit="1" customWidth="1"/>
    <col min="10996" max="10996" width="12.42578125" bestFit="1" customWidth="1"/>
    <col min="11242" max="11242" width="64.42578125" customWidth="1"/>
    <col min="11243" max="11243" width="10.140625" bestFit="1" customWidth="1"/>
    <col min="11245" max="11245" width="14.7109375" customWidth="1"/>
    <col min="11246" max="11246" width="16" customWidth="1"/>
    <col min="11247" max="11247" width="2.7109375" customWidth="1"/>
    <col min="11250" max="11250" width="12.42578125" bestFit="1" customWidth="1"/>
    <col min="11252" max="11252" width="12.42578125" bestFit="1" customWidth="1"/>
    <col min="11498" max="11498" width="64.42578125" customWidth="1"/>
    <col min="11499" max="11499" width="10.140625" bestFit="1" customWidth="1"/>
    <col min="11501" max="11501" width="14.7109375" customWidth="1"/>
    <col min="11502" max="11502" width="16" customWidth="1"/>
    <col min="11503" max="11503" width="2.7109375" customWidth="1"/>
    <col min="11506" max="11506" width="12.42578125" bestFit="1" customWidth="1"/>
    <col min="11508" max="11508" width="12.42578125" bestFit="1" customWidth="1"/>
    <col min="11754" max="11754" width="64.42578125" customWidth="1"/>
    <col min="11755" max="11755" width="10.140625" bestFit="1" customWidth="1"/>
    <col min="11757" max="11757" width="14.7109375" customWidth="1"/>
    <col min="11758" max="11758" width="16" customWidth="1"/>
    <col min="11759" max="11759" width="2.7109375" customWidth="1"/>
    <col min="11762" max="11762" width="12.42578125" bestFit="1" customWidth="1"/>
    <col min="11764" max="11764" width="12.42578125" bestFit="1" customWidth="1"/>
    <col min="12010" max="12010" width="64.42578125" customWidth="1"/>
    <col min="12011" max="12011" width="10.140625" bestFit="1" customWidth="1"/>
    <col min="12013" max="12013" width="14.7109375" customWidth="1"/>
    <col min="12014" max="12014" width="16" customWidth="1"/>
    <col min="12015" max="12015" width="2.7109375" customWidth="1"/>
    <col min="12018" max="12018" width="12.42578125" bestFit="1" customWidth="1"/>
    <col min="12020" max="12020" width="12.42578125" bestFit="1" customWidth="1"/>
    <col min="12266" max="12266" width="64.42578125" customWidth="1"/>
    <col min="12267" max="12267" width="10.140625" bestFit="1" customWidth="1"/>
    <col min="12269" max="12269" width="14.7109375" customWidth="1"/>
    <col min="12270" max="12270" width="16" customWidth="1"/>
    <col min="12271" max="12271" width="2.7109375" customWidth="1"/>
    <col min="12274" max="12274" width="12.42578125" bestFit="1" customWidth="1"/>
    <col min="12276" max="12276" width="12.42578125" bestFit="1" customWidth="1"/>
    <col min="12522" max="12522" width="64.42578125" customWidth="1"/>
    <col min="12523" max="12523" width="10.140625" bestFit="1" customWidth="1"/>
    <col min="12525" max="12525" width="14.7109375" customWidth="1"/>
    <col min="12526" max="12526" width="16" customWidth="1"/>
    <col min="12527" max="12527" width="2.7109375" customWidth="1"/>
    <col min="12530" max="12530" width="12.42578125" bestFit="1" customWidth="1"/>
    <col min="12532" max="12532" width="12.42578125" bestFit="1" customWidth="1"/>
    <col min="12778" max="12778" width="64.42578125" customWidth="1"/>
    <col min="12779" max="12779" width="10.140625" bestFit="1" customWidth="1"/>
    <col min="12781" max="12781" width="14.7109375" customWidth="1"/>
    <col min="12782" max="12782" width="16" customWidth="1"/>
    <col min="12783" max="12783" width="2.7109375" customWidth="1"/>
    <col min="12786" max="12786" width="12.42578125" bestFit="1" customWidth="1"/>
    <col min="12788" max="12788" width="12.42578125" bestFit="1" customWidth="1"/>
    <col min="13034" max="13034" width="64.42578125" customWidth="1"/>
    <col min="13035" max="13035" width="10.140625" bestFit="1" customWidth="1"/>
    <col min="13037" max="13037" width="14.7109375" customWidth="1"/>
    <col min="13038" max="13038" width="16" customWidth="1"/>
    <col min="13039" max="13039" width="2.7109375" customWidth="1"/>
    <col min="13042" max="13042" width="12.42578125" bestFit="1" customWidth="1"/>
    <col min="13044" max="13044" width="12.42578125" bestFit="1" customWidth="1"/>
    <col min="13290" max="13290" width="64.42578125" customWidth="1"/>
    <col min="13291" max="13291" width="10.140625" bestFit="1" customWidth="1"/>
    <col min="13293" max="13293" width="14.7109375" customWidth="1"/>
    <col min="13294" max="13294" width="16" customWidth="1"/>
    <col min="13295" max="13295" width="2.7109375" customWidth="1"/>
    <col min="13298" max="13298" width="12.42578125" bestFit="1" customWidth="1"/>
    <col min="13300" max="13300" width="12.42578125" bestFit="1" customWidth="1"/>
    <col min="13546" max="13546" width="64.42578125" customWidth="1"/>
    <col min="13547" max="13547" width="10.140625" bestFit="1" customWidth="1"/>
    <col min="13549" max="13549" width="14.7109375" customWidth="1"/>
    <col min="13550" max="13550" width="16" customWidth="1"/>
    <col min="13551" max="13551" width="2.7109375" customWidth="1"/>
    <col min="13554" max="13554" width="12.42578125" bestFit="1" customWidth="1"/>
    <col min="13556" max="13556" width="12.42578125" bestFit="1" customWidth="1"/>
    <col min="13802" max="13802" width="64.42578125" customWidth="1"/>
    <col min="13803" max="13803" width="10.140625" bestFit="1" customWidth="1"/>
    <col min="13805" max="13805" width="14.7109375" customWidth="1"/>
    <col min="13806" max="13806" width="16" customWidth="1"/>
    <col min="13807" max="13807" width="2.7109375" customWidth="1"/>
    <col min="13810" max="13810" width="12.42578125" bestFit="1" customWidth="1"/>
    <col min="13812" max="13812" width="12.42578125" bestFit="1" customWidth="1"/>
    <col min="14058" max="14058" width="64.42578125" customWidth="1"/>
    <col min="14059" max="14059" width="10.140625" bestFit="1" customWidth="1"/>
    <col min="14061" max="14061" width="14.7109375" customWidth="1"/>
    <col min="14062" max="14062" width="16" customWidth="1"/>
    <col min="14063" max="14063" width="2.7109375" customWidth="1"/>
    <col min="14066" max="14066" width="12.42578125" bestFit="1" customWidth="1"/>
    <col min="14068" max="14068" width="12.42578125" bestFit="1" customWidth="1"/>
    <col min="14314" max="14314" width="64.42578125" customWidth="1"/>
    <col min="14315" max="14315" width="10.140625" bestFit="1" customWidth="1"/>
    <col min="14317" max="14317" width="14.7109375" customWidth="1"/>
    <col min="14318" max="14318" width="16" customWidth="1"/>
    <col min="14319" max="14319" width="2.7109375" customWidth="1"/>
    <col min="14322" max="14322" width="12.42578125" bestFit="1" customWidth="1"/>
    <col min="14324" max="14324" width="12.42578125" bestFit="1" customWidth="1"/>
    <col min="14570" max="14570" width="64.42578125" customWidth="1"/>
    <col min="14571" max="14571" width="10.140625" bestFit="1" customWidth="1"/>
    <col min="14573" max="14573" width="14.7109375" customWidth="1"/>
    <col min="14574" max="14574" width="16" customWidth="1"/>
    <col min="14575" max="14575" width="2.7109375" customWidth="1"/>
    <col min="14578" max="14578" width="12.42578125" bestFit="1" customWidth="1"/>
    <col min="14580" max="14580" width="12.42578125" bestFit="1" customWidth="1"/>
    <col min="14826" max="14826" width="64.42578125" customWidth="1"/>
    <col min="14827" max="14827" width="10.140625" bestFit="1" customWidth="1"/>
    <col min="14829" max="14829" width="14.7109375" customWidth="1"/>
    <col min="14830" max="14830" width="16" customWidth="1"/>
    <col min="14831" max="14831" width="2.7109375" customWidth="1"/>
    <col min="14834" max="14834" width="12.42578125" bestFit="1" customWidth="1"/>
    <col min="14836" max="14836" width="12.42578125" bestFit="1" customWidth="1"/>
    <col min="15082" max="15082" width="64.42578125" customWidth="1"/>
    <col min="15083" max="15083" width="10.140625" bestFit="1" customWidth="1"/>
    <col min="15085" max="15085" width="14.7109375" customWidth="1"/>
    <col min="15086" max="15086" width="16" customWidth="1"/>
    <col min="15087" max="15087" width="2.7109375" customWidth="1"/>
    <col min="15090" max="15090" width="12.42578125" bestFit="1" customWidth="1"/>
    <col min="15092" max="15092" width="12.42578125" bestFit="1" customWidth="1"/>
    <col min="15338" max="15338" width="64.42578125" customWidth="1"/>
    <col min="15339" max="15339" width="10.140625" bestFit="1" customWidth="1"/>
    <col min="15341" max="15341" width="14.7109375" customWidth="1"/>
    <col min="15342" max="15342" width="16" customWidth="1"/>
    <col min="15343" max="15343" width="2.7109375" customWidth="1"/>
    <col min="15346" max="15346" width="12.42578125" bestFit="1" customWidth="1"/>
    <col min="15348" max="15348" width="12.42578125" bestFit="1" customWidth="1"/>
    <col min="15594" max="15594" width="64.42578125" customWidth="1"/>
    <col min="15595" max="15595" width="10.140625" bestFit="1" customWidth="1"/>
    <col min="15597" max="15597" width="14.7109375" customWidth="1"/>
    <col min="15598" max="15598" width="16" customWidth="1"/>
    <col min="15599" max="15599" width="2.7109375" customWidth="1"/>
    <col min="15602" max="15602" width="12.42578125" bestFit="1" customWidth="1"/>
    <col min="15604" max="15604" width="12.42578125" bestFit="1" customWidth="1"/>
    <col min="15850" max="15850" width="64.42578125" customWidth="1"/>
    <col min="15851" max="15851" width="10.140625" bestFit="1" customWidth="1"/>
    <col min="15853" max="15853" width="14.7109375" customWidth="1"/>
    <col min="15854" max="15854" width="16" customWidth="1"/>
    <col min="15855" max="15855" width="2.7109375" customWidth="1"/>
    <col min="15858" max="15858" width="12.42578125" bestFit="1" customWidth="1"/>
    <col min="15860" max="15860" width="12.42578125" bestFit="1" customWidth="1"/>
    <col min="16106" max="16106" width="64.42578125" customWidth="1"/>
    <col min="16107" max="16107" width="10.140625" bestFit="1" customWidth="1"/>
    <col min="16109" max="16109" width="14.7109375" customWidth="1"/>
    <col min="16110" max="16110" width="16" customWidth="1"/>
    <col min="16111" max="16111" width="2.7109375" customWidth="1"/>
    <col min="16114" max="16114" width="12.42578125" bestFit="1" customWidth="1"/>
    <col min="16116" max="16116" width="12.42578125" bestFit="1" customWidth="1"/>
  </cols>
  <sheetData>
    <row r="3" spans="1:14" ht="15.75" thickBot="1" x14ac:dyDescent="0.3"/>
    <row r="4" spans="1:14" ht="22.35" customHeight="1" thickBot="1" x14ac:dyDescent="0.3">
      <c r="B4" s="371" t="s">
        <v>318</v>
      </c>
      <c r="C4" s="372"/>
      <c r="D4" s="372"/>
      <c r="E4" s="372"/>
      <c r="F4" s="372"/>
      <c r="G4" s="372"/>
      <c r="H4" s="372"/>
      <c r="I4" s="372"/>
      <c r="J4" s="373"/>
    </row>
    <row r="5" spans="1:14" s="34" customFormat="1" ht="15.75" thickBot="1" x14ac:dyDescent="0.3">
      <c r="B5" s="35"/>
      <c r="C5" s="35"/>
      <c r="D5" s="35"/>
      <c r="E5" s="35"/>
      <c r="F5" s="36"/>
      <c r="G5" s="36"/>
      <c r="H5" s="36"/>
      <c r="I5" s="35"/>
      <c r="J5" s="35"/>
    </row>
    <row r="6" spans="1:14" s="34" customFormat="1" ht="18.600000000000001" customHeight="1" x14ac:dyDescent="0.25">
      <c r="B6" s="374" t="s">
        <v>319</v>
      </c>
      <c r="C6" s="375"/>
      <c r="D6" s="375"/>
      <c r="E6" s="376"/>
      <c r="F6" s="374" t="s">
        <v>320</v>
      </c>
      <c r="G6" s="375"/>
      <c r="H6" s="375"/>
      <c r="I6" s="376"/>
      <c r="J6" s="380" t="s">
        <v>321</v>
      </c>
    </row>
    <row r="7" spans="1:14" ht="18.600000000000001" customHeight="1" thickBot="1" x14ac:dyDescent="0.3">
      <c r="A7" s="37" t="s">
        <v>322</v>
      </c>
      <c r="B7" s="377"/>
      <c r="C7" s="378"/>
      <c r="D7" s="378"/>
      <c r="E7" s="379"/>
      <c r="F7" s="377"/>
      <c r="G7" s="378"/>
      <c r="H7" s="378"/>
      <c r="I7" s="379"/>
      <c r="J7" s="381"/>
    </row>
    <row r="8" spans="1:14" s="20" customFormat="1" x14ac:dyDescent="0.25">
      <c r="A8" s="382" t="s">
        <v>323</v>
      </c>
      <c r="B8" s="38" t="s">
        <v>152</v>
      </c>
      <c r="C8" s="38" t="s">
        <v>324</v>
      </c>
      <c r="D8" s="38" t="s">
        <v>325</v>
      </c>
      <c r="E8" s="39" t="s">
        <v>326</v>
      </c>
      <c r="F8" s="38" t="s">
        <v>152</v>
      </c>
      <c r="G8" s="38" t="s">
        <v>324</v>
      </c>
      <c r="H8" s="38" t="s">
        <v>325</v>
      </c>
      <c r="I8" s="39" t="s">
        <v>326</v>
      </c>
      <c r="J8" s="39"/>
      <c r="N8"/>
    </row>
    <row r="9" spans="1:14" x14ac:dyDescent="0.25">
      <c r="A9" s="383"/>
      <c r="B9" s="40"/>
      <c r="C9" s="40"/>
      <c r="D9" s="40"/>
      <c r="E9" s="40"/>
      <c r="F9" s="40"/>
      <c r="G9" s="41"/>
      <c r="H9" s="41"/>
      <c r="I9" s="42"/>
      <c r="J9" s="42"/>
    </row>
    <row r="10" spans="1:14" x14ac:dyDescent="0.25">
      <c r="A10" s="43" t="s">
        <v>327</v>
      </c>
      <c r="B10" s="44"/>
      <c r="C10" s="44"/>
      <c r="D10" s="44"/>
      <c r="E10" s="45"/>
      <c r="F10" s="46">
        <v>1</v>
      </c>
      <c r="G10" s="44" t="s">
        <v>328</v>
      </c>
      <c r="H10" s="45">
        <v>26984.525000000001</v>
      </c>
      <c r="I10" s="45">
        <f>H10*F10</f>
        <v>26984.525000000001</v>
      </c>
      <c r="J10" s="45">
        <f>I10+E10</f>
        <v>26984.525000000001</v>
      </c>
    </row>
    <row r="11" spans="1:14" x14ac:dyDescent="0.25">
      <c r="A11" s="43" t="s">
        <v>329</v>
      </c>
      <c r="B11" s="44"/>
      <c r="C11" s="44"/>
      <c r="D11" s="44"/>
      <c r="E11" s="45"/>
      <c r="F11" s="46">
        <v>1</v>
      </c>
      <c r="G11" s="44" t="s">
        <v>328</v>
      </c>
      <c r="H11" s="45">
        <v>155874</v>
      </c>
      <c r="I11" s="45">
        <f t="shared" ref="I11:I13" si="0">H11*F11</f>
        <v>155874</v>
      </c>
      <c r="J11" s="45">
        <f t="shared" ref="J11:J13" si="1">I11+E11</f>
        <v>155874</v>
      </c>
    </row>
    <row r="12" spans="1:14" ht="15.75" thickBot="1" x14ac:dyDescent="0.3">
      <c r="A12" s="47" t="s">
        <v>330</v>
      </c>
      <c r="B12" s="48"/>
      <c r="C12" s="48"/>
      <c r="D12" s="48"/>
      <c r="E12" s="49"/>
      <c r="F12" s="50">
        <v>1</v>
      </c>
      <c r="G12" s="44" t="s">
        <v>328</v>
      </c>
      <c r="H12" s="45">
        <v>105684</v>
      </c>
      <c r="I12" s="45">
        <f t="shared" si="0"/>
        <v>105684</v>
      </c>
      <c r="J12" s="45">
        <f t="shared" si="1"/>
        <v>105684</v>
      </c>
    </row>
    <row r="13" spans="1:14" ht="15.75" thickBot="1" x14ac:dyDescent="0.3">
      <c r="A13" s="51" t="s">
        <v>331</v>
      </c>
      <c r="B13" s="48"/>
      <c r="C13" s="48"/>
      <c r="D13" s="48"/>
      <c r="E13" s="49"/>
      <c r="F13" s="50">
        <v>1</v>
      </c>
      <c r="G13" s="44" t="s">
        <v>328</v>
      </c>
      <c r="H13" s="45">
        <v>25000</v>
      </c>
      <c r="I13" s="45">
        <f t="shared" si="0"/>
        <v>25000</v>
      </c>
      <c r="J13" s="45">
        <f t="shared" si="1"/>
        <v>25000</v>
      </c>
      <c r="L13" s="384" t="s">
        <v>332</v>
      </c>
      <c r="M13" s="385"/>
      <c r="N13" s="386"/>
    </row>
    <row r="14" spans="1:14" x14ac:dyDescent="0.25">
      <c r="A14" s="51"/>
      <c r="B14"/>
      <c r="C14"/>
      <c r="D14"/>
      <c r="E14" s="52">
        <f>SUM(E10:E13)</f>
        <v>0</v>
      </c>
      <c r="G14"/>
      <c r="H14"/>
      <c r="I14" s="52">
        <f>SUM(I10:I13)</f>
        <v>313542.52500000002</v>
      </c>
      <c r="J14"/>
    </row>
    <row r="15" spans="1:14" ht="12.6" customHeight="1" x14ac:dyDescent="0.25">
      <c r="A15" s="53" t="s">
        <v>333</v>
      </c>
      <c r="B15" s="54"/>
      <c r="C15" s="54"/>
      <c r="D15" s="54"/>
      <c r="E15" s="54"/>
      <c r="F15" s="55"/>
      <c r="G15" s="54"/>
      <c r="H15" s="54"/>
      <c r="I15" s="54"/>
      <c r="J15" s="54"/>
      <c r="M15" s="56" t="s">
        <v>200</v>
      </c>
      <c r="N15" s="56" t="s">
        <v>334</v>
      </c>
    </row>
    <row r="16" spans="1:14" x14ac:dyDescent="0.25">
      <c r="A16" s="47" t="s">
        <v>58</v>
      </c>
      <c r="B16" s="48">
        <v>1</v>
      </c>
      <c r="C16" s="48" t="s">
        <v>335</v>
      </c>
      <c r="D16" s="57">
        <v>210247</v>
      </c>
      <c r="E16" s="45">
        <f>D16*B16</f>
        <v>210247</v>
      </c>
      <c r="F16" s="50">
        <v>1</v>
      </c>
      <c r="G16" s="44" t="s">
        <v>328</v>
      </c>
      <c r="H16" s="58">
        <v>183498</v>
      </c>
      <c r="I16" s="45">
        <f>H16*F16</f>
        <v>183498</v>
      </c>
      <c r="J16" s="45">
        <f t="shared" ref="J16:J24" si="2">I16+E16</f>
        <v>393745</v>
      </c>
    </row>
    <row r="17" spans="1:14" x14ac:dyDescent="0.25">
      <c r="A17" s="59" t="s">
        <v>60</v>
      </c>
      <c r="B17" s="44"/>
      <c r="C17" s="44"/>
      <c r="D17" s="44"/>
      <c r="E17" s="60"/>
      <c r="F17" s="50">
        <v>1</v>
      </c>
      <c r="G17" s="44" t="s">
        <v>328</v>
      </c>
      <c r="H17" s="58">
        <v>187647</v>
      </c>
      <c r="I17" s="45">
        <f t="shared" ref="I17:I24" si="3">H17*F17</f>
        <v>187647</v>
      </c>
      <c r="J17" s="45">
        <f t="shared" si="2"/>
        <v>187647</v>
      </c>
      <c r="L17" s="61" t="str">
        <f>A8</f>
        <v xml:space="preserve">Diseño </v>
      </c>
      <c r="M17" s="62">
        <f>E14</f>
        <v>0</v>
      </c>
      <c r="N17" s="62">
        <f>I14</f>
        <v>313542.52500000002</v>
      </c>
    </row>
    <row r="18" spans="1:14" x14ac:dyDescent="0.25">
      <c r="A18" s="59" t="s">
        <v>62</v>
      </c>
      <c r="B18" s="44"/>
      <c r="C18" s="44"/>
      <c r="D18" s="44"/>
      <c r="E18" s="60"/>
      <c r="F18" s="50">
        <v>1</v>
      </c>
      <c r="G18" s="44" t="s">
        <v>328</v>
      </c>
      <c r="H18" s="58">
        <v>415874</v>
      </c>
      <c r="I18" s="45">
        <f t="shared" si="3"/>
        <v>415874</v>
      </c>
      <c r="J18" s="45">
        <f t="shared" si="2"/>
        <v>415874</v>
      </c>
      <c r="L18" s="63" t="str">
        <f>A15</f>
        <v>Builting Construction &amp; Fit Out</v>
      </c>
      <c r="M18" s="62">
        <f>E25</f>
        <v>351517</v>
      </c>
      <c r="N18" s="62">
        <f>I25</f>
        <v>2967587</v>
      </c>
    </row>
    <row r="19" spans="1:14" x14ac:dyDescent="0.25">
      <c r="A19" s="59" t="s">
        <v>64</v>
      </c>
      <c r="B19" s="48"/>
      <c r="C19" s="48"/>
      <c r="D19" s="48"/>
      <c r="E19" s="45"/>
      <c r="F19" s="50">
        <v>1</v>
      </c>
      <c r="G19" s="44" t="s">
        <v>328</v>
      </c>
      <c r="H19" s="58">
        <v>165287</v>
      </c>
      <c r="I19" s="45">
        <f t="shared" si="3"/>
        <v>165287</v>
      </c>
      <c r="J19" s="45">
        <f t="shared" si="2"/>
        <v>165287</v>
      </c>
      <c r="K19" s="64"/>
      <c r="L19" s="63" t="str">
        <f>A26</f>
        <v>Misión Critical Equipment (Suministros)</v>
      </c>
      <c r="M19" s="62">
        <f>E38</f>
        <v>3385602.5</v>
      </c>
      <c r="N19" s="62">
        <f>I38</f>
        <v>552995.5</v>
      </c>
    </row>
    <row r="20" spans="1:14" x14ac:dyDescent="0.25">
      <c r="A20" s="65" t="s">
        <v>336</v>
      </c>
      <c r="B20" s="48">
        <v>1</v>
      </c>
      <c r="C20" s="48" t="s">
        <v>335</v>
      </c>
      <c r="D20" s="57">
        <v>141270</v>
      </c>
      <c r="E20" s="45">
        <f>D20*B20</f>
        <v>141270</v>
      </c>
      <c r="F20" s="50">
        <v>1</v>
      </c>
      <c r="G20" s="44" t="s">
        <v>328</v>
      </c>
      <c r="H20" s="58">
        <v>45710</v>
      </c>
      <c r="I20" s="45">
        <f t="shared" si="3"/>
        <v>45710</v>
      </c>
      <c r="J20" s="45">
        <f t="shared" si="2"/>
        <v>186980</v>
      </c>
      <c r="L20" s="63" t="str">
        <f>A39</f>
        <v>Special Systems (Suministros)</v>
      </c>
      <c r="M20" s="62">
        <f>E47</f>
        <v>635879</v>
      </c>
      <c r="N20" s="62">
        <f>I47</f>
        <v>366650.24229999998</v>
      </c>
    </row>
    <row r="21" spans="1:14" x14ac:dyDescent="0.25">
      <c r="A21" s="65" t="s">
        <v>66</v>
      </c>
      <c r="B21" s="66"/>
      <c r="C21" s="66"/>
      <c r="D21" s="66"/>
      <c r="E21" s="49"/>
      <c r="F21" s="50">
        <v>1</v>
      </c>
      <c r="G21" s="44" t="s">
        <v>328</v>
      </c>
      <c r="H21" s="58">
        <v>95874</v>
      </c>
      <c r="I21" s="45">
        <f t="shared" si="3"/>
        <v>95874</v>
      </c>
      <c r="J21" s="45">
        <f t="shared" si="2"/>
        <v>95874</v>
      </c>
      <c r="L21" s="67" t="str">
        <f>A48</f>
        <v xml:space="preserve"> HYPER POD (Suministros)</v>
      </c>
      <c r="M21" s="62">
        <f>E50</f>
        <v>1798367</v>
      </c>
      <c r="N21" s="62">
        <f>I50</f>
        <v>179836.7</v>
      </c>
    </row>
    <row r="22" spans="1:14" x14ac:dyDescent="0.25">
      <c r="A22" s="68" t="s">
        <v>68</v>
      </c>
      <c r="B22" s="48"/>
      <c r="C22" s="48"/>
      <c r="D22" s="48"/>
      <c r="E22" s="45"/>
      <c r="F22" s="50">
        <v>1</v>
      </c>
      <c r="G22" s="44" t="s">
        <v>328</v>
      </c>
      <c r="H22" s="58">
        <v>929373</v>
      </c>
      <c r="I22" s="45">
        <f t="shared" si="3"/>
        <v>929373</v>
      </c>
      <c r="J22" s="45">
        <f t="shared" si="2"/>
        <v>929373</v>
      </c>
      <c r="K22" s="64"/>
      <c r="L22" s="63" t="str">
        <f>A51</f>
        <v>Preoperative cost (Instalaciones)</v>
      </c>
      <c r="M22" s="62">
        <f>E54</f>
        <v>0</v>
      </c>
      <c r="N22" s="62">
        <f>I54</f>
        <v>15950</v>
      </c>
    </row>
    <row r="23" spans="1:14" x14ac:dyDescent="0.25">
      <c r="A23" s="69" t="s">
        <v>70</v>
      </c>
      <c r="B23" s="48"/>
      <c r="C23" s="48"/>
      <c r="D23" s="48"/>
      <c r="E23" s="45"/>
      <c r="F23" s="50">
        <v>1</v>
      </c>
      <c r="G23" s="44" t="s">
        <v>328</v>
      </c>
      <c r="H23" s="70">
        <v>815367</v>
      </c>
      <c r="I23" s="45">
        <f t="shared" si="3"/>
        <v>815367</v>
      </c>
      <c r="J23" s="45">
        <f t="shared" si="2"/>
        <v>815367</v>
      </c>
      <c r="M23" s="34"/>
      <c r="N23" s="34"/>
    </row>
    <row r="24" spans="1:14" ht="29.25" x14ac:dyDescent="0.25">
      <c r="A24" s="68" t="s">
        <v>337</v>
      </c>
      <c r="B24" s="48"/>
      <c r="C24" s="48"/>
      <c r="D24" s="48"/>
      <c r="E24" s="45"/>
      <c r="F24" s="50">
        <v>1</v>
      </c>
      <c r="G24" s="44" t="s">
        <v>328</v>
      </c>
      <c r="H24" s="58">
        <v>128957</v>
      </c>
      <c r="I24" s="45">
        <f t="shared" si="3"/>
        <v>128957</v>
      </c>
      <c r="J24" s="45">
        <f t="shared" si="2"/>
        <v>128957</v>
      </c>
      <c r="M24" s="71">
        <f>SUM(M17:M23)</f>
        <v>6171365.5</v>
      </c>
      <c r="N24" s="71">
        <f>SUM(N17:N23)</f>
        <v>4396561.9672999997</v>
      </c>
    </row>
    <row r="25" spans="1:14" x14ac:dyDescent="0.25">
      <c r="B25"/>
      <c r="C25"/>
      <c r="D25"/>
      <c r="E25" s="72">
        <f>SUM(E16:E24)</f>
        <v>351517</v>
      </c>
      <c r="F25"/>
      <c r="G25"/>
      <c r="H25"/>
      <c r="I25" s="52">
        <f>SUM(I16:I24)</f>
        <v>2967587</v>
      </c>
      <c r="J25"/>
    </row>
    <row r="26" spans="1:14" x14ac:dyDescent="0.25">
      <c r="A26" s="40" t="s">
        <v>338</v>
      </c>
      <c r="B26" s="54"/>
      <c r="C26" s="54"/>
      <c r="D26" s="54"/>
      <c r="E26" s="54"/>
      <c r="F26" s="55"/>
      <c r="G26" s="54"/>
      <c r="H26" s="54"/>
      <c r="I26" s="54"/>
      <c r="J26" s="54"/>
      <c r="L26" s="73" t="s">
        <v>339</v>
      </c>
      <c r="M26" s="389">
        <f>M24+N24</f>
        <v>10567927.4673</v>
      </c>
      <c r="N26" s="390"/>
    </row>
    <row r="27" spans="1:14" x14ac:dyDescent="0.25">
      <c r="A27" s="43" t="s">
        <v>76</v>
      </c>
      <c r="B27" s="44">
        <v>1</v>
      </c>
      <c r="C27" s="44" t="s">
        <v>340</v>
      </c>
      <c r="D27" s="57">
        <v>48748</v>
      </c>
      <c r="E27" s="45">
        <f>D27*B27</f>
        <v>48748</v>
      </c>
      <c r="F27" s="50">
        <v>1</v>
      </c>
      <c r="G27" s="44" t="s">
        <v>328</v>
      </c>
      <c r="H27" s="58">
        <v>6950</v>
      </c>
      <c r="I27" s="45">
        <f>H27*F27</f>
        <v>6950</v>
      </c>
      <c r="J27" s="45">
        <f t="shared" ref="J27:J37" si="4">I27+E27</f>
        <v>55698</v>
      </c>
    </row>
    <row r="28" spans="1:14" x14ac:dyDescent="0.25">
      <c r="A28" s="65" t="s">
        <v>79</v>
      </c>
      <c r="B28" s="48">
        <v>1</v>
      </c>
      <c r="C28" s="48" t="s">
        <v>340</v>
      </c>
      <c r="D28" s="57">
        <v>173249.5</v>
      </c>
      <c r="E28" s="45">
        <f t="shared" ref="E28:E36" si="5">D28*B28</f>
        <v>173249.5</v>
      </c>
      <c r="F28" s="50">
        <v>1</v>
      </c>
      <c r="G28" s="44" t="s">
        <v>328</v>
      </c>
      <c r="H28" s="58">
        <v>23624.5</v>
      </c>
      <c r="I28" s="45">
        <f t="shared" ref="I28:I37" si="6">H28*F28</f>
        <v>23624.5</v>
      </c>
      <c r="J28" s="45">
        <f t="shared" si="4"/>
        <v>196874</v>
      </c>
    </row>
    <row r="29" spans="1:14" x14ac:dyDescent="0.25">
      <c r="A29" s="74" t="s">
        <v>81</v>
      </c>
      <c r="B29" s="48">
        <v>2</v>
      </c>
      <c r="C29" s="75" t="s">
        <v>340</v>
      </c>
      <c r="D29" s="57">
        <v>349334</v>
      </c>
      <c r="E29" s="45">
        <f t="shared" si="5"/>
        <v>698668</v>
      </c>
      <c r="F29" s="50">
        <v>2</v>
      </c>
      <c r="G29" s="44" t="s">
        <v>328</v>
      </c>
      <c r="H29" s="58">
        <v>66540</v>
      </c>
      <c r="I29" s="45">
        <f t="shared" si="6"/>
        <v>133080</v>
      </c>
      <c r="J29" s="45">
        <f t="shared" si="4"/>
        <v>831748</v>
      </c>
    </row>
    <row r="30" spans="1:14" x14ac:dyDescent="0.25">
      <c r="A30" s="74" t="s">
        <v>83</v>
      </c>
      <c r="B30" s="66">
        <v>1</v>
      </c>
      <c r="C30" s="75" t="s">
        <v>340</v>
      </c>
      <c r="D30" s="57">
        <v>287762</v>
      </c>
      <c r="E30" s="45">
        <f t="shared" si="5"/>
        <v>287762</v>
      </c>
      <c r="F30" s="50">
        <v>1</v>
      </c>
      <c r="G30" s="44" t="s">
        <v>328</v>
      </c>
      <c r="H30" s="58">
        <v>45565</v>
      </c>
      <c r="I30" s="45">
        <f t="shared" si="6"/>
        <v>45565</v>
      </c>
      <c r="J30" s="45">
        <f t="shared" si="4"/>
        <v>333327</v>
      </c>
    </row>
    <row r="31" spans="1:14" x14ac:dyDescent="0.25">
      <c r="A31" s="74" t="s">
        <v>85</v>
      </c>
      <c r="B31" s="48">
        <v>2</v>
      </c>
      <c r="C31" s="75" t="s">
        <v>340</v>
      </c>
      <c r="D31" s="57">
        <v>503722.5</v>
      </c>
      <c r="E31" s="45">
        <f t="shared" si="5"/>
        <v>1007445</v>
      </c>
      <c r="F31" s="50">
        <v>2</v>
      </c>
      <c r="G31" s="44" t="s">
        <v>328</v>
      </c>
      <c r="H31" s="58">
        <v>61524.5</v>
      </c>
      <c r="I31" s="45">
        <f t="shared" si="6"/>
        <v>123049</v>
      </c>
      <c r="J31" s="45">
        <f t="shared" si="4"/>
        <v>1130494</v>
      </c>
    </row>
    <row r="32" spans="1:14" x14ac:dyDescent="0.25">
      <c r="A32" s="76" t="s">
        <v>87</v>
      </c>
      <c r="B32" s="48">
        <v>0</v>
      </c>
      <c r="C32" s="48" t="s">
        <v>340</v>
      </c>
      <c r="D32" s="57">
        <v>75570</v>
      </c>
      <c r="E32" s="45">
        <f t="shared" si="5"/>
        <v>0</v>
      </c>
      <c r="F32" s="50">
        <v>0</v>
      </c>
      <c r="G32" s="44" t="s">
        <v>328</v>
      </c>
      <c r="H32" s="58">
        <v>2570</v>
      </c>
      <c r="I32" s="45">
        <f t="shared" si="6"/>
        <v>0</v>
      </c>
      <c r="J32" s="45">
        <f t="shared" si="4"/>
        <v>0</v>
      </c>
    </row>
    <row r="33" spans="1:10" x14ac:dyDescent="0.25">
      <c r="A33" s="77" t="s">
        <v>89</v>
      </c>
      <c r="B33" s="48">
        <v>0</v>
      </c>
      <c r="C33" s="48" t="s">
        <v>340</v>
      </c>
      <c r="D33" s="57">
        <v>31023.666666666668</v>
      </c>
      <c r="E33" s="45">
        <f t="shared" si="5"/>
        <v>0</v>
      </c>
      <c r="F33" s="50">
        <v>0</v>
      </c>
      <c r="G33" s="44" t="s">
        <v>328</v>
      </c>
      <c r="H33" s="58">
        <v>4230.333333333333</v>
      </c>
      <c r="I33" s="45">
        <f t="shared" si="6"/>
        <v>0</v>
      </c>
      <c r="J33" s="45">
        <f t="shared" si="4"/>
        <v>0</v>
      </c>
    </row>
    <row r="34" spans="1:10" x14ac:dyDescent="0.25">
      <c r="A34" s="65" t="s">
        <v>90</v>
      </c>
      <c r="B34" s="48">
        <v>2</v>
      </c>
      <c r="C34" s="48" t="s">
        <v>340</v>
      </c>
      <c r="D34" s="57">
        <v>532155</v>
      </c>
      <c r="E34" s="45">
        <f t="shared" si="5"/>
        <v>1064310</v>
      </c>
      <c r="F34" s="50">
        <v>2</v>
      </c>
      <c r="G34" s="44" t="s">
        <v>328</v>
      </c>
      <c r="H34" s="58">
        <v>57503</v>
      </c>
      <c r="I34" s="45">
        <f t="shared" si="6"/>
        <v>115006</v>
      </c>
      <c r="J34" s="45">
        <f t="shared" si="4"/>
        <v>1179316</v>
      </c>
    </row>
    <row r="35" spans="1:10" x14ac:dyDescent="0.25">
      <c r="A35" s="77" t="s">
        <v>92</v>
      </c>
      <c r="B35" s="48">
        <v>0</v>
      </c>
      <c r="C35" s="48" t="s">
        <v>340</v>
      </c>
      <c r="D35" s="57">
        <v>146786.75</v>
      </c>
      <c r="E35" s="45">
        <f t="shared" si="5"/>
        <v>0</v>
      </c>
      <c r="F35" s="50">
        <v>0</v>
      </c>
      <c r="G35" s="44" t="s">
        <v>328</v>
      </c>
      <c r="H35" s="58">
        <v>19087.25</v>
      </c>
      <c r="I35" s="45">
        <f t="shared" si="6"/>
        <v>0</v>
      </c>
      <c r="J35" s="45">
        <f t="shared" si="4"/>
        <v>0</v>
      </c>
    </row>
    <row r="36" spans="1:10" x14ac:dyDescent="0.25">
      <c r="A36" s="65" t="s">
        <v>94</v>
      </c>
      <c r="B36" s="48">
        <v>6</v>
      </c>
      <c r="C36" s="75" t="s">
        <v>340</v>
      </c>
      <c r="D36" s="57">
        <v>17570</v>
      </c>
      <c r="E36" s="45">
        <f t="shared" si="5"/>
        <v>105420</v>
      </c>
      <c r="F36" s="50">
        <v>6</v>
      </c>
      <c r="G36" s="44" t="s">
        <v>328</v>
      </c>
      <c r="H36" s="58">
        <v>3289</v>
      </c>
      <c r="I36" s="45">
        <f t="shared" si="6"/>
        <v>19734</v>
      </c>
      <c r="J36" s="45">
        <f t="shared" si="4"/>
        <v>125154</v>
      </c>
    </row>
    <row r="37" spans="1:10" x14ac:dyDescent="0.25">
      <c r="A37" s="51" t="s">
        <v>341</v>
      </c>
      <c r="B37" s="48"/>
      <c r="C37" s="75"/>
      <c r="D37" s="75"/>
      <c r="E37" s="45"/>
      <c r="F37" s="50">
        <v>1</v>
      </c>
      <c r="G37" s="44" t="s">
        <v>328</v>
      </c>
      <c r="H37" s="58">
        <v>85987</v>
      </c>
      <c r="I37" s="45">
        <f t="shared" si="6"/>
        <v>85987</v>
      </c>
      <c r="J37" s="45">
        <f t="shared" si="4"/>
        <v>85987</v>
      </c>
    </row>
    <row r="38" spans="1:10" x14ac:dyDescent="0.25">
      <c r="B38"/>
      <c r="C38"/>
      <c r="D38" s="64"/>
      <c r="E38" s="72">
        <f>SUM(E27:E37)</f>
        <v>3385602.5</v>
      </c>
      <c r="F38"/>
      <c r="G38"/>
      <c r="H38"/>
      <c r="I38" s="52">
        <f>SUM(I27:I37)</f>
        <v>552995.5</v>
      </c>
      <c r="J38"/>
    </row>
    <row r="39" spans="1:10" x14ac:dyDescent="0.25">
      <c r="A39" s="40" t="s">
        <v>342</v>
      </c>
      <c r="B39" s="41"/>
      <c r="C39" s="41" t="s">
        <v>340</v>
      </c>
      <c r="D39" s="41"/>
      <c r="E39" s="78"/>
      <c r="F39" s="79"/>
      <c r="G39" s="41"/>
      <c r="H39" s="41"/>
      <c r="I39" s="78"/>
      <c r="J39" s="54"/>
    </row>
    <row r="40" spans="1:10" x14ac:dyDescent="0.25">
      <c r="A40" s="80" t="s">
        <v>98</v>
      </c>
      <c r="B40" s="48">
        <v>1</v>
      </c>
      <c r="C40" s="48" t="s">
        <v>335</v>
      </c>
      <c r="D40" s="57">
        <v>105270</v>
      </c>
      <c r="E40" s="45">
        <f t="shared" ref="E40:E46" si="7">D40*B40</f>
        <v>105270</v>
      </c>
      <c r="F40" s="50">
        <v>1</v>
      </c>
      <c r="G40" s="44" t="s">
        <v>328</v>
      </c>
      <c r="H40" s="58">
        <v>80604</v>
      </c>
      <c r="I40" s="45">
        <f t="shared" ref="I40:I46" si="8">H40*F40</f>
        <v>80604</v>
      </c>
      <c r="J40" s="45">
        <f t="shared" ref="J40:J46" si="9">I40+E40</f>
        <v>185874</v>
      </c>
    </row>
    <row r="41" spans="1:10" x14ac:dyDescent="0.25">
      <c r="A41" s="80" t="s">
        <v>99</v>
      </c>
      <c r="B41" s="48">
        <v>2</v>
      </c>
      <c r="C41" s="48" t="s">
        <v>335</v>
      </c>
      <c r="D41" s="57">
        <v>20364.5</v>
      </c>
      <c r="E41" s="45">
        <f t="shared" si="7"/>
        <v>40729</v>
      </c>
      <c r="F41" s="50">
        <v>2</v>
      </c>
      <c r="G41" s="44" t="s">
        <v>328</v>
      </c>
      <c r="H41" s="58">
        <v>24889.5</v>
      </c>
      <c r="I41" s="45">
        <f t="shared" si="8"/>
        <v>49779</v>
      </c>
      <c r="J41" s="45">
        <f t="shared" si="9"/>
        <v>90508</v>
      </c>
    </row>
    <row r="42" spans="1:10" x14ac:dyDescent="0.25">
      <c r="A42" s="81" t="s">
        <v>101</v>
      </c>
      <c r="B42" s="44">
        <v>1</v>
      </c>
      <c r="C42" s="44" t="s">
        <v>335</v>
      </c>
      <c r="D42" s="57">
        <v>35890</v>
      </c>
      <c r="E42" s="45">
        <f t="shared" si="7"/>
        <v>35890</v>
      </c>
      <c r="F42" s="50">
        <v>1</v>
      </c>
      <c r="G42" s="44" t="s">
        <v>328</v>
      </c>
      <c r="H42" s="58">
        <v>29364</v>
      </c>
      <c r="I42" s="45">
        <f t="shared" si="8"/>
        <v>29364</v>
      </c>
      <c r="J42" s="45">
        <f t="shared" si="9"/>
        <v>65254</v>
      </c>
    </row>
    <row r="43" spans="1:10" ht="14.45" customHeight="1" x14ac:dyDescent="0.25">
      <c r="A43" s="82" t="s">
        <v>343</v>
      </c>
      <c r="B43" s="44">
        <v>1</v>
      </c>
      <c r="C43" s="44" t="s">
        <v>335</v>
      </c>
      <c r="D43" s="57">
        <v>25132</v>
      </c>
      <c r="E43" s="45">
        <f t="shared" si="7"/>
        <v>25132</v>
      </c>
      <c r="F43" s="50">
        <v>1</v>
      </c>
      <c r="G43" s="44" t="s">
        <v>328</v>
      </c>
      <c r="H43" s="58">
        <v>27226.5</v>
      </c>
      <c r="I43" s="45">
        <f t="shared" si="8"/>
        <v>27226.5</v>
      </c>
      <c r="J43" s="45">
        <f t="shared" si="9"/>
        <v>52358.5</v>
      </c>
    </row>
    <row r="44" spans="1:10" x14ac:dyDescent="0.25">
      <c r="A44" s="83" t="s">
        <v>103</v>
      </c>
      <c r="B44" s="44">
        <v>1</v>
      </c>
      <c r="C44" s="44" t="s">
        <v>335</v>
      </c>
      <c r="D44" s="57">
        <v>159770</v>
      </c>
      <c r="E44" s="45">
        <f t="shared" si="7"/>
        <v>159770</v>
      </c>
      <c r="F44" s="50">
        <v>1</v>
      </c>
      <c r="G44" s="44" t="s">
        <v>328</v>
      </c>
      <c r="H44" s="58">
        <v>70484</v>
      </c>
      <c r="I44" s="45">
        <f t="shared" si="8"/>
        <v>70484</v>
      </c>
      <c r="J44" s="45">
        <f t="shared" si="9"/>
        <v>230254</v>
      </c>
    </row>
    <row r="45" spans="1:10" ht="30" x14ac:dyDescent="0.25">
      <c r="A45" s="80" t="s">
        <v>105</v>
      </c>
      <c r="B45" s="48">
        <v>1</v>
      </c>
      <c r="C45" s="48" t="s">
        <v>335</v>
      </c>
      <c r="D45" s="57">
        <v>151525</v>
      </c>
      <c r="E45" s="45">
        <f t="shared" si="7"/>
        <v>151525</v>
      </c>
      <c r="F45" s="50">
        <v>1</v>
      </c>
      <c r="G45" s="44" t="s">
        <v>328</v>
      </c>
      <c r="H45" s="58">
        <v>84349</v>
      </c>
      <c r="I45" s="45">
        <f t="shared" si="8"/>
        <v>84349</v>
      </c>
      <c r="J45" s="45">
        <f t="shared" si="9"/>
        <v>235874</v>
      </c>
    </row>
    <row r="46" spans="1:10" ht="30" x14ac:dyDescent="0.25">
      <c r="A46" s="80" t="s">
        <v>106</v>
      </c>
      <c r="B46" s="48">
        <v>1</v>
      </c>
      <c r="C46" s="48" t="s">
        <v>335</v>
      </c>
      <c r="D46" s="57">
        <v>117563</v>
      </c>
      <c r="E46" s="45">
        <f t="shared" si="7"/>
        <v>117563</v>
      </c>
      <c r="F46" s="50">
        <v>1</v>
      </c>
      <c r="G46" s="44" t="s">
        <v>328</v>
      </c>
      <c r="H46" s="58">
        <v>24843.742299999998</v>
      </c>
      <c r="I46" s="45">
        <f t="shared" si="8"/>
        <v>24843.742299999998</v>
      </c>
      <c r="J46" s="45">
        <f t="shared" si="9"/>
        <v>142406.74229999998</v>
      </c>
    </row>
    <row r="47" spans="1:10" x14ac:dyDescent="0.25">
      <c r="B47"/>
      <c r="C47"/>
      <c r="D47"/>
      <c r="E47" s="72">
        <f>SUM(E40:E46)</f>
        <v>635879</v>
      </c>
      <c r="F47"/>
      <c r="G47"/>
      <c r="H47"/>
      <c r="I47" s="72">
        <f>SUM(I40:I46)</f>
        <v>366650.24229999998</v>
      </c>
      <c r="J47"/>
    </row>
    <row r="48" spans="1:10" x14ac:dyDescent="0.25">
      <c r="A48" s="40" t="s">
        <v>344</v>
      </c>
      <c r="B48" s="41"/>
      <c r="C48" s="41"/>
      <c r="D48" s="41"/>
      <c r="E48" s="78"/>
      <c r="F48" s="79"/>
      <c r="G48" s="41"/>
      <c r="H48" s="41"/>
      <c r="I48" s="78"/>
      <c r="J48" s="54"/>
    </row>
    <row r="49" spans="1:15" ht="43.35" customHeight="1" x14ac:dyDescent="0.25">
      <c r="A49" s="84" t="s">
        <v>345</v>
      </c>
      <c r="B49" s="85">
        <v>1</v>
      </c>
      <c r="C49" s="85" t="s">
        <v>335</v>
      </c>
      <c r="D49" s="86">
        <v>1798367</v>
      </c>
      <c r="E49" s="45">
        <f t="shared" ref="E49" si="10">D49*B49</f>
        <v>1798367</v>
      </c>
      <c r="F49" s="50">
        <v>1</v>
      </c>
      <c r="G49" s="85" t="s">
        <v>328</v>
      </c>
      <c r="H49" s="87">
        <v>179836.7</v>
      </c>
      <c r="I49" s="45">
        <f>H49*F49</f>
        <v>179836.7</v>
      </c>
      <c r="J49" s="45">
        <f t="shared" ref="J49" si="11">I49+E49</f>
        <v>1978203.7</v>
      </c>
    </row>
    <row r="50" spans="1:15" x14ac:dyDescent="0.25">
      <c r="A50" s="80"/>
      <c r="B50"/>
      <c r="C50"/>
      <c r="D50"/>
      <c r="E50" s="88">
        <f>SUM(E49:E49)</f>
        <v>1798367</v>
      </c>
      <c r="F50"/>
      <c r="G50"/>
      <c r="H50"/>
      <c r="I50" s="72">
        <f>SUM(I49)</f>
        <v>179836.7</v>
      </c>
      <c r="J50"/>
    </row>
    <row r="51" spans="1:15" x14ac:dyDescent="0.25">
      <c r="A51" s="40" t="s">
        <v>346</v>
      </c>
      <c r="B51" s="41"/>
      <c r="C51" s="41"/>
      <c r="D51" s="41"/>
      <c r="E51" s="78"/>
      <c r="F51" s="79"/>
      <c r="G51" s="41"/>
      <c r="H51" s="41"/>
      <c r="I51" s="78"/>
      <c r="J51" s="41"/>
    </row>
    <row r="52" spans="1:15" x14ac:dyDescent="0.25">
      <c r="A52" s="89" t="s">
        <v>347</v>
      </c>
      <c r="B52" s="44"/>
      <c r="C52" s="48"/>
      <c r="D52" s="48"/>
      <c r="E52" s="45"/>
      <c r="F52" s="50">
        <v>5000</v>
      </c>
      <c r="G52" s="44" t="s">
        <v>348</v>
      </c>
      <c r="H52" s="58">
        <v>1.89</v>
      </c>
      <c r="I52" s="45">
        <f t="shared" ref="I52:I53" si="12">H52*F52</f>
        <v>9450</v>
      </c>
      <c r="J52" s="45">
        <f t="shared" ref="J52:J53" si="13">I52+E52</f>
        <v>9450</v>
      </c>
    </row>
    <row r="53" spans="1:15" x14ac:dyDescent="0.25">
      <c r="A53" s="89" t="s">
        <v>349</v>
      </c>
      <c r="B53" s="85"/>
      <c r="C53" s="48"/>
      <c r="D53" s="48"/>
      <c r="E53" s="90"/>
      <c r="F53" s="50">
        <v>1</v>
      </c>
      <c r="G53" s="44" t="s">
        <v>328</v>
      </c>
      <c r="H53" s="58">
        <v>6500</v>
      </c>
      <c r="I53" s="45">
        <f t="shared" si="12"/>
        <v>6500</v>
      </c>
      <c r="J53" s="45">
        <f t="shared" si="13"/>
        <v>6500</v>
      </c>
    </row>
    <row r="54" spans="1:15" x14ac:dyDescent="0.25">
      <c r="A54" s="91"/>
      <c r="B54" s="92"/>
      <c r="C54" s="92"/>
      <c r="D54" s="92"/>
      <c r="E54" s="93">
        <f>SUM(E52:E53)</f>
        <v>0</v>
      </c>
      <c r="F54"/>
      <c r="G54" s="94"/>
      <c r="H54" s="94"/>
      <c r="I54" s="95">
        <f>SUM(I52:I53)</f>
        <v>15950</v>
      </c>
      <c r="J54"/>
    </row>
    <row r="55" spans="1:15" x14ac:dyDescent="0.25">
      <c r="A55" s="96"/>
      <c r="B55" s="20"/>
      <c r="C55" s="20"/>
      <c r="D55" s="20"/>
      <c r="E55" s="20"/>
      <c r="F55" s="92"/>
      <c r="G55" s="94"/>
      <c r="H55" s="94"/>
      <c r="I55" s="97"/>
      <c r="J55" s="97"/>
    </row>
    <row r="56" spans="1:15" x14ac:dyDescent="0.25">
      <c r="A56" s="96"/>
      <c r="B56" s="20"/>
      <c r="C56" s="20"/>
      <c r="D56" s="20"/>
      <c r="E56" s="20"/>
      <c r="F56" s="92"/>
      <c r="G56" s="94"/>
      <c r="H56" s="94"/>
      <c r="I56"/>
      <c r="J56"/>
    </row>
    <row r="57" spans="1:15" x14ac:dyDescent="0.25">
      <c r="A57" s="96"/>
      <c r="B57" s="20"/>
      <c r="C57" s="20"/>
      <c r="D57" s="20"/>
      <c r="E57" s="20"/>
      <c r="F57" s="92"/>
      <c r="G57" s="94"/>
      <c r="H57" s="94"/>
      <c r="I57" s="20"/>
      <c r="J57" s="20"/>
    </row>
    <row r="58" spans="1:15" ht="15.75" customHeight="1" thickBot="1" x14ac:dyDescent="0.3">
      <c r="A58" s="96"/>
      <c r="G58"/>
      <c r="H58"/>
      <c r="I58"/>
      <c r="J58"/>
    </row>
    <row r="59" spans="1:15" ht="19.350000000000001" customHeight="1" thickBot="1" x14ac:dyDescent="0.35">
      <c r="A59" s="96"/>
      <c r="G59" s="391" t="s">
        <v>350</v>
      </c>
      <c r="H59" s="392"/>
      <c r="I59" s="392"/>
      <c r="J59" s="392"/>
      <c r="K59" s="392"/>
      <c r="L59" s="392"/>
      <c r="M59" s="392"/>
      <c r="N59" s="392"/>
      <c r="O59" s="393"/>
    </row>
    <row r="60" spans="1:15" ht="15.75" thickBot="1" x14ac:dyDescent="0.3">
      <c r="A60" s="96"/>
      <c r="G60" s="98"/>
      <c r="H60" s="36"/>
      <c r="I60" s="36"/>
      <c r="J60" s="36"/>
      <c r="K60" s="36"/>
      <c r="L60" s="32"/>
      <c r="M60" s="99"/>
      <c r="N60" s="100"/>
      <c r="O60" s="101"/>
    </row>
    <row r="61" spans="1:15" ht="13.35" customHeight="1" x14ac:dyDescent="0.25">
      <c r="A61" s="102"/>
      <c r="G61" s="394" t="s">
        <v>351</v>
      </c>
      <c r="H61" s="395"/>
      <c r="I61" s="395"/>
      <c r="J61" s="395"/>
      <c r="K61" s="395"/>
      <c r="L61" s="395"/>
      <c r="M61" s="395"/>
      <c r="N61" s="395"/>
      <c r="O61" s="396"/>
    </row>
    <row r="62" spans="1:15" ht="13.35" customHeight="1" x14ac:dyDescent="0.25">
      <c r="A62" s="103"/>
      <c r="G62" s="397"/>
      <c r="H62" s="398"/>
      <c r="I62" s="398"/>
      <c r="J62" s="398"/>
      <c r="K62" s="398"/>
      <c r="L62" s="398"/>
      <c r="M62" s="398"/>
      <c r="N62" s="398"/>
      <c r="O62" s="399"/>
    </row>
    <row r="63" spans="1:15" x14ac:dyDescent="0.25">
      <c r="A63" s="103"/>
      <c r="G63" s="397"/>
      <c r="H63" s="398"/>
      <c r="I63" s="398"/>
      <c r="J63" s="398"/>
      <c r="K63" s="398"/>
      <c r="L63" s="398"/>
      <c r="M63" s="398"/>
      <c r="N63" s="398"/>
      <c r="O63" s="399"/>
    </row>
    <row r="64" spans="1:15" ht="15.75" thickBot="1" x14ac:dyDescent="0.3">
      <c r="A64" s="103"/>
      <c r="G64" s="400"/>
      <c r="H64" s="401"/>
      <c r="I64" s="401"/>
      <c r="J64" s="401"/>
      <c r="K64" s="401"/>
      <c r="L64" s="401"/>
      <c r="M64" s="401"/>
      <c r="N64" s="401"/>
      <c r="O64" s="402"/>
    </row>
    <row r="65" spans="1:15" ht="13.5" customHeight="1" x14ac:dyDescent="0.25">
      <c r="A65" s="103"/>
      <c r="G65" s="98"/>
      <c r="H65" s="36"/>
      <c r="I65" s="36"/>
      <c r="J65" s="36"/>
      <c r="K65" s="36"/>
      <c r="L65" s="32"/>
      <c r="M65" s="99"/>
      <c r="N65" s="100"/>
      <c r="O65" s="101"/>
    </row>
    <row r="66" spans="1:15" x14ac:dyDescent="0.25">
      <c r="A66" s="96"/>
      <c r="B66" s="104"/>
      <c r="C66" s="104"/>
      <c r="D66" s="104"/>
      <c r="E66" s="104"/>
      <c r="F66" s="105"/>
      <c r="G66" s="98"/>
      <c r="H66" s="36"/>
      <c r="I66" s="403"/>
      <c r="J66" s="403"/>
      <c r="K66" s="403"/>
      <c r="L66" s="403"/>
      <c r="M66" s="403"/>
      <c r="N66" s="403"/>
      <c r="O66" s="404"/>
    </row>
    <row r="67" spans="1:15" x14ac:dyDescent="0.25">
      <c r="A67" s="102"/>
      <c r="B67" s="104"/>
      <c r="C67" s="104"/>
      <c r="D67" s="104"/>
      <c r="E67" s="104"/>
      <c r="F67" s="105"/>
      <c r="G67" s="98"/>
      <c r="H67" s="36"/>
      <c r="I67" s="106"/>
      <c r="J67" s="36"/>
      <c r="K67" s="36"/>
      <c r="L67" s="32"/>
      <c r="M67" s="99"/>
      <c r="N67" s="100"/>
      <c r="O67" s="101"/>
    </row>
    <row r="68" spans="1:15" x14ac:dyDescent="0.25">
      <c r="A68" s="18"/>
      <c r="B68" s="104"/>
      <c r="C68" s="104"/>
      <c r="D68" s="104"/>
      <c r="E68" s="104"/>
      <c r="F68" s="105"/>
      <c r="G68" s="98"/>
      <c r="H68" s="36"/>
      <c r="I68" s="37"/>
      <c r="J68" s="107"/>
      <c r="K68" s="108"/>
      <c r="L68" s="32"/>
      <c r="M68" s="32"/>
      <c r="N68" s="107"/>
      <c r="O68" s="109"/>
    </row>
    <row r="69" spans="1:15" x14ac:dyDescent="0.25">
      <c r="A69" s="103"/>
      <c r="B69" s="104"/>
      <c r="C69" s="104"/>
      <c r="D69" s="104"/>
      <c r="E69" s="104"/>
      <c r="F69" s="105"/>
      <c r="G69" s="110">
        <v>1</v>
      </c>
      <c r="H69" s="111"/>
      <c r="I69" s="112" t="s">
        <v>352</v>
      </c>
      <c r="J69" s="113"/>
      <c r="K69" s="113"/>
      <c r="L69" s="111"/>
      <c r="M69" s="111"/>
      <c r="N69" s="113"/>
      <c r="O69" s="114"/>
    </row>
    <row r="70" spans="1:15" ht="13.35" customHeight="1" x14ac:dyDescent="0.25">
      <c r="A70" s="103"/>
      <c r="B70" s="104"/>
      <c r="C70" s="104"/>
      <c r="D70" s="104"/>
      <c r="E70" s="104"/>
      <c r="F70" s="105"/>
      <c r="G70" s="110">
        <v>2</v>
      </c>
      <c r="H70" s="111"/>
      <c r="I70" s="112" t="s">
        <v>353</v>
      </c>
      <c r="J70" s="113"/>
      <c r="K70" s="113"/>
      <c r="L70" s="111"/>
      <c r="M70" s="111"/>
      <c r="N70" s="113"/>
      <c r="O70" s="114"/>
    </row>
    <row r="71" spans="1:15" ht="13.5" customHeight="1" x14ac:dyDescent="0.25">
      <c r="A71" s="103"/>
      <c r="B71" s="104"/>
      <c r="C71" s="104"/>
      <c r="D71" s="104"/>
      <c r="E71" s="104"/>
      <c r="F71" s="105"/>
      <c r="G71" s="110">
        <v>3</v>
      </c>
      <c r="H71" s="111"/>
      <c r="I71" s="115" t="s">
        <v>354</v>
      </c>
      <c r="J71" s="116"/>
      <c r="K71" s="117"/>
      <c r="L71" s="111"/>
      <c r="M71" s="111"/>
      <c r="N71" s="116"/>
      <c r="O71" s="118"/>
    </row>
    <row r="72" spans="1:15" x14ac:dyDescent="0.25">
      <c r="A72" s="103"/>
      <c r="B72" s="104"/>
      <c r="C72" s="104"/>
      <c r="D72" s="104"/>
      <c r="E72" s="104"/>
      <c r="F72" s="105"/>
      <c r="G72" s="110">
        <v>4</v>
      </c>
      <c r="H72" s="111"/>
      <c r="I72" s="115" t="s">
        <v>355</v>
      </c>
      <c r="J72" s="116"/>
      <c r="K72" s="116"/>
      <c r="L72" s="111"/>
      <c r="M72" s="111"/>
      <c r="N72" s="116"/>
      <c r="O72" s="118"/>
    </row>
    <row r="73" spans="1:15" x14ac:dyDescent="0.25">
      <c r="A73" s="103"/>
      <c r="B73" s="104"/>
      <c r="C73" s="104"/>
      <c r="D73" s="104"/>
      <c r="E73" s="104"/>
      <c r="F73" s="105"/>
      <c r="G73" s="110">
        <v>5</v>
      </c>
      <c r="H73" s="111"/>
      <c r="I73" s="112" t="s">
        <v>356</v>
      </c>
      <c r="J73" s="113"/>
      <c r="K73" s="113"/>
      <c r="L73" s="111"/>
      <c r="M73" s="112"/>
      <c r="N73" s="113"/>
      <c r="O73" s="114"/>
    </row>
    <row r="74" spans="1:15" ht="13.5" customHeight="1" x14ac:dyDescent="0.25">
      <c r="A74" s="103"/>
      <c r="B74" s="104"/>
      <c r="C74" s="104"/>
      <c r="D74" s="104"/>
      <c r="E74" s="104"/>
      <c r="F74" s="105"/>
      <c r="G74" s="110">
        <v>6</v>
      </c>
      <c r="H74" s="111"/>
      <c r="I74" s="115" t="s">
        <v>357</v>
      </c>
      <c r="J74" s="116"/>
      <c r="K74" s="117"/>
      <c r="L74" s="111"/>
      <c r="M74" s="111"/>
      <c r="N74" s="116"/>
      <c r="O74" s="118"/>
    </row>
    <row r="75" spans="1:15" x14ac:dyDescent="0.25">
      <c r="A75" s="103"/>
      <c r="B75" s="104"/>
      <c r="C75" s="104"/>
      <c r="D75" s="104"/>
      <c r="E75" s="104"/>
      <c r="F75" s="105"/>
      <c r="G75" s="110">
        <v>7</v>
      </c>
      <c r="H75" s="111"/>
      <c r="I75" s="115" t="s">
        <v>358</v>
      </c>
      <c r="J75" s="116"/>
      <c r="K75" s="117"/>
      <c r="L75" s="111"/>
      <c r="M75" s="111"/>
      <c r="N75" s="116"/>
      <c r="O75" s="118"/>
    </row>
    <row r="76" spans="1:15" ht="13.35" customHeight="1" x14ac:dyDescent="0.25">
      <c r="A76" s="103"/>
      <c r="G76" s="110">
        <v>8</v>
      </c>
      <c r="H76" s="111"/>
      <c r="I76" s="405" t="s">
        <v>359</v>
      </c>
      <c r="J76" s="405"/>
      <c r="K76" s="405"/>
      <c r="L76" s="405"/>
      <c r="M76" s="405"/>
      <c r="N76" s="116"/>
      <c r="O76" s="118"/>
    </row>
    <row r="77" spans="1:15" x14ac:dyDescent="0.25">
      <c r="A77" s="18"/>
      <c r="G77" s="110"/>
      <c r="H77" s="111"/>
      <c r="I77" s="405"/>
      <c r="J77" s="405"/>
      <c r="K77" s="405"/>
      <c r="L77" s="405"/>
      <c r="M77" s="405"/>
      <c r="N77" s="113"/>
      <c r="O77" s="114"/>
    </row>
    <row r="78" spans="1:15" ht="13.35" customHeight="1" x14ac:dyDescent="0.25">
      <c r="A78" s="18"/>
      <c r="G78" s="110">
        <v>9</v>
      </c>
      <c r="H78" s="111"/>
      <c r="I78" s="387" t="s">
        <v>360</v>
      </c>
      <c r="J78" s="387"/>
      <c r="K78" s="387"/>
      <c r="L78" s="387"/>
      <c r="M78" s="387"/>
      <c r="N78" s="387"/>
      <c r="O78" s="388"/>
    </row>
    <row r="79" spans="1:15" ht="13.35" customHeight="1" x14ac:dyDescent="0.25">
      <c r="A79" s="18"/>
      <c r="G79" s="110"/>
      <c r="H79" s="111"/>
      <c r="I79" s="387"/>
      <c r="J79" s="387"/>
      <c r="K79" s="387"/>
      <c r="L79" s="387"/>
      <c r="M79" s="387"/>
      <c r="N79" s="387"/>
      <c r="O79" s="388"/>
    </row>
    <row r="80" spans="1:15" ht="28.35" customHeight="1" x14ac:dyDescent="0.25">
      <c r="A80" s="18"/>
      <c r="G80" s="110">
        <v>10</v>
      </c>
      <c r="H80" s="111"/>
      <c r="I80" s="387" t="s">
        <v>361</v>
      </c>
      <c r="J80" s="387"/>
      <c r="K80" s="387"/>
      <c r="L80" s="387"/>
      <c r="M80" s="387"/>
      <c r="N80" s="387"/>
      <c r="O80" s="388"/>
    </row>
    <row r="81" spans="1:15" ht="13.35" customHeight="1" x14ac:dyDescent="0.25">
      <c r="A81" s="18"/>
      <c r="G81" s="110">
        <v>11</v>
      </c>
      <c r="H81" s="111"/>
      <c r="I81" s="387" t="s">
        <v>362</v>
      </c>
      <c r="J81" s="387"/>
      <c r="K81" s="387"/>
      <c r="L81" s="387"/>
      <c r="M81" s="387"/>
      <c r="N81" s="387"/>
      <c r="O81" s="388"/>
    </row>
    <row r="82" spans="1:15" ht="13.35" customHeight="1" x14ac:dyDescent="0.25">
      <c r="A82" s="18"/>
      <c r="G82" s="110">
        <v>12</v>
      </c>
      <c r="H82" s="111"/>
      <c r="I82" s="387" t="s">
        <v>363</v>
      </c>
      <c r="J82" s="387"/>
      <c r="K82" s="387"/>
      <c r="L82" s="387"/>
      <c r="M82" s="387"/>
      <c r="N82" s="387"/>
      <c r="O82" s="388"/>
    </row>
    <row r="83" spans="1:15" x14ac:dyDescent="0.25">
      <c r="A83" s="18"/>
      <c r="G83" s="110">
        <v>13</v>
      </c>
      <c r="H83" s="111"/>
      <c r="I83" s="115" t="s">
        <v>364</v>
      </c>
      <c r="J83" s="119"/>
      <c r="K83" s="119"/>
      <c r="L83" s="119"/>
      <c r="M83" s="119"/>
      <c r="N83" s="119"/>
      <c r="O83" s="120"/>
    </row>
    <row r="84" spans="1:15" ht="15.75" thickBot="1" x14ac:dyDescent="0.3">
      <c r="A84" s="18"/>
      <c r="G84" s="121"/>
      <c r="H84" s="122"/>
      <c r="I84" s="123" t="s">
        <v>365</v>
      </c>
      <c r="J84" s="124"/>
      <c r="K84" s="124"/>
      <c r="L84" s="124"/>
      <c r="M84" s="124"/>
      <c r="N84" s="124"/>
      <c r="O84" s="125"/>
    </row>
    <row r="85" spans="1:15" x14ac:dyDescent="0.25">
      <c r="A85" s="18"/>
    </row>
    <row r="86" spans="1:15" x14ac:dyDescent="0.25">
      <c r="A86" s="18"/>
    </row>
    <row r="87" spans="1:15" x14ac:dyDescent="0.25">
      <c r="A87" s="18"/>
    </row>
    <row r="88" spans="1:15" x14ac:dyDescent="0.25">
      <c r="A88" s="18"/>
    </row>
    <row r="89" spans="1:15" x14ac:dyDescent="0.25">
      <c r="A89" s="96"/>
    </row>
    <row r="90" spans="1:15" x14ac:dyDescent="0.25">
      <c r="A90" s="96"/>
    </row>
    <row r="91" spans="1:15" x14ac:dyDescent="0.25">
      <c r="A91" s="102"/>
    </row>
    <row r="92" spans="1:15" x14ac:dyDescent="0.25">
      <c r="A92" s="126"/>
    </row>
    <row r="93" spans="1:15" x14ac:dyDescent="0.25">
      <c r="A93" s="126"/>
    </row>
    <row r="94" spans="1:15" x14ac:dyDescent="0.25">
      <c r="A94" s="126"/>
    </row>
    <row r="95" spans="1:15" x14ac:dyDescent="0.25">
      <c r="A95" s="102"/>
    </row>
    <row r="96" spans="1:15" x14ac:dyDescent="0.25">
      <c r="A96" s="102"/>
    </row>
    <row r="97" spans="1:10" x14ac:dyDescent="0.25">
      <c r="A97" s="126"/>
    </row>
    <row r="98" spans="1:10" x14ac:dyDescent="0.25">
      <c r="A98" s="102"/>
    </row>
    <row r="99" spans="1:10" x14ac:dyDescent="0.25">
      <c r="A99" s="102"/>
      <c r="I99" s="127"/>
      <c r="J99" s="127"/>
    </row>
    <row r="100" spans="1:10" x14ac:dyDescent="0.25">
      <c r="A100" s="126"/>
      <c r="I100" s="128"/>
      <c r="J100" s="128"/>
    </row>
    <row r="101" spans="1:10" x14ac:dyDescent="0.25">
      <c r="I101" s="127"/>
      <c r="J101" s="127"/>
    </row>
  </sheetData>
  <mergeCells count="15">
    <mergeCell ref="L13:N13"/>
    <mergeCell ref="I80:O80"/>
    <mergeCell ref="I81:O81"/>
    <mergeCell ref="I82:O82"/>
    <mergeCell ref="M26:N26"/>
    <mergeCell ref="G59:O59"/>
    <mergeCell ref="G61:O64"/>
    <mergeCell ref="I66:O66"/>
    <mergeCell ref="I76:M77"/>
    <mergeCell ref="I78:O79"/>
    <mergeCell ref="B4:J4"/>
    <mergeCell ref="B6:E7"/>
    <mergeCell ref="F6:I7"/>
    <mergeCell ref="J6:J7"/>
    <mergeCell ref="A8:A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284FE-D504-8645-8C91-AA1598E6EECA}">
  <dimension ref="A1:J15"/>
  <sheetViews>
    <sheetView workbookViewId="0">
      <selection activeCell="C8" sqref="C8"/>
    </sheetView>
  </sheetViews>
  <sheetFormatPr defaultColWidth="11.42578125" defaultRowHeight="15" x14ac:dyDescent="0.25"/>
  <cols>
    <col min="1" max="1" width="17.140625" bestFit="1" customWidth="1"/>
    <col min="2" max="2" width="15.85546875" bestFit="1" customWidth="1"/>
    <col min="3" max="3" width="35.7109375" bestFit="1" customWidth="1"/>
    <col min="5" max="5" width="8" bestFit="1" customWidth="1"/>
    <col min="7" max="7" width="12.7109375" bestFit="1" customWidth="1"/>
    <col min="9" max="9" width="14.7109375" bestFit="1" customWidth="1"/>
    <col min="10" max="10" width="14" bestFit="1" customWidth="1"/>
  </cols>
  <sheetData>
    <row r="1" spans="1:10" x14ac:dyDescent="0.25">
      <c r="A1" t="s">
        <v>279</v>
      </c>
      <c r="B1" t="s">
        <v>280</v>
      </c>
      <c r="C1" t="s">
        <v>281</v>
      </c>
      <c r="D1" t="s">
        <v>151</v>
      </c>
      <c r="E1" t="s">
        <v>152</v>
      </c>
      <c r="F1" t="s">
        <v>282</v>
      </c>
      <c r="G1" t="s">
        <v>283</v>
      </c>
      <c r="H1" t="s">
        <v>284</v>
      </c>
      <c r="I1" t="s">
        <v>285</v>
      </c>
      <c r="J1" t="s">
        <v>157</v>
      </c>
    </row>
    <row r="2" spans="1:10" x14ac:dyDescent="0.25">
      <c r="A2" t="s">
        <v>286</v>
      </c>
      <c r="B2" t="s">
        <v>287</v>
      </c>
      <c r="C2" t="s">
        <v>288</v>
      </c>
      <c r="D2" t="s">
        <v>289</v>
      </c>
      <c r="E2">
        <v>2</v>
      </c>
      <c r="F2">
        <v>120000</v>
      </c>
      <c r="G2">
        <f t="shared" ref="G2:G7" si="0">E2*F2</f>
        <v>240000</v>
      </c>
      <c r="H2">
        <v>18.010000000000002</v>
      </c>
      <c r="I2">
        <f t="shared" ref="I2:I7" si="1">G2*H2</f>
        <v>4322400</v>
      </c>
      <c r="J2" t="s">
        <v>290</v>
      </c>
    </row>
    <row r="3" spans="1:10" x14ac:dyDescent="0.25">
      <c r="A3" t="s">
        <v>291</v>
      </c>
      <c r="B3" t="s">
        <v>287</v>
      </c>
      <c r="C3" t="s">
        <v>292</v>
      </c>
      <c r="D3" t="s">
        <v>289</v>
      </c>
      <c r="E3">
        <v>1</v>
      </c>
      <c r="F3">
        <v>220000</v>
      </c>
      <c r="G3">
        <f t="shared" si="0"/>
        <v>220000</v>
      </c>
      <c r="H3">
        <v>18.010000000000002</v>
      </c>
      <c r="I3">
        <f t="shared" si="1"/>
        <v>3962200.0000000005</v>
      </c>
      <c r="J3" t="s">
        <v>293</v>
      </c>
    </row>
    <row r="4" spans="1:10" x14ac:dyDescent="0.25">
      <c r="A4" t="s">
        <v>294</v>
      </c>
      <c r="B4" t="s">
        <v>295</v>
      </c>
      <c r="C4" t="s">
        <v>296</v>
      </c>
      <c r="D4" t="s">
        <v>297</v>
      </c>
      <c r="E4">
        <v>56</v>
      </c>
      <c r="F4">
        <v>1800</v>
      </c>
      <c r="G4">
        <f t="shared" si="0"/>
        <v>100800</v>
      </c>
      <c r="H4">
        <v>18.010000000000002</v>
      </c>
      <c r="I4">
        <f t="shared" si="1"/>
        <v>1815408.0000000002</v>
      </c>
      <c r="J4" t="s">
        <v>298</v>
      </c>
    </row>
    <row r="5" spans="1:10" x14ac:dyDescent="0.25">
      <c r="A5" t="s">
        <v>299</v>
      </c>
      <c r="B5" t="s">
        <v>300</v>
      </c>
      <c r="C5" t="s">
        <v>301</v>
      </c>
      <c r="D5" t="s">
        <v>151</v>
      </c>
      <c r="E5">
        <v>60</v>
      </c>
      <c r="F5">
        <v>2000</v>
      </c>
      <c r="G5">
        <f t="shared" si="0"/>
        <v>120000</v>
      </c>
      <c r="H5">
        <v>18.010000000000002</v>
      </c>
      <c r="I5">
        <f t="shared" si="1"/>
        <v>2161200</v>
      </c>
      <c r="J5" t="s">
        <v>302</v>
      </c>
    </row>
    <row r="6" spans="1:10" x14ac:dyDescent="0.25">
      <c r="A6" t="s">
        <v>303</v>
      </c>
      <c r="B6" t="s">
        <v>304</v>
      </c>
      <c r="C6" t="s">
        <v>305</v>
      </c>
      <c r="D6" t="s">
        <v>151</v>
      </c>
      <c r="E6">
        <v>40</v>
      </c>
      <c r="F6">
        <v>800</v>
      </c>
      <c r="G6">
        <f t="shared" si="0"/>
        <v>32000</v>
      </c>
      <c r="H6">
        <v>18.010000000000002</v>
      </c>
      <c r="I6">
        <f t="shared" si="1"/>
        <v>576320</v>
      </c>
      <c r="J6" t="s">
        <v>306</v>
      </c>
    </row>
    <row r="7" spans="1:10" x14ac:dyDescent="0.25">
      <c r="A7" t="s">
        <v>307</v>
      </c>
      <c r="B7" t="s">
        <v>308</v>
      </c>
      <c r="C7" t="s">
        <v>309</v>
      </c>
      <c r="D7" t="s">
        <v>289</v>
      </c>
      <c r="E7">
        <v>2</v>
      </c>
      <c r="F7">
        <v>45000</v>
      </c>
      <c r="G7">
        <f t="shared" si="0"/>
        <v>90000</v>
      </c>
      <c r="H7">
        <v>18.010000000000002</v>
      </c>
      <c r="I7">
        <f t="shared" si="1"/>
        <v>1620900.0000000002</v>
      </c>
      <c r="J7" t="s">
        <v>310</v>
      </c>
    </row>
    <row r="8" spans="1:10" x14ac:dyDescent="0.25">
      <c r="A8" t="s">
        <v>311</v>
      </c>
      <c r="G8" s="129">
        <f>SUM(G2:G7)</f>
        <v>802800</v>
      </c>
      <c r="I8" s="129">
        <f>SUM(I2:I7)</f>
        <v>14458428</v>
      </c>
    </row>
    <row r="11" spans="1:10" x14ac:dyDescent="0.25">
      <c r="A11" s="130" t="s">
        <v>312</v>
      </c>
      <c r="B11" s="130" t="s">
        <v>14</v>
      </c>
    </row>
    <row r="12" spans="1:10" x14ac:dyDescent="0.25">
      <c r="A12" t="s">
        <v>313</v>
      </c>
      <c r="B12" s="31">
        <f>120000*2</f>
        <v>240000</v>
      </c>
    </row>
    <row r="13" spans="1:10" x14ac:dyDescent="0.25">
      <c r="A13" t="s">
        <v>314</v>
      </c>
      <c r="B13" s="31">
        <v>100000</v>
      </c>
    </row>
    <row r="14" spans="1:10" x14ac:dyDescent="0.25">
      <c r="A14" t="s">
        <v>315</v>
      </c>
      <c r="B14" s="31">
        <v>25000</v>
      </c>
    </row>
    <row r="15" spans="1:10" x14ac:dyDescent="0.25">
      <c r="A15" s="130" t="s">
        <v>316</v>
      </c>
      <c r="B15" s="130" t="s">
        <v>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6a23645-241a-47ac-87da-5d73648025bd" xsi:nil="true"/>
    <lcf76f155ced4ddcb4097134ff3c332f xmlns="526ef564-55ab-4f5d-b337-0b983e2a1bb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18B15478E148743978F0FC635B7AAAE" ma:contentTypeVersion="11" ma:contentTypeDescription="Crear nuevo documento." ma:contentTypeScope="" ma:versionID="1709ade4004dec64c2e43cb90262b3e6">
  <xsd:schema xmlns:xsd="http://www.w3.org/2001/XMLSchema" xmlns:xs="http://www.w3.org/2001/XMLSchema" xmlns:p="http://schemas.microsoft.com/office/2006/metadata/properties" xmlns:ns2="526ef564-55ab-4f5d-b337-0b983e2a1bb6" xmlns:ns3="46a23645-241a-47ac-87da-5d73648025bd" targetNamespace="http://schemas.microsoft.com/office/2006/metadata/properties" ma:root="true" ma:fieldsID="111cb2c1c04d7e2fe35c457e8fc358e9" ns2:_="" ns3:_="">
    <xsd:import namespace="526ef564-55ab-4f5d-b337-0b983e2a1bb6"/>
    <xsd:import namespace="46a23645-241a-47ac-87da-5d73648025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6ef564-55ab-4f5d-b337-0b983e2a1b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0dc53cf-acef-4f27-8e74-d2522b15b300"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a23645-241a-47ac-87da-5d73648025b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1fbb6f-7f9a-4f65-a36b-7b6a64f616c4}" ma:internalName="TaxCatchAll" ma:showField="CatchAllData" ma:web="46a23645-241a-47ac-87da-5d73648025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CDB22E-481E-4DEC-9CBA-CC9A98C7AC76}">
  <ds:schemaRefs>
    <ds:schemaRef ds:uri="http://schemas.openxmlformats.org/package/2006/metadata/core-properties"/>
    <ds:schemaRef ds:uri="http://purl.org/dc/elements/1.1/"/>
    <ds:schemaRef ds:uri="http://schemas.microsoft.com/office/infopath/2007/PartnerControls"/>
    <ds:schemaRef ds:uri="http://purl.org/dc/dcmitype/"/>
    <ds:schemaRef ds:uri="526ef564-55ab-4f5d-b337-0b983e2a1bb6"/>
    <ds:schemaRef ds:uri="http://schemas.microsoft.com/office/2006/metadata/properties"/>
    <ds:schemaRef ds:uri="http://www.w3.org/XML/1998/namespace"/>
    <ds:schemaRef ds:uri="http://purl.org/dc/terms/"/>
    <ds:schemaRef ds:uri="http://schemas.microsoft.com/office/2006/documentManagement/types"/>
    <ds:schemaRef ds:uri="46a23645-241a-47ac-87da-5d73648025bd"/>
  </ds:schemaRefs>
</ds:datastoreItem>
</file>

<file path=customXml/itemProps2.xml><?xml version="1.0" encoding="utf-8"?>
<ds:datastoreItem xmlns:ds="http://schemas.openxmlformats.org/officeDocument/2006/customXml" ds:itemID="{FA3C85AC-3A3B-4ADF-A5FE-88AC84168D6F}">
  <ds:schemaRefs>
    <ds:schemaRef ds:uri="http://schemas.microsoft.com/sharepoint/v3/contenttype/forms"/>
  </ds:schemaRefs>
</ds:datastoreItem>
</file>

<file path=customXml/itemProps3.xml><?xml version="1.0" encoding="utf-8"?>
<ds:datastoreItem xmlns:ds="http://schemas.openxmlformats.org/officeDocument/2006/customXml" ds:itemID="{4B1B055D-9195-4790-B5EC-000941E013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6ef564-55ab-4f5d-b337-0b983e2a1bb6"/>
    <ds:schemaRef ds:uri="46a23645-241a-47ac-87da-5d73648025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Glosario</vt:lpstr>
      <vt:lpstr>Inputs</vt:lpstr>
      <vt:lpstr>S&amp;U</vt:lpstr>
      <vt:lpstr>Hoja1</vt:lpstr>
      <vt:lpstr>CAPEX</vt:lpstr>
      <vt:lpstr>OPEX</vt:lpstr>
      <vt:lpstr>OPEX (2)</vt:lpstr>
      <vt:lpstr>OPEX NOTAS</vt:lpstr>
      <vt:lpstr>Pass-Through IBD</vt:lpstr>
      <vt:lpstr>Bloque IBD</vt:lpstr>
      <vt:lpstr>Exp PreOP</vt:lpstr>
      <vt:lpstr>Generadores</vt:lpstr>
      <vt:lpstr>ATN</vt:lpstr>
      <vt:lpstr>network eq.</vt:lpstr>
      <vt:lpstr>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Santiago Miranda</cp:lastModifiedBy>
  <cp:revision/>
  <dcterms:created xsi:type="dcterms:W3CDTF">2025-12-16T05:08:28Z</dcterms:created>
  <dcterms:modified xsi:type="dcterms:W3CDTF">2026-02-26T16:37:01Z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0x010100A18B15478E148743978F0FC635B7AAAE</vt:lpwstr>
  </property>
  <property fmtid="{D5CDD505-2E9C-101B-9397-08002B2CF9AE}" pid="3" name="MediaServiceImageTags">
    <vt:lpwstr/>
  </property>
</Properties>
</file>