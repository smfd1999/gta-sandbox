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fermacadreams-my.sharepoint.com/personal/smiranda_fermacadreams_com_mx/Documents/Escritorio/ClaudeCodeTest/docs/"/>
    </mc:Choice>
  </mc:AlternateContent>
  <xr:revisionPtr revIDLastSave="23" documentId="8_{C01C0CAB-45D9-4BD8-8228-2A547138802F}" xr6:coauthVersionLast="47" xr6:coauthVersionMax="47" xr10:uidLastSave="{18C1F404-A341-4EE2-ABF0-0AC09F34C254}"/>
  <bookViews>
    <workbookView xWindow="-120" yWindow="-120" windowWidth="20730" windowHeight="11160" xr2:uid="{00000000-000D-0000-FFFF-FFFF00000000}"/>
  </bookViews>
  <sheets>
    <sheet name="Financing" sheetId="1" r:id="rId1"/>
    <sheet name="Equity" sheetId="3" r:id="rId2"/>
    <sheet name="S&amp;U" sheetId="5" r:id="rId3"/>
    <sheet name="S&amp;U (2)" sheetId="7" state="hidden" r:id="rId4"/>
    <sheet name="Bridge Financing" sheetId="6" r:id="rId5"/>
  </sheets>
  <externalReferences>
    <externalReference r:id="rId6"/>
  </externalReferences>
  <definedNames>
    <definedName name="TC">[1]CAPEX!$D$3</definedName>
  </definedNames>
  <calcPr calcId="191028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48" i="6" l="1"/>
  <c r="F35" i="6"/>
  <c r="E35" i="6"/>
  <c r="D35" i="6"/>
  <c r="G34" i="6"/>
  <c r="F34" i="6"/>
  <c r="E34" i="6"/>
  <c r="D34" i="6"/>
  <c r="C34" i="6"/>
  <c r="C31" i="6"/>
  <c r="G31" i="6"/>
  <c r="C32" i="6"/>
  <c r="G30" i="6"/>
  <c r="F30" i="6"/>
  <c r="D30" i="6"/>
  <c r="C30" i="6"/>
  <c r="G29" i="6"/>
  <c r="F29" i="6"/>
  <c r="D29" i="6"/>
  <c r="C29" i="6"/>
  <c r="D26" i="6"/>
  <c r="D25" i="6"/>
  <c r="D24" i="6"/>
  <c r="D23" i="6"/>
  <c r="D22" i="6"/>
  <c r="E24" i="5"/>
  <c r="E22" i="5"/>
  <c r="D22" i="5"/>
  <c r="I38" i="5"/>
  <c r="I36" i="5"/>
  <c r="I32" i="5"/>
  <c r="M39" i="5"/>
  <c r="I40" i="5"/>
  <c r="D21" i="5"/>
  <c r="D18" i="5"/>
  <c r="D12" i="5"/>
  <c r="D17" i="5"/>
  <c r="C47" i="6"/>
  <c r="C46" i="6"/>
  <c r="C45" i="6"/>
  <c r="D21" i="6"/>
  <c r="D16" i="6"/>
  <c r="D46" i="6"/>
  <c r="D15" i="6"/>
  <c r="D45" i="6"/>
  <c r="D14" i="6"/>
  <c r="D47" i="6"/>
  <c r="D5" i="6"/>
  <c r="D19" i="6"/>
  <c r="C44" i="6"/>
  <c r="H35" i="7"/>
  <c r="H30" i="7"/>
  <c r="H29" i="7"/>
  <c r="H28" i="7"/>
  <c r="H27" i="7"/>
  <c r="H26" i="7"/>
  <c r="H25" i="7"/>
  <c r="H24" i="7"/>
  <c r="H23" i="7"/>
  <c r="H22" i="7"/>
  <c r="H21" i="7"/>
  <c r="D21" i="7"/>
  <c r="H20" i="7"/>
  <c r="H19" i="7"/>
  <c r="H18" i="7"/>
  <c r="H37" i="7"/>
  <c r="H31" i="7"/>
  <c r="H17" i="7"/>
  <c r="D17" i="7"/>
  <c r="G32" i="6"/>
  <c r="C33" i="6"/>
  <c r="D32" i="6"/>
  <c r="F32" i="6"/>
  <c r="D31" i="6"/>
  <c r="F31" i="6"/>
  <c r="D39" i="6"/>
  <c r="D8" i="5"/>
  <c r="D38" i="6"/>
  <c r="D20" i="6"/>
  <c r="K38" i="7"/>
  <c r="H39" i="7"/>
  <c r="H42" i="7"/>
  <c r="D8" i="7"/>
  <c r="H40" i="7"/>
  <c r="D18" i="7"/>
  <c r="D12" i="7"/>
  <c r="G33" i="6"/>
  <c r="D33" i="6"/>
  <c r="F33" i="6"/>
  <c r="I43" i="5"/>
  <c r="I41" i="5"/>
  <c r="D40" i="6"/>
  <c r="D48" i="6"/>
  <c r="D44" i="6"/>
  <c r="D41" i="6"/>
  <c r="D20" i="7"/>
  <c r="D23" i="7"/>
  <c r="D25" i="7"/>
  <c r="J41" i="5"/>
  <c r="J39" i="5"/>
  <c r="J18" i="5"/>
  <c r="J40" i="5"/>
  <c r="J17" i="5"/>
  <c r="J43" i="5"/>
  <c r="J32" i="5"/>
  <c r="H44" i="7"/>
  <c r="D20" i="5"/>
  <c r="D24" i="5"/>
  <c r="E20" i="5"/>
  <c r="D26" i="5"/>
  <c r="E19" i="5"/>
  <c r="E18" i="5"/>
  <c r="E21" i="5"/>
  <c r="E17" i="5"/>
  <c r="I45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smiranda</author>
  </authors>
  <commentList>
    <comment ref="D22" authorId="0" shapeId="0" xr:uid="{4236C2FD-29EB-4091-A13C-CD49F4AD3423}">
      <text>
        <r>
          <rPr>
            <b/>
            <sz val="9"/>
            <color indexed="81"/>
            <rFont val="Tahoma"/>
            <charset val="1"/>
          </rPr>
          <t>smiranda:</t>
        </r>
        <r>
          <rPr>
            <sz val="9"/>
            <color indexed="81"/>
            <rFont val="Tahoma"/>
            <charset val="1"/>
          </rPr>
          <t xml:space="preserve">
Bridge loan for GPU procurement — interim financing until permanent debt closes. See 'Bridge Financing' tab for full schedule. Not additive to Total Sources (rolls into permanent GPU debt at maturity).</t>
        </r>
      </text>
    </comment>
  </commentList>
</comments>
</file>

<file path=xl/sharedStrings.xml><?xml version="1.0" encoding="utf-8"?>
<sst xmlns="http://schemas.openxmlformats.org/spreadsheetml/2006/main" count="357" uniqueCount="198">
  <si>
    <t>Entity</t>
  </si>
  <si>
    <t>Financing Type</t>
  </si>
  <si>
    <t>Description</t>
  </si>
  <si>
    <t>Comment</t>
  </si>
  <si>
    <t>Dell Financing Services</t>
  </si>
  <si>
    <t>Financial Lease</t>
  </si>
  <si>
    <t>Pure Lease</t>
  </si>
  <si>
    <t>Pay as you use</t>
  </si>
  <si>
    <t>Simple Credit</t>
  </si>
  <si>
    <t>3-9%</t>
  </si>
  <si>
    <t>Permian Labs</t>
  </si>
  <si>
    <t>Trinity</t>
  </si>
  <si>
    <t>Corporate guarantee</t>
  </si>
  <si>
    <t>Cannot offer financing in Mexico</t>
  </si>
  <si>
    <t>VFI</t>
  </si>
  <si>
    <t>Different financing modalities</t>
  </si>
  <si>
    <t>Cannot perform asset backed financing</t>
  </si>
  <si>
    <t>10-12%</t>
  </si>
  <si>
    <t>NA</t>
  </si>
  <si>
    <t>Corporate guarantee or asset backed</t>
  </si>
  <si>
    <t>Asset backed</t>
  </si>
  <si>
    <t xml:space="preserve"> </t>
  </si>
  <si>
    <t>10-15%</t>
  </si>
  <si>
    <t>SMBC</t>
  </si>
  <si>
    <t>TBD</t>
  </si>
  <si>
    <t>Olayan Group</t>
  </si>
  <si>
    <t>ERA Funds</t>
  </si>
  <si>
    <t>Fund type</t>
  </si>
  <si>
    <t>Ticket size</t>
  </si>
  <si>
    <t>Middle East family office</t>
  </si>
  <si>
    <t>US.$ 5-10MM</t>
  </si>
  <si>
    <t>AI oriented equity and/or debt</t>
  </si>
  <si>
    <t>Schedule intro call for Fermaca Digital Origins</t>
  </si>
  <si>
    <t>Chuck Leaver</t>
  </si>
  <si>
    <t xml:space="preserve">For “on‑demand spec rental” (no contracted offtake, similar to Hydra Host month‑to‑month model), indicative all‑in cost of capital is about 12% at 70–80% LTV.  
Loan-to-value (LTV): 70–80% of hardware cost. 
Tenor and amortization: 3‑year term, straight‑line amortization to zero over the 3 years. 
Scope of collateral: USD.AI finances only servers and networking equipment (compute stack), not the modular data center shell or facility infrastructure. </t>
  </si>
  <si>
    <t>I/Y</t>
  </si>
  <si>
    <t>Altum Capital</t>
  </si>
  <si>
    <t>Concept</t>
  </si>
  <si>
    <t>Unit</t>
  </si>
  <si>
    <t>Metric</t>
  </si>
  <si>
    <t>LTV GPUs</t>
  </si>
  <si>
    <t>%</t>
  </si>
  <si>
    <t>I/Y GPUs</t>
  </si>
  <si>
    <t xml:space="preserve">Tenor GPUs </t>
  </si>
  <si>
    <t>yrs</t>
  </si>
  <si>
    <t>Monthly payment GPUs</t>
  </si>
  <si>
    <t>PMT</t>
  </si>
  <si>
    <t>LTV DC CAPEX</t>
  </si>
  <si>
    <t>I/Y DC CAPEX</t>
  </si>
  <si>
    <t>Tenor DC CAPEX</t>
  </si>
  <si>
    <t>Monthly payment DC CAPEX</t>
  </si>
  <si>
    <t>DSRA</t>
  </si>
  <si>
    <t>months</t>
  </si>
  <si>
    <t>EPC Financing</t>
  </si>
  <si>
    <t>Sources</t>
  </si>
  <si>
    <t>Ammount</t>
  </si>
  <si>
    <t>Uses</t>
  </si>
  <si>
    <t>Debt Financing GPUs</t>
  </si>
  <si>
    <t>Financing ammount for GPUs</t>
  </si>
  <si>
    <t>GPUs</t>
  </si>
  <si>
    <t>Dell or Supermicro w/NVIDIA B300 (HPC Compute)</t>
  </si>
  <si>
    <t>Debt Financing DC CAPEX</t>
  </si>
  <si>
    <t>Financing ammount for DC CAPEX</t>
  </si>
  <si>
    <t>AUXILIARY CAPEX</t>
  </si>
  <si>
    <t>Cooling, electrical, plumbing, telecom, etc.</t>
  </si>
  <si>
    <t>Fermaca Equity</t>
  </si>
  <si>
    <t>Equity from within</t>
  </si>
  <si>
    <t>SISTEMA DE GENERACIÓN DE RESPALDO (GENERADORES)</t>
  </si>
  <si>
    <t>Aux DC CAPEX</t>
  </si>
  <si>
    <t>New Investor Equity</t>
  </si>
  <si>
    <t>New Investor needs</t>
  </si>
  <si>
    <t xml:space="preserve">INTERRUPTOR DE TRANSFERENCIA AUTOMÁTICA (ATS) </t>
  </si>
  <si>
    <t>10% EPC financing</t>
  </si>
  <si>
    <t>TRANSFORMADOR PRINCIPAL</t>
  </si>
  <si>
    <t xml:space="preserve">UPS </t>
  </si>
  <si>
    <t>Total Sources</t>
  </si>
  <si>
    <t>BANCO DE BATERÍAS</t>
  </si>
  <si>
    <t>TABLERO DE MEDIA TENSIÓN</t>
  </si>
  <si>
    <t>SWITCHGEAR</t>
  </si>
  <si>
    <t>SISTEMA DE REFRIGERACIÓN PARA LOS GABINETES MODULARES TIPO CONTENEDOR (CHILLERS)</t>
  </si>
  <si>
    <t>Telecom</t>
  </si>
  <si>
    <t>SEGURIDAD</t>
  </si>
  <si>
    <t>DDC (Gabinetes)</t>
  </si>
  <si>
    <t>Procura y Obra Gestor</t>
  </si>
  <si>
    <t>Non Fineaceable CAPEX</t>
  </si>
  <si>
    <t>Project development, engineering, construction, non detachable</t>
  </si>
  <si>
    <t>Engineering</t>
  </si>
  <si>
    <t>Construction</t>
  </si>
  <si>
    <t>FDO Construction</t>
  </si>
  <si>
    <t>Commissioning</t>
  </si>
  <si>
    <t>Tests</t>
  </si>
  <si>
    <t>CFE Commitments</t>
  </si>
  <si>
    <t>CFE quote for capacity increase</t>
  </si>
  <si>
    <t>Bcysa Feasibility &amp; Development contract</t>
  </si>
  <si>
    <t>BCYSA Quote</t>
  </si>
  <si>
    <t>Bcysa Owners Engineer</t>
  </si>
  <si>
    <t>Contingency</t>
  </si>
  <si>
    <t>Permits and Studies</t>
  </si>
  <si>
    <t>Local permits and structural studies</t>
  </si>
  <si>
    <t>Subtotal</t>
  </si>
  <si>
    <t>7% contigency</t>
  </si>
  <si>
    <t>DSCA of 3 months</t>
  </si>
  <si>
    <t>Construction reserve account</t>
  </si>
  <si>
    <t>Total Uses</t>
  </si>
  <si>
    <t>Sources and Uses FDO</t>
  </si>
  <si>
    <t>Check</t>
  </si>
  <si>
    <t xml:space="preserve">Pending - Schedule kickoff call. </t>
  </si>
  <si>
    <t>Information sent, awaiting response. Initial talks.</t>
  </si>
  <si>
    <t>Beel Capital</t>
  </si>
  <si>
    <t>Info sent, waiting for follow up</t>
  </si>
  <si>
    <t xml:space="preserve">For “on‑demand spec rental” (no contracted offtake, similar to Hydra Host month‑to‑month model), indicative all‑in cost of capital is about 10–15% at 70–80% LTV.  Loan can be ammended (lower interest) once long term contract is signed
Loan-to-value (LTV): 70–80% of hardware cost. 
Tenor and amortization: 3‑year term, straight‑line amortization to zero over the 3 years. 
Scope of collateral: USD.AI finances only servers and networking equipment (compute stack), not the modular data center shell or facility infrastructure. </t>
  </si>
  <si>
    <t>Metaversal</t>
  </si>
  <si>
    <t>Bridge Financing</t>
  </si>
  <si>
    <t>Initial talks, waiting for NDA signature and then dive into due diligence.</t>
  </si>
  <si>
    <t>Bridge Financing — GPU Procurement</t>
  </si>
  <si>
    <t>Assumptions</t>
  </si>
  <si>
    <t>GPU CAPEX (from S&amp;U)</t>
  </si>
  <si>
    <t>$</t>
  </si>
  <si>
    <t>Bridge LTV</t>
  </si>
  <si>
    <t>Bridge Interest Rate (annual)</t>
  </si>
  <si>
    <t>Bridge Tenor</t>
  </si>
  <si>
    <t>Origination Fee</t>
  </si>
  <si>
    <t>Collateral</t>
  </si>
  <si>
    <t>GPU Hardware (Asset Backed)</t>
  </si>
  <si>
    <t>Lender</t>
  </si>
  <si>
    <t>Metaversal (TBD)</t>
  </si>
  <si>
    <t>Permanent Financing Terms (S&amp;U)</t>
  </si>
  <si>
    <t>Permanent LTV (GPUs)</t>
  </si>
  <si>
    <t>Permanent I/Y (GPUs)</t>
  </si>
  <si>
    <t>Permanent Tenor (GPUs)</t>
  </si>
  <si>
    <t>Bridge Loan Summary</t>
  </si>
  <si>
    <t>Amount</t>
  </si>
  <si>
    <t>Bridge Loan Amount</t>
  </si>
  <si>
    <t>Origination Fee ($)</t>
  </si>
  <si>
    <t>Monthly Interest Rate</t>
  </si>
  <si>
    <t>Monthly Payment</t>
  </si>
  <si>
    <t>Total Cost of Bridge</t>
  </si>
  <si>
    <t>Cost as % of Loan</t>
  </si>
  <si>
    <t>Net Proceeds (after fee)</t>
  </si>
  <si>
    <t>Opening Balance</t>
  </si>
  <si>
    <t>Interest</t>
  </si>
  <si>
    <t>Principal</t>
  </si>
  <si>
    <t>Payment</t>
  </si>
  <si>
    <t>Closing Balance</t>
  </si>
  <si>
    <t>Month 1</t>
  </si>
  <si>
    <t>Month 2</t>
  </si>
  <si>
    <t>Month 3</t>
  </si>
  <si>
    <t>Month 4</t>
  </si>
  <si>
    <t>Month 5</t>
  </si>
  <si>
    <t>Month 6</t>
  </si>
  <si>
    <t>Total</t>
  </si>
  <si>
    <t>Refinancing Summary (Month 6 → Permanent)</t>
  </si>
  <si>
    <t>Bridge Loan Repaid at Maturity</t>
  </si>
  <si>
    <t>Permanent GPU Debt Facility (replaces bridge)</t>
  </si>
  <si>
    <t>Permanent Monthly Payment (GPUs)</t>
  </si>
  <si>
    <t>Excess from Permanent over Bridge</t>
  </si>
  <si>
    <t>Bridge vs. Permanent Comparison</t>
  </si>
  <si>
    <t>Bridge</t>
  </si>
  <si>
    <t>Permanent</t>
  </si>
  <si>
    <t>Loan Amount</t>
  </si>
  <si>
    <t>Interest Rate</t>
  </si>
  <si>
    <t>Tenor</t>
  </si>
  <si>
    <t>LTV</t>
  </si>
  <si>
    <t>Financing amount for GPUs</t>
  </si>
  <si>
    <t>Financing amount for DC CAPEX</t>
  </si>
  <si>
    <t>Non Financeable CAPEX</t>
  </si>
  <si>
    <t>7% contingency</t>
  </si>
  <si>
    <t>% of Total</t>
  </si>
  <si>
    <t>Backup Generation System (Generators)</t>
  </si>
  <si>
    <t>Automatic Transfer Switch (ATS)</t>
  </si>
  <si>
    <t>Main Transformer</t>
  </si>
  <si>
    <t>UPS</t>
  </si>
  <si>
    <t>Battery Bank</t>
  </si>
  <si>
    <t>Medium Voltage Panel</t>
  </si>
  <si>
    <t>Switchgear</t>
  </si>
  <si>
    <t>Modular Cabinet Cooling System (Chillers)</t>
  </si>
  <si>
    <t>Security</t>
  </si>
  <si>
    <t>DDC (Cabinets)</t>
  </si>
  <si>
    <t>Procurement &amp; Construction Manager</t>
  </si>
  <si>
    <t>Bridge Financing (interim)</t>
  </si>
  <si>
    <t>Short-term GPU bridge (Metaversal)</t>
  </si>
  <si>
    <t>Contingency Calculation</t>
  </si>
  <si>
    <t>Monthly Interest Payment</t>
  </si>
  <si>
    <t>Total Interest Paid (6 months)</t>
  </si>
  <si>
    <t>Interest-Only Schedule (Bullet at Maturity)</t>
  </si>
  <si>
    <t>Phillipe Sourofim</t>
  </si>
  <si>
    <t>PE / VC</t>
  </si>
  <si>
    <t>Intro Calll</t>
  </si>
  <si>
    <t>On Hold</t>
  </si>
  <si>
    <t>NDA Signature</t>
  </si>
  <si>
    <t>Meeting 06/03/2026</t>
  </si>
  <si>
    <t>Under Review</t>
  </si>
  <si>
    <t>TSA SIGNED</t>
  </si>
  <si>
    <t>Corporate Guarantee</t>
  </si>
  <si>
    <t>AAA Backed</t>
  </si>
  <si>
    <t>Contractual</t>
  </si>
  <si>
    <t>Initial talks with Sabino Escobedo who will search out potential backing from World Bank</t>
  </si>
  <si>
    <t>Initial talks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</si>
</sst>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$&quot;#,##0;[Red]\-&quot;$&quot;#,##0"/>
    <numFmt numFmtId="44" formatCode="_-&quot;$&quot;* #,##0.00_-;\-&quot;$&quot;* #,##0.00_-;_-&quot;$&quot;* &quot;-&quot;??_-;_-@_-"/>
    <numFmt numFmtId="164" formatCode="0.0%"/>
    <numFmt numFmtId="165" formatCode="_-&quot;$&quot;* #,##0_-;\-&quot;$&quot;* #,##0_-;_-&quot;$&quot;* &quot;-&quot;??_-;_-@_-"/>
    <numFmt numFmtId="166" formatCode="&quot;$&quot;#,##0"/>
    <numFmt numFmtId="167" formatCode="0.000%"/>
    <numFmt numFmtId="168" formatCode="&quot;$&quot;#,##0;\(&quot;$&quot;#,##0\);&quot;-&quot;"/>
  </numFmts>
  <fonts count="1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rgb="FFFFFFFF"/>
      <name val="Aptos Narrow"/>
      <scheme val="minor"/>
    </font>
    <font>
      <sz val="11"/>
      <color rgb="FF000000"/>
      <name val="Aptos Narrow"/>
      <family val="2"/>
      <scheme val="minor"/>
    </font>
    <font>
      <sz val="11"/>
      <color rgb="FF000000"/>
      <name val="Aptos Narrow"/>
      <scheme val="minor"/>
    </font>
    <font>
      <sz val="11"/>
      <color rgb="FF008000"/>
      <name val="Aptos Narrow"/>
      <scheme val="minor"/>
    </font>
    <font>
      <sz val="11"/>
      <color rgb="FF0000FF"/>
      <name val="Aptos Narrow"/>
      <family val="2"/>
      <scheme val="minor"/>
    </font>
    <font>
      <sz val="11"/>
      <color rgb="FF0000FF"/>
      <name val="Aptos Narrow"/>
      <scheme val="minor"/>
    </font>
    <font>
      <b/>
      <sz val="11"/>
      <color rgb="FF000000"/>
      <name val="Aptos Narrow"/>
      <scheme val="minor"/>
    </font>
    <font>
      <b/>
      <sz val="11"/>
      <color rgb="FF008000"/>
      <name val="Aptos Narrow"/>
      <scheme val="minor"/>
    </font>
    <font>
      <b/>
      <sz val="11"/>
      <color rgb="FF000000"/>
      <name val="Aptos Narrow"/>
      <family val="2"/>
      <scheme val="minor"/>
    </font>
    <font>
      <b/>
      <sz val="11"/>
      <color rgb="FF0000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</fonts>
  <fills count="9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A8E0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9" fontId="3" fillId="0" borderId="0" applyFont="0" applyFill="0" applyBorder="0" applyAlignment="0" applyProtection="0"/>
    <xf numFmtId="44" fontId="3" fillId="0" borderId="0" applyFont="0" applyFill="0" applyBorder="0" applyAlignment="0" applyProtection="0"/>
  </cellStyleXfs>
  <cellXfs count="73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ill="1" applyAlignment="1">
      <alignment vertical="center" wrapText="1"/>
    </xf>
    <xf numFmtId="0" fontId="2" fillId="3" borderId="0" xfId="0" applyFont="1" applyFill="1" applyAlignment="1">
      <alignment vertical="center"/>
    </xf>
    <xf numFmtId="0" fontId="2" fillId="0" borderId="0" xfId="0" applyFont="1" applyAlignment="1">
      <alignment vertical="center"/>
    </xf>
    <xf numFmtId="0" fontId="1" fillId="2" borderId="0" xfId="0" applyFont="1" applyFill="1" applyAlignment="1">
      <alignment horizontal="center" vertical="center"/>
    </xf>
    <xf numFmtId="9" fontId="0" fillId="3" borderId="0" xfId="1" applyFont="1" applyFill="1" applyAlignment="1">
      <alignment horizontal="center" vertical="center"/>
    </xf>
    <xf numFmtId="0" fontId="2" fillId="0" borderId="0" xfId="0" applyFont="1"/>
    <xf numFmtId="0" fontId="1" fillId="4" borderId="0" xfId="0" applyFont="1" applyFill="1"/>
    <xf numFmtId="0" fontId="1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6" fontId="0" fillId="0" borderId="0" xfId="0" applyNumberFormat="1" applyAlignment="1">
      <alignment horizontal="center"/>
    </xf>
    <xf numFmtId="164" fontId="0" fillId="0" borderId="0" xfId="1" applyNumberFormat="1" applyFont="1"/>
    <xf numFmtId="165" fontId="0" fillId="0" borderId="0" xfId="0" applyNumberFormat="1" applyAlignment="1">
      <alignment vertical="center"/>
    </xf>
    <xf numFmtId="0" fontId="2" fillId="5" borderId="0" xfId="0" applyFont="1" applyFill="1" applyAlignment="1">
      <alignment vertical="center"/>
    </xf>
    <xf numFmtId="165" fontId="2" fillId="5" borderId="0" xfId="2" applyNumberFormat="1" applyFont="1" applyFill="1" applyAlignment="1">
      <alignment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left" vertical="center" wrapText="1"/>
    </xf>
    <xf numFmtId="165" fontId="0" fillId="0" borderId="0" xfId="2" applyNumberFormat="1" applyFont="1" applyAlignment="1">
      <alignment horizontal="left" vertical="center"/>
    </xf>
    <xf numFmtId="165" fontId="0" fillId="0" borderId="0" xfId="0" applyNumberFormat="1"/>
    <xf numFmtId="0" fontId="0" fillId="5" borderId="0" xfId="0" applyFill="1" applyAlignment="1">
      <alignment vertical="center" wrapText="1"/>
    </xf>
    <xf numFmtId="165" fontId="0" fillId="0" borderId="0" xfId="2" applyNumberFormat="1" applyFont="1" applyFill="1" applyAlignment="1">
      <alignment horizontal="left" vertical="center"/>
    </xf>
    <xf numFmtId="165" fontId="2" fillId="0" borderId="0" xfId="0" applyNumberFormat="1" applyFont="1"/>
    <xf numFmtId="165" fontId="2" fillId="0" borderId="0" xfId="2" applyNumberFormat="1" applyFont="1"/>
    <xf numFmtId="165" fontId="2" fillId="5" borderId="1" xfId="2" applyNumberFormat="1" applyFont="1" applyFill="1" applyBorder="1" applyAlignment="1">
      <alignment vertical="center"/>
    </xf>
    <xf numFmtId="165" fontId="0" fillId="0" borderId="1" xfId="0" applyNumberFormat="1" applyBorder="1"/>
    <xf numFmtId="9" fontId="0" fillId="0" borderId="1" xfId="0" applyNumberFormat="1" applyBorder="1" applyAlignment="1">
      <alignment horizontal="center"/>
    </xf>
    <xf numFmtId="0" fontId="4" fillId="4" borderId="0" xfId="0" applyFont="1" applyFill="1"/>
    <xf numFmtId="0" fontId="4" fillId="4" borderId="0" xfId="0" applyFont="1" applyFill="1" applyAlignment="1">
      <alignment horizontal="center"/>
    </xf>
    <xf numFmtId="0" fontId="6" fillId="6" borderId="0" xfId="0" applyFont="1" applyFill="1"/>
    <xf numFmtId="0" fontId="6" fillId="6" borderId="0" xfId="0" applyFont="1" applyFill="1" applyAlignment="1">
      <alignment horizontal="center"/>
    </xf>
    <xf numFmtId="0" fontId="7" fillId="6" borderId="0" xfId="0" applyFont="1" applyFill="1" applyAlignment="1">
      <alignment horizontal="center"/>
    </xf>
    <xf numFmtId="3" fontId="7" fillId="6" borderId="0" xfId="0" applyNumberFormat="1" applyFont="1" applyFill="1" applyAlignment="1">
      <alignment horizontal="center"/>
    </xf>
    <xf numFmtId="0" fontId="9" fillId="6" borderId="0" xfId="0" applyFont="1" applyFill="1" applyAlignment="1">
      <alignment horizontal="center"/>
    </xf>
    <xf numFmtId="164" fontId="9" fillId="6" borderId="0" xfId="0" applyNumberFormat="1" applyFont="1" applyFill="1" applyAlignment="1">
      <alignment horizontal="center"/>
    </xf>
    <xf numFmtId="164" fontId="7" fillId="6" borderId="0" xfId="0" applyNumberFormat="1" applyFont="1" applyFill="1" applyAlignment="1">
      <alignment horizontal="center"/>
    </xf>
    <xf numFmtId="0" fontId="10" fillId="6" borderId="0" xfId="0" applyFont="1" applyFill="1"/>
    <xf numFmtId="0" fontId="10" fillId="7" borderId="0" xfId="0" applyFont="1" applyFill="1"/>
    <xf numFmtId="166" fontId="10" fillId="7" borderId="0" xfId="0" applyNumberFormat="1" applyFont="1" applyFill="1" applyAlignment="1">
      <alignment horizontal="center"/>
    </xf>
    <xf numFmtId="166" fontId="6" fillId="6" borderId="0" xfId="0" applyNumberFormat="1" applyFont="1" applyFill="1" applyAlignment="1">
      <alignment horizontal="center"/>
    </xf>
    <xf numFmtId="167" fontId="6" fillId="6" borderId="0" xfId="0" applyNumberFormat="1" applyFont="1" applyFill="1" applyAlignment="1">
      <alignment horizontal="center"/>
    </xf>
    <xf numFmtId="10" fontId="6" fillId="6" borderId="0" xfId="0" applyNumberFormat="1" applyFont="1" applyFill="1" applyAlignment="1">
      <alignment horizontal="center"/>
    </xf>
    <xf numFmtId="0" fontId="2" fillId="7" borderId="0" xfId="0" applyFont="1" applyFill="1"/>
    <xf numFmtId="166" fontId="10" fillId="6" borderId="0" xfId="0" applyNumberFormat="1" applyFont="1" applyFill="1" applyAlignment="1">
      <alignment horizontal="center"/>
    </xf>
    <xf numFmtId="166" fontId="11" fillId="7" borderId="0" xfId="0" applyNumberFormat="1" applyFont="1" applyFill="1" applyAlignment="1">
      <alignment horizontal="center"/>
    </xf>
    <xf numFmtId="166" fontId="7" fillId="6" borderId="0" xfId="0" applyNumberFormat="1" applyFont="1" applyFill="1" applyAlignment="1">
      <alignment horizontal="center"/>
    </xf>
    <xf numFmtId="168" fontId="6" fillId="6" borderId="0" xfId="0" applyNumberFormat="1" applyFont="1" applyFill="1" applyAlignment="1">
      <alignment horizontal="center"/>
    </xf>
    <xf numFmtId="164" fontId="6" fillId="6" borderId="0" xfId="0" applyNumberFormat="1" applyFont="1" applyFill="1" applyAlignment="1">
      <alignment horizontal="center"/>
    </xf>
    <xf numFmtId="16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166" fontId="5" fillId="0" borderId="0" xfId="0" applyNumberFormat="1" applyFont="1" applyAlignment="1">
      <alignment horizontal="center"/>
    </xf>
    <xf numFmtId="166" fontId="5" fillId="0" borderId="0" xfId="0" applyNumberFormat="1" applyFont="1" applyAlignment="1">
      <alignment vertical="center"/>
    </xf>
    <xf numFmtId="166" fontId="8" fillId="0" borderId="0" xfId="0" applyNumberFormat="1" applyFont="1" applyAlignment="1">
      <alignment vertical="center"/>
    </xf>
    <xf numFmtId="166" fontId="12" fillId="0" borderId="0" xfId="0" applyNumberFormat="1" applyFont="1"/>
    <xf numFmtId="166" fontId="13" fillId="5" borderId="0" xfId="2" applyNumberFormat="1" applyFont="1" applyFill="1" applyAlignment="1">
      <alignment vertical="center"/>
    </xf>
    <xf numFmtId="166" fontId="12" fillId="5" borderId="0" xfId="2" applyNumberFormat="1" applyFont="1" applyFill="1" applyAlignment="1">
      <alignment vertical="center"/>
    </xf>
    <xf numFmtId="166" fontId="8" fillId="0" borderId="0" xfId="2" applyNumberFormat="1" applyFont="1" applyFill="1" applyAlignment="1">
      <alignment horizontal="left" vertical="center"/>
    </xf>
    <xf numFmtId="166" fontId="5" fillId="0" borderId="0" xfId="2" applyNumberFormat="1" applyFont="1" applyFill="1" applyAlignment="1">
      <alignment horizontal="left" vertical="center"/>
    </xf>
    <xf numFmtId="164" fontId="8" fillId="0" borderId="1" xfId="0" applyNumberFormat="1" applyFont="1" applyBorder="1" applyAlignment="1">
      <alignment horizontal="center"/>
    </xf>
    <xf numFmtId="166" fontId="5" fillId="0" borderId="1" xfId="0" applyNumberFormat="1" applyFont="1" applyBorder="1" applyAlignment="1">
      <alignment horizontal="center"/>
    </xf>
    <xf numFmtId="164" fontId="6" fillId="6" borderId="0" xfId="0" applyNumberFormat="1" applyFont="1" applyFill="1" applyAlignment="1">
      <alignment horizontal="center" vertical="center"/>
    </xf>
    <xf numFmtId="164" fontId="10" fillId="6" borderId="0" xfId="0" applyNumberFormat="1" applyFont="1" applyFill="1" applyAlignment="1">
      <alignment horizontal="center"/>
    </xf>
    <xf numFmtId="164" fontId="10" fillId="7" borderId="0" xfId="2" applyNumberFormat="1" applyFont="1" applyFill="1" applyAlignment="1">
      <alignment horizontal="center" vertical="center"/>
    </xf>
    <xf numFmtId="0" fontId="8" fillId="8" borderId="0" xfId="0" applyFont="1" applyFill="1" applyAlignment="1">
      <alignment horizontal="center"/>
    </xf>
    <xf numFmtId="166" fontId="12" fillId="8" borderId="0" xfId="2" applyNumberFormat="1" applyFont="1" applyFill="1" applyAlignment="1">
      <alignment vertical="center"/>
    </xf>
    <xf numFmtId="0" fontId="6" fillId="6" borderId="0" xfId="0" applyFont="1" applyFill="1" applyAlignment="1">
      <alignment vertical="center"/>
    </xf>
    <xf numFmtId="166" fontId="7" fillId="6" borderId="0" xfId="0" applyNumberFormat="1" applyFont="1" applyFill="1" applyAlignment="1">
      <alignment vertical="center"/>
    </xf>
  </cellXfs>
  <cellStyles count="3">
    <cellStyle name="Currency" xfId="2" builtinId="4"/>
    <cellStyle name="Normal" xfId="0" builtinId="0"/>
    <cellStyle name="Percent" xfId="1" builtinId="5"/>
  </cellStyles>
  <dxfs count="4"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  <dxf>
      <font>
        <color rgb="FF9C0006"/>
      </font>
      <fill>
        <patternFill patternType="solid">
          <fgColor indexed="64"/>
          <bgColor rgb="FFFFC7CE"/>
        </patternFill>
      </fill>
    </dxf>
    <dxf>
      <font>
        <color rgb="FF006100"/>
      </font>
      <fill>
        <patternFill patternType="solid">
          <fgColor indexed="64"/>
          <bgColor rgb="FFC6EFCE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fermacainfra.sharepoint.com/sites/FDO/Documentos%20compartidos/Finanzas%20-%20Capex-Opex/CAPEX%20y%20OPEX%20FDO%20270126.xlsx" TargetMode="External"/><Relationship Id="rId1" Type="http://schemas.openxmlformats.org/officeDocument/2006/relationships/externalLinkPath" Target="https://fermacainfra.sharepoint.com/sites/FDO/Documentos%20compartidos/Finanzas%20-%20Capex-Opex/CAPEX%20y%20OPEX%20FDO%202701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losario"/>
      <sheetName val="Inputs"/>
      <sheetName val="S&amp;U"/>
      <sheetName val="Hoja1"/>
      <sheetName val="CAPEX"/>
      <sheetName val="OPEX"/>
      <sheetName val="OPEX (2)"/>
      <sheetName val="OPEX NOTAS"/>
      <sheetName val="Pass-Through IBD"/>
      <sheetName val="Bloque IBD"/>
      <sheetName val="Exp PreOP"/>
      <sheetName val="Generadores"/>
      <sheetName val="ATN"/>
      <sheetName val="network eq."/>
    </sheetNames>
    <sheetDataSet>
      <sheetData sheetId="0"/>
      <sheetData sheetId="1"/>
      <sheetData sheetId="2"/>
      <sheetData sheetId="3">
        <row r="8">
          <cell r="E8">
            <v>933813.56854603172</v>
          </cell>
        </row>
        <row r="10">
          <cell r="E10">
            <v>192932.8731911112</v>
          </cell>
        </row>
        <row r="12">
          <cell r="E12">
            <v>222740.82429206348</v>
          </cell>
        </row>
        <row r="14">
          <cell r="E14">
            <v>1050171.7543174603</v>
          </cell>
        </row>
        <row r="16">
          <cell r="E16">
            <v>402506.94001851854</v>
          </cell>
        </row>
        <row r="18">
          <cell r="E18">
            <v>168563.46</v>
          </cell>
        </row>
        <row r="20">
          <cell r="E20">
            <v>544324.94852592598</v>
          </cell>
        </row>
        <row r="21">
          <cell r="E21">
            <v>1565349.2801173034</v>
          </cell>
        </row>
        <row r="25">
          <cell r="E25">
            <v>460244.49926447403</v>
          </cell>
        </row>
        <row r="31">
          <cell r="E31">
            <v>303759.50335191848</v>
          </cell>
        </row>
        <row r="34">
          <cell r="E34">
            <v>1218276.8</v>
          </cell>
        </row>
        <row r="45">
          <cell r="E45">
            <v>37846701</v>
          </cell>
        </row>
      </sheetData>
      <sheetData sheetId="4">
        <row r="3">
          <cell r="D3">
            <v>17.2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D994C61-48B1-40A5-9A10-C9379A96EF4D}">
  <we:reference id="WA200009404" version="1.0.0.8" store="Omex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H15"/>
  <sheetViews>
    <sheetView showGridLines="0" tabSelected="1" topLeftCell="B1" zoomScale="120" zoomScaleNormal="120" workbookViewId="0">
      <selection activeCell="G16" sqref="G16"/>
    </sheetView>
  </sheetViews>
  <sheetFormatPr defaultRowHeight="15" x14ac:dyDescent="0.25"/>
  <cols>
    <col min="2" max="2" width="24.5703125" customWidth="1"/>
    <col min="3" max="3" width="25.28515625" bestFit="1" customWidth="1"/>
    <col min="4" max="4" width="23.28515625" customWidth="1"/>
    <col min="5" max="5" width="13.85546875" customWidth="1"/>
    <col min="6" max="6" width="72.7109375" bestFit="1" customWidth="1"/>
  </cols>
  <sheetData>
    <row r="2" spans="2:8" x14ac:dyDescent="0.25">
      <c r="B2" s="10" t="s">
        <v>0</v>
      </c>
      <c r="C2" s="10" t="s">
        <v>1</v>
      </c>
      <c r="D2" s="10" t="s">
        <v>2</v>
      </c>
      <c r="E2" s="10" t="s">
        <v>35</v>
      </c>
      <c r="F2" s="10" t="s">
        <v>3</v>
      </c>
    </row>
    <row r="3" spans="2:8" x14ac:dyDescent="0.25">
      <c r="B3" s="8" t="s">
        <v>4</v>
      </c>
      <c r="C3" s="5" t="s">
        <v>5</v>
      </c>
      <c r="D3" s="5" t="s">
        <v>12</v>
      </c>
      <c r="E3" s="6" t="s">
        <v>9</v>
      </c>
      <c r="F3" s="7" t="s">
        <v>16</v>
      </c>
      <c r="G3" t="s">
        <v>191</v>
      </c>
    </row>
    <row r="4" spans="2:8" x14ac:dyDescent="0.25">
      <c r="B4" s="9" t="s">
        <v>4</v>
      </c>
      <c r="C4" s="2" t="s">
        <v>6</v>
      </c>
      <c r="D4" s="2" t="s">
        <v>12</v>
      </c>
      <c r="E4" s="4" t="s">
        <v>9</v>
      </c>
      <c r="F4" s="3" t="s">
        <v>16</v>
      </c>
      <c r="G4" t="s">
        <v>191</v>
      </c>
    </row>
    <row r="5" spans="2:8" x14ac:dyDescent="0.25">
      <c r="B5" s="8" t="s">
        <v>4</v>
      </c>
      <c r="C5" s="5" t="s">
        <v>7</v>
      </c>
      <c r="D5" s="5" t="s">
        <v>12</v>
      </c>
      <c r="E5" s="6" t="s">
        <v>9</v>
      </c>
      <c r="F5" s="7" t="s">
        <v>16</v>
      </c>
      <c r="G5" t="s">
        <v>191</v>
      </c>
    </row>
    <row r="6" spans="2:8" x14ac:dyDescent="0.25">
      <c r="B6" s="9" t="s">
        <v>4</v>
      </c>
      <c r="C6" s="2" t="s">
        <v>8</v>
      </c>
      <c r="D6" s="2" t="s">
        <v>12</v>
      </c>
      <c r="E6" s="4" t="s">
        <v>9</v>
      </c>
      <c r="F6" s="3" t="s">
        <v>16</v>
      </c>
      <c r="G6" t="s">
        <v>191</v>
      </c>
    </row>
    <row r="7" spans="2:8" ht="135" x14ac:dyDescent="0.25">
      <c r="B7" s="8" t="s">
        <v>10</v>
      </c>
      <c r="C7" s="5" t="s">
        <v>8</v>
      </c>
      <c r="D7" s="5" t="s">
        <v>20</v>
      </c>
      <c r="E7" s="6" t="s">
        <v>22</v>
      </c>
      <c r="F7" s="7" t="s">
        <v>110</v>
      </c>
      <c r="G7" t="s">
        <v>192</v>
      </c>
      <c r="H7" t="s">
        <v>21</v>
      </c>
    </row>
    <row r="8" spans="2:8" x14ac:dyDescent="0.25">
      <c r="B8" s="9" t="s">
        <v>11</v>
      </c>
      <c r="C8" s="2" t="s">
        <v>8</v>
      </c>
      <c r="D8" s="2" t="s">
        <v>19</v>
      </c>
      <c r="E8" s="4" t="s">
        <v>17</v>
      </c>
      <c r="F8" s="3" t="s">
        <v>13</v>
      </c>
      <c r="G8" t="s">
        <v>18</v>
      </c>
    </row>
    <row r="9" spans="2:8" x14ac:dyDescent="0.25">
      <c r="B9" s="8" t="s">
        <v>14</v>
      </c>
      <c r="C9" s="5" t="s">
        <v>15</v>
      </c>
      <c r="D9" s="5" t="s">
        <v>12</v>
      </c>
      <c r="E9" s="6" t="s">
        <v>18</v>
      </c>
      <c r="F9" s="3" t="s">
        <v>13</v>
      </c>
      <c r="G9" t="s">
        <v>191</v>
      </c>
    </row>
    <row r="10" spans="2:8" x14ac:dyDescent="0.25">
      <c r="B10" s="9" t="s">
        <v>23</v>
      </c>
      <c r="C10" s="2" t="s">
        <v>8</v>
      </c>
      <c r="D10" s="2" t="s">
        <v>20</v>
      </c>
      <c r="E10" s="4" t="s">
        <v>24</v>
      </c>
      <c r="F10" s="3" t="s">
        <v>107</v>
      </c>
      <c r="G10" t="s">
        <v>190</v>
      </c>
    </row>
    <row r="11" spans="2:8" ht="120" x14ac:dyDescent="0.25">
      <c r="B11" s="8" t="s">
        <v>33</v>
      </c>
      <c r="C11" s="5" t="s">
        <v>8</v>
      </c>
      <c r="D11" s="5" t="s">
        <v>20</v>
      </c>
      <c r="E11" s="11">
        <v>0.12</v>
      </c>
      <c r="F11" s="7" t="s">
        <v>34</v>
      </c>
      <c r="G11" t="s">
        <v>188</v>
      </c>
    </row>
    <row r="12" spans="2:8" x14ac:dyDescent="0.25">
      <c r="B12" s="9" t="s">
        <v>36</v>
      </c>
      <c r="C12" s="2" t="s">
        <v>8</v>
      </c>
      <c r="D12" s="2" t="s">
        <v>20</v>
      </c>
      <c r="E12" t="s">
        <v>24</v>
      </c>
      <c r="F12" s="3" t="s">
        <v>106</v>
      </c>
      <c r="G12" t="s">
        <v>188</v>
      </c>
    </row>
    <row r="13" spans="2:8" x14ac:dyDescent="0.25">
      <c r="B13" s="8" t="s">
        <v>108</v>
      </c>
      <c r="C13" s="5" t="s">
        <v>8</v>
      </c>
      <c r="D13" s="5" t="s">
        <v>20</v>
      </c>
      <c r="E13" s="11" t="s">
        <v>24</v>
      </c>
      <c r="F13" s="7" t="s">
        <v>109</v>
      </c>
      <c r="G13" t="s">
        <v>188</v>
      </c>
    </row>
    <row r="14" spans="2:8" x14ac:dyDescent="0.25">
      <c r="B14" s="9" t="s">
        <v>111</v>
      </c>
      <c r="C14" s="2" t="s">
        <v>112</v>
      </c>
      <c r="D14" s="2" t="s">
        <v>20</v>
      </c>
      <c r="E14" t="s">
        <v>24</v>
      </c>
      <c r="F14" s="3" t="s">
        <v>113</v>
      </c>
      <c r="G14" t="s">
        <v>189</v>
      </c>
    </row>
    <row r="15" spans="2:8" ht="30" x14ac:dyDescent="0.25">
      <c r="B15" s="8" t="s">
        <v>193</v>
      </c>
      <c r="C15" s="5" t="s">
        <v>195</v>
      </c>
      <c r="D15" s="5" t="s">
        <v>194</v>
      </c>
      <c r="F15" s="7" t="s">
        <v>196</v>
      </c>
      <c r="G15" t="s">
        <v>197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5E3905-CAFB-4A8B-B393-7D5EB923B96F}">
  <dimension ref="B2:G10"/>
  <sheetViews>
    <sheetView showGridLines="0" zoomScale="120" zoomScaleNormal="120" workbookViewId="0">
      <selection activeCell="B6" sqref="B6"/>
    </sheetView>
  </sheetViews>
  <sheetFormatPr defaultRowHeight="15" x14ac:dyDescent="0.25"/>
  <cols>
    <col min="2" max="2" width="24.5703125" customWidth="1"/>
    <col min="3" max="3" width="27.42578125" bestFit="1" customWidth="1"/>
    <col min="4" max="4" width="13.85546875" customWidth="1"/>
    <col min="5" max="5" width="72.7109375" bestFit="1" customWidth="1"/>
  </cols>
  <sheetData>
    <row r="2" spans="2:7" x14ac:dyDescent="0.25">
      <c r="B2" s="1" t="s">
        <v>0</v>
      </c>
      <c r="C2" s="1" t="s">
        <v>27</v>
      </c>
      <c r="D2" s="1" t="s">
        <v>28</v>
      </c>
      <c r="E2" s="1" t="s">
        <v>3</v>
      </c>
    </row>
    <row r="3" spans="2:7" x14ac:dyDescent="0.25">
      <c r="B3" s="8" t="s">
        <v>25</v>
      </c>
      <c r="C3" s="5" t="s">
        <v>29</v>
      </c>
      <c r="D3" s="6" t="s">
        <v>30</v>
      </c>
      <c r="E3" s="7"/>
    </row>
    <row r="4" spans="2:7" x14ac:dyDescent="0.25">
      <c r="B4" s="9" t="s">
        <v>26</v>
      </c>
      <c r="C4" s="2" t="s">
        <v>31</v>
      </c>
      <c r="D4" s="4" t="s">
        <v>30</v>
      </c>
      <c r="E4" s="3" t="s">
        <v>32</v>
      </c>
    </row>
    <row r="5" spans="2:7" x14ac:dyDescent="0.25">
      <c r="B5" s="8" t="s">
        <v>185</v>
      </c>
      <c r="C5" s="5" t="s">
        <v>186</v>
      </c>
      <c r="D5" s="6" t="s">
        <v>30</v>
      </c>
      <c r="E5" s="7" t="s">
        <v>187</v>
      </c>
    </row>
    <row r="6" spans="2:7" x14ac:dyDescent="0.25">
      <c r="B6" s="9"/>
      <c r="C6" s="2"/>
      <c r="D6" s="4"/>
      <c r="E6" s="3"/>
    </row>
    <row r="7" spans="2:7" x14ac:dyDescent="0.25">
      <c r="B7" s="8"/>
      <c r="C7" s="5"/>
      <c r="D7" s="6"/>
      <c r="E7" s="7"/>
      <c r="G7" t="s">
        <v>21</v>
      </c>
    </row>
    <row r="8" spans="2:7" x14ac:dyDescent="0.25">
      <c r="B8" s="9"/>
      <c r="C8" s="2"/>
      <c r="D8" s="4"/>
      <c r="E8" s="3"/>
    </row>
    <row r="9" spans="2:7" x14ac:dyDescent="0.25">
      <c r="B9" s="8"/>
      <c r="C9" s="5"/>
      <c r="D9" s="6"/>
      <c r="E9" s="7"/>
    </row>
    <row r="10" spans="2:7" x14ac:dyDescent="0.25">
      <c r="B10" s="9"/>
      <c r="C10" s="2"/>
      <c r="D10" s="4"/>
      <c r="E10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720D2-E25E-40E5-BE36-7E6D0BF3CB71}">
  <dimension ref="B2:M45"/>
  <sheetViews>
    <sheetView showGridLines="0" topLeftCell="B12" zoomScale="90" zoomScaleNormal="90" workbookViewId="0">
      <selection activeCell="D21" sqref="D21"/>
    </sheetView>
  </sheetViews>
  <sheetFormatPr defaultRowHeight="15" outlineLevelRow="1" x14ac:dyDescent="0.25"/>
  <cols>
    <col min="2" max="2" width="26.42578125" bestFit="1" customWidth="1"/>
    <col min="3" max="3" width="34" bestFit="1" customWidth="1"/>
    <col min="4" max="4" width="21" customWidth="1"/>
    <col min="5" max="5" width="15.28515625" customWidth="1"/>
    <col min="7" max="7" width="64.42578125" customWidth="1"/>
    <col min="8" max="8" width="58.140625" customWidth="1"/>
    <col min="9" max="9" width="21" customWidth="1"/>
    <col min="10" max="10" width="15.28515625" customWidth="1"/>
    <col min="12" max="12" width="14" bestFit="1" customWidth="1"/>
    <col min="13" max="13" width="15.28515625" bestFit="1" customWidth="1"/>
  </cols>
  <sheetData>
    <row r="2" spans="2:10" x14ac:dyDescent="0.25">
      <c r="B2" s="14" t="s">
        <v>104</v>
      </c>
    </row>
    <row r="3" spans="2:10" x14ac:dyDescent="0.25">
      <c r="B3" s="12"/>
    </row>
    <row r="4" spans="2:10" x14ac:dyDescent="0.25">
      <c r="B4" s="13" t="s">
        <v>37</v>
      </c>
      <c r="C4" s="14" t="s">
        <v>38</v>
      </c>
      <c r="D4" s="14" t="s">
        <v>39</v>
      </c>
      <c r="E4" s="14"/>
    </row>
    <row r="5" spans="2:10" x14ac:dyDescent="0.25">
      <c r="B5" s="13" t="s">
        <v>40</v>
      </c>
      <c r="C5" s="15" t="s">
        <v>41</v>
      </c>
      <c r="D5" s="54">
        <v>0.8</v>
      </c>
      <c r="E5" s="54"/>
    </row>
    <row r="6" spans="2:10" x14ac:dyDescent="0.25">
      <c r="B6" s="13" t="s">
        <v>42</v>
      </c>
      <c r="C6" s="15" t="s">
        <v>41</v>
      </c>
      <c r="D6" s="54">
        <v>0.15</v>
      </c>
      <c r="E6" s="54"/>
    </row>
    <row r="7" spans="2:10" x14ac:dyDescent="0.25">
      <c r="B7" s="13" t="s">
        <v>43</v>
      </c>
      <c r="C7" s="15" t="s">
        <v>44</v>
      </c>
      <c r="D7" s="55">
        <v>3</v>
      </c>
      <c r="E7" s="55"/>
    </row>
    <row r="8" spans="2:10" x14ac:dyDescent="0.25">
      <c r="B8" s="13" t="s">
        <v>45</v>
      </c>
      <c r="C8" s="15" t="s">
        <v>46</v>
      </c>
      <c r="D8" s="56">
        <f>PMT(D6/12,D7*12,-D17)</f>
        <v>1081558.2493308568</v>
      </c>
      <c r="E8" s="56"/>
    </row>
    <row r="9" spans="2:10" x14ac:dyDescent="0.25">
      <c r="B9" s="13" t="s">
        <v>47</v>
      </c>
      <c r="C9" s="15" t="s">
        <v>41</v>
      </c>
      <c r="D9" s="54">
        <v>0.8</v>
      </c>
      <c r="E9" s="54"/>
    </row>
    <row r="10" spans="2:10" x14ac:dyDescent="0.25">
      <c r="B10" s="13" t="s">
        <v>48</v>
      </c>
      <c r="C10" s="15" t="s">
        <v>41</v>
      </c>
      <c r="D10" s="54">
        <v>0.08</v>
      </c>
      <c r="E10" s="54"/>
    </row>
    <row r="11" spans="2:10" x14ac:dyDescent="0.25">
      <c r="B11" s="13" t="s">
        <v>49</v>
      </c>
      <c r="C11" s="15" t="s">
        <v>44</v>
      </c>
      <c r="D11" s="55">
        <v>10</v>
      </c>
      <c r="E11" s="55"/>
    </row>
    <row r="12" spans="2:10" x14ac:dyDescent="0.25">
      <c r="B12" s="13" t="s">
        <v>50</v>
      </c>
      <c r="C12" s="15" t="s">
        <v>46</v>
      </c>
      <c r="D12" s="56">
        <f>PMT(D10/12,D11*12,-D18)</f>
        <v>39989.575099525639</v>
      </c>
      <c r="E12" s="56"/>
      <c r="F12" s="18"/>
    </row>
    <row r="13" spans="2:10" x14ac:dyDescent="0.25">
      <c r="B13" s="13" t="s">
        <v>51</v>
      </c>
      <c r="C13" s="15" t="s">
        <v>52</v>
      </c>
      <c r="D13" s="69">
        <v>0</v>
      </c>
      <c r="E13" s="55"/>
    </row>
    <row r="14" spans="2:10" x14ac:dyDescent="0.25">
      <c r="B14" s="13" t="s">
        <v>53</v>
      </c>
      <c r="C14" s="16" t="s">
        <v>41</v>
      </c>
      <c r="D14" s="54">
        <v>0.1</v>
      </c>
      <c r="E14" s="54"/>
    </row>
    <row r="16" spans="2:10" x14ac:dyDescent="0.25">
      <c r="B16" s="13" t="s">
        <v>54</v>
      </c>
      <c r="C16" s="13" t="s">
        <v>2</v>
      </c>
      <c r="D16" s="13" t="s">
        <v>131</v>
      </c>
      <c r="E16" s="34" t="s">
        <v>167</v>
      </c>
      <c r="G16" s="13" t="s">
        <v>56</v>
      </c>
      <c r="H16" s="13" t="s">
        <v>2</v>
      </c>
      <c r="I16" s="13" t="s">
        <v>131</v>
      </c>
      <c r="J16" s="34" t="s">
        <v>167</v>
      </c>
    </row>
    <row r="17" spans="2:10" x14ac:dyDescent="0.25">
      <c r="B17" s="2" t="s">
        <v>57</v>
      </c>
      <c r="C17" s="2" t="s">
        <v>163</v>
      </c>
      <c r="D17" s="57">
        <f>I17*D5</f>
        <v>31200000</v>
      </c>
      <c r="E17" s="66">
        <f t="shared" ref="E17:E22" si="0">D17/$D$24</f>
        <v>0.67589422359037932</v>
      </c>
      <c r="G17" s="20" t="s">
        <v>59</v>
      </c>
      <c r="H17" s="20" t="s">
        <v>60</v>
      </c>
      <c r="I17" s="60">
        <v>39000000</v>
      </c>
      <c r="J17" s="68">
        <f>I17/$I$43</f>
        <v>0.84486777948797409</v>
      </c>
    </row>
    <row r="18" spans="2:10" x14ac:dyDescent="0.25">
      <c r="B18" s="2" t="s">
        <v>61</v>
      </c>
      <c r="C18" s="2" t="s">
        <v>164</v>
      </c>
      <c r="D18" s="57">
        <f>D9*I18</f>
        <v>3296000</v>
      </c>
      <c r="E18" s="66">
        <f t="shared" si="0"/>
        <v>7.1402159004932381E-2</v>
      </c>
      <c r="G18" s="20" t="s">
        <v>63</v>
      </c>
      <c r="H18" s="20" t="s">
        <v>64</v>
      </c>
      <c r="I18" s="60">
        <v>4120000</v>
      </c>
      <c r="J18" s="68">
        <f>I18/$I$43</f>
        <v>8.9252698756165469E-2</v>
      </c>
    </row>
    <row r="19" spans="2:10" outlineLevel="1" x14ac:dyDescent="0.25">
      <c r="B19" s="2" t="s">
        <v>65</v>
      </c>
      <c r="C19" s="2" t="s">
        <v>66</v>
      </c>
      <c r="D19" s="58">
        <v>3000000</v>
      </c>
      <c r="E19" s="66">
        <f t="shared" si="0"/>
        <v>6.4989829191382631E-2</v>
      </c>
      <c r="G19" s="22" t="s">
        <v>168</v>
      </c>
      <c r="H19" s="23" t="s">
        <v>68</v>
      </c>
      <c r="I19" s="24"/>
      <c r="J19" s="24"/>
    </row>
    <row r="20" spans="2:10" outlineLevel="1" x14ac:dyDescent="0.25">
      <c r="B20" s="2" t="s">
        <v>69</v>
      </c>
      <c r="C20" s="2" t="s">
        <v>70</v>
      </c>
      <c r="D20" s="57">
        <f>I43-D21-D19-D18-D17</f>
        <v>8497399.1599999964</v>
      </c>
      <c r="E20" s="66">
        <f t="shared" si="0"/>
        <v>0.18408150665979933</v>
      </c>
      <c r="G20" s="22" t="s">
        <v>169</v>
      </c>
      <c r="H20" s="23" t="s">
        <v>68</v>
      </c>
      <c r="I20" s="24"/>
      <c r="J20" s="24"/>
    </row>
    <row r="21" spans="2:10" outlineLevel="1" x14ac:dyDescent="0.25">
      <c r="B21" s="2" t="s">
        <v>53</v>
      </c>
      <c r="C21" s="2" t="s">
        <v>72</v>
      </c>
      <c r="D21" s="57">
        <f>D14*(I33+I34)</f>
        <v>167670</v>
      </c>
      <c r="E21" s="66">
        <f t="shared" si="0"/>
        <v>3.6322815535063751E-3</v>
      </c>
      <c r="G21" s="22" t="s">
        <v>170</v>
      </c>
      <c r="H21" s="23" t="s">
        <v>68</v>
      </c>
      <c r="I21" s="24"/>
      <c r="J21" s="24"/>
    </row>
    <row r="22" spans="2:10" outlineLevel="1" x14ac:dyDescent="0.25">
      <c r="B22" s="71" t="s">
        <v>179</v>
      </c>
      <c r="C22" s="71" t="s">
        <v>180</v>
      </c>
      <c r="D22" s="72">
        <f>'Bridge Financing'!D19</f>
        <v>27300000</v>
      </c>
      <c r="E22" s="66">
        <f t="shared" si="0"/>
        <v>0.59140744564158187</v>
      </c>
      <c r="G22" s="22"/>
      <c r="H22" s="23"/>
      <c r="I22" s="24"/>
      <c r="J22" s="24"/>
    </row>
    <row r="23" spans="2:10" outlineLevel="1" x14ac:dyDescent="0.25">
      <c r="G23" s="22" t="s">
        <v>171</v>
      </c>
      <c r="H23" s="23" t="s">
        <v>68</v>
      </c>
      <c r="I23" s="24"/>
      <c r="J23" s="24"/>
    </row>
    <row r="24" spans="2:10" outlineLevel="1" x14ac:dyDescent="0.25">
      <c r="B24" t="s">
        <v>75</v>
      </c>
      <c r="D24" s="59">
        <f>SUM(D17:D21)</f>
        <v>46161069.159999996</v>
      </c>
      <c r="E24" s="67">
        <f>SUM(E17:E21)</f>
        <v>1</v>
      </c>
      <c r="G24" s="22" t="s">
        <v>172</v>
      </c>
      <c r="H24" s="23" t="s">
        <v>68</v>
      </c>
      <c r="I24" s="24"/>
      <c r="J24" s="24"/>
    </row>
    <row r="25" spans="2:10" outlineLevel="1" x14ac:dyDescent="0.25">
      <c r="G25" s="22" t="s">
        <v>173</v>
      </c>
      <c r="H25" s="23" t="s">
        <v>68</v>
      </c>
      <c r="I25" s="24"/>
      <c r="J25" s="24"/>
    </row>
    <row r="26" spans="2:10" outlineLevel="1" x14ac:dyDescent="0.25">
      <c r="C26" t="s">
        <v>105</v>
      </c>
      <c r="D26" t="b">
        <f>D24=I43</f>
        <v>1</v>
      </c>
      <c r="G26" s="22" t="s">
        <v>174</v>
      </c>
      <c r="H26" s="23" t="s">
        <v>68</v>
      </c>
      <c r="I26" s="24"/>
      <c r="J26" s="24"/>
    </row>
    <row r="27" spans="2:10" outlineLevel="1" x14ac:dyDescent="0.25">
      <c r="D27" t="s">
        <v>21</v>
      </c>
      <c r="G27" s="22" t="s">
        <v>175</v>
      </c>
      <c r="H27" s="23" t="s">
        <v>68</v>
      </c>
      <c r="I27" s="24"/>
      <c r="J27" s="24"/>
    </row>
    <row r="28" spans="2:10" outlineLevel="1" x14ac:dyDescent="0.25">
      <c r="G28" s="22" t="s">
        <v>80</v>
      </c>
      <c r="H28" s="23" t="s">
        <v>68</v>
      </c>
      <c r="I28" s="24"/>
      <c r="J28" s="24"/>
    </row>
    <row r="29" spans="2:10" outlineLevel="1" x14ac:dyDescent="0.25">
      <c r="D29" s="22"/>
      <c r="E29" s="22"/>
      <c r="G29" s="22" t="s">
        <v>176</v>
      </c>
      <c r="H29" s="23" t="s">
        <v>68</v>
      </c>
      <c r="I29" s="24"/>
      <c r="J29" s="24"/>
    </row>
    <row r="30" spans="2:10" outlineLevel="1" x14ac:dyDescent="0.25">
      <c r="G30" s="22" t="s">
        <v>177</v>
      </c>
      <c r="H30" s="23" t="s">
        <v>68</v>
      </c>
      <c r="I30" s="24"/>
      <c r="J30" s="24"/>
    </row>
    <row r="31" spans="2:10" outlineLevel="1" x14ac:dyDescent="0.25">
      <c r="G31" s="22" t="s">
        <v>178</v>
      </c>
      <c r="H31" s="23" t="s">
        <v>68</v>
      </c>
      <c r="I31" s="24"/>
      <c r="J31" s="24"/>
    </row>
    <row r="32" spans="2:10" ht="30" x14ac:dyDescent="0.25">
      <c r="G32" s="20" t="s">
        <v>165</v>
      </c>
      <c r="H32" s="26" t="s">
        <v>85</v>
      </c>
      <c r="I32" s="61">
        <f>SUM(I33:I38)</f>
        <v>2562588</v>
      </c>
      <c r="J32" s="68">
        <f>I32/$I$43</f>
        <v>5.551405213596227E-2</v>
      </c>
    </row>
    <row r="33" spans="7:13" outlineLevel="1" x14ac:dyDescent="0.25">
      <c r="G33" s="22" t="s">
        <v>86</v>
      </c>
      <c r="H33" s="3" t="s">
        <v>86</v>
      </c>
      <c r="I33" s="62">
        <v>90000</v>
      </c>
      <c r="J33" s="62"/>
    </row>
    <row r="34" spans="7:13" outlineLevel="1" x14ac:dyDescent="0.25">
      <c r="G34" s="22" t="s">
        <v>87</v>
      </c>
      <c r="H34" s="3" t="s">
        <v>88</v>
      </c>
      <c r="I34" s="62">
        <v>1586700</v>
      </c>
      <c r="J34" s="62"/>
    </row>
    <row r="35" spans="7:13" outlineLevel="1" x14ac:dyDescent="0.25">
      <c r="G35" s="22" t="s">
        <v>89</v>
      </c>
      <c r="H35" s="3" t="s">
        <v>90</v>
      </c>
      <c r="I35" s="62">
        <v>150000</v>
      </c>
      <c r="J35" s="62"/>
    </row>
    <row r="36" spans="7:13" outlineLevel="1" x14ac:dyDescent="0.25">
      <c r="G36" s="22" t="s">
        <v>91</v>
      </c>
      <c r="H36" s="3" t="s">
        <v>92</v>
      </c>
      <c r="I36" s="63">
        <f>(3870100+46400+1043900)/20</f>
        <v>248020</v>
      </c>
      <c r="J36" s="63"/>
    </row>
    <row r="37" spans="7:13" outlineLevel="1" x14ac:dyDescent="0.25">
      <c r="G37" s="22" t="s">
        <v>93</v>
      </c>
      <c r="H37" s="3" t="s">
        <v>94</v>
      </c>
      <c r="I37" s="62">
        <v>250000</v>
      </c>
      <c r="J37" s="62"/>
      <c r="L37" s="42" t="s">
        <v>181</v>
      </c>
    </row>
    <row r="38" spans="7:13" outlineLevel="1" x14ac:dyDescent="0.25">
      <c r="G38" s="22" t="s">
        <v>95</v>
      </c>
      <c r="H38" s="3" t="s">
        <v>94</v>
      </c>
      <c r="I38" s="63">
        <f>0.04*(I18+I33+I34+I35)</f>
        <v>237868</v>
      </c>
      <c r="J38" s="63"/>
      <c r="L38" s="30" t="s">
        <v>96</v>
      </c>
      <c r="M38" s="64">
        <v>7.0000000000000007E-2</v>
      </c>
    </row>
    <row r="39" spans="7:13" x14ac:dyDescent="0.25">
      <c r="G39" s="20" t="s">
        <v>97</v>
      </c>
      <c r="H39" s="26" t="s">
        <v>98</v>
      </c>
      <c r="I39" s="60">
        <v>10000</v>
      </c>
      <c r="J39" s="68">
        <f>I39/$I$43</f>
        <v>2.1663276397127542E-4</v>
      </c>
      <c r="L39" s="30" t="s">
        <v>99</v>
      </c>
      <c r="M39" s="65">
        <f>(I18+I32+I39)*1</f>
        <v>6692588</v>
      </c>
    </row>
    <row r="40" spans="7:13" x14ac:dyDescent="0.25">
      <c r="G40" s="20" t="s">
        <v>96</v>
      </c>
      <c r="H40" s="26" t="s">
        <v>166</v>
      </c>
      <c r="I40" s="61">
        <f>M39*M38</f>
        <v>468481.16000000003</v>
      </c>
      <c r="J40" s="68">
        <f>I40/$I$43</f>
        <v>1.0148836855926931E-2</v>
      </c>
    </row>
    <row r="41" spans="7:13" x14ac:dyDescent="0.25">
      <c r="G41" s="20" t="s">
        <v>101</v>
      </c>
      <c r="H41" s="26" t="s">
        <v>102</v>
      </c>
      <c r="I41" s="70">
        <f>D8*D13</f>
        <v>0</v>
      </c>
      <c r="J41" s="68">
        <f>I41/$I$43</f>
        <v>0</v>
      </c>
    </row>
    <row r="42" spans="7:13" x14ac:dyDescent="0.25">
      <c r="I42" s="25"/>
      <c r="J42" s="25"/>
    </row>
    <row r="43" spans="7:13" x14ac:dyDescent="0.25">
      <c r="G43" s="12" t="s">
        <v>103</v>
      </c>
      <c r="H43" s="12"/>
      <c r="I43" s="59">
        <f>I17+I18+I32+I39+I40+I41</f>
        <v>46161069.159999996</v>
      </c>
      <c r="J43" s="67">
        <f>SUM(J17,J18,J32,J39:J41)</f>
        <v>1</v>
      </c>
    </row>
    <row r="44" spans="7:13" x14ac:dyDescent="0.25">
      <c r="G44" s="12"/>
      <c r="H44" s="12"/>
      <c r="I44" s="12"/>
      <c r="J44" s="12"/>
    </row>
    <row r="45" spans="7:13" x14ac:dyDescent="0.25">
      <c r="G45" s="12"/>
      <c r="H45" s="12" t="s">
        <v>105</v>
      </c>
      <c r="I45" s="29" t="b">
        <f>I43=D24</f>
        <v>1</v>
      </c>
      <c r="J45" s="29"/>
    </row>
  </sheetData>
  <conditionalFormatting sqref="D26">
    <cfRule type="cellIs" dxfId="3" priority="1" operator="equal">
      <formula>TRUE</formula>
    </cfRule>
    <cfRule type="cellIs" dxfId="2" priority="2" operator="equal">
      <formula>FALSE</formula>
    </cfRule>
  </conditionalFormatting>
  <conditionalFormatting sqref="I45">
    <cfRule type="cellIs" dxfId="1" priority="3" operator="equal">
      <formula>TRUE</formula>
    </cfRule>
    <cfRule type="cellIs" dxfId="0" priority="4" operator="equal">
      <formula>FALSE</formula>
    </cfRule>
  </conditionalFormatting>
  <pageMargins left="0.7" right="0.7" top="0.75" bottom="0.75" header="0.3" footer="0.3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2ACB9D-4449-47C6-9EC4-7E66309E8075}">
  <dimension ref="B2:K44"/>
  <sheetViews>
    <sheetView showGridLines="0" topLeftCell="C11" zoomScale="90" zoomScaleNormal="90" workbookViewId="0">
      <selection activeCell="F31" sqref="F31"/>
    </sheetView>
  </sheetViews>
  <sheetFormatPr defaultRowHeight="15" x14ac:dyDescent="0.25"/>
  <cols>
    <col min="2" max="2" width="26.42578125" bestFit="1" customWidth="1"/>
    <col min="3" max="3" width="34" bestFit="1" customWidth="1"/>
    <col min="4" max="4" width="15.28515625" customWidth="1"/>
    <col min="6" max="6" width="64.42578125" customWidth="1"/>
    <col min="7" max="7" width="58.140625" customWidth="1"/>
    <col min="8" max="8" width="16.28515625" customWidth="1"/>
    <col min="10" max="10" width="14" bestFit="1" customWidth="1"/>
    <col min="11" max="11" width="15.28515625" bestFit="1" customWidth="1"/>
  </cols>
  <sheetData>
    <row r="2" spans="2:8" x14ac:dyDescent="0.25">
      <c r="B2" s="14" t="s">
        <v>104</v>
      </c>
    </row>
    <row r="3" spans="2:8" x14ac:dyDescent="0.25">
      <c r="B3" s="12"/>
    </row>
    <row r="4" spans="2:8" x14ac:dyDescent="0.25">
      <c r="B4" s="13" t="s">
        <v>37</v>
      </c>
      <c r="C4" s="14" t="s">
        <v>38</v>
      </c>
      <c r="D4" s="14" t="s">
        <v>39</v>
      </c>
    </row>
    <row r="5" spans="2:8" x14ac:dyDescent="0.25">
      <c r="B5" s="13" t="s">
        <v>40</v>
      </c>
      <c r="C5" s="15" t="s">
        <v>41</v>
      </c>
      <c r="D5" s="16">
        <v>0.8</v>
      </c>
    </row>
    <row r="6" spans="2:8" x14ac:dyDescent="0.25">
      <c r="B6" s="13" t="s">
        <v>42</v>
      </c>
      <c r="C6" s="15" t="s">
        <v>41</v>
      </c>
      <c r="D6" s="16">
        <v>0.15</v>
      </c>
    </row>
    <row r="7" spans="2:8" x14ac:dyDescent="0.25">
      <c r="B7" s="13" t="s">
        <v>43</v>
      </c>
      <c r="C7" s="15" t="s">
        <v>44</v>
      </c>
      <c r="D7" s="15">
        <v>3</v>
      </c>
    </row>
    <row r="8" spans="2:8" x14ac:dyDescent="0.25">
      <c r="B8" s="13" t="s">
        <v>45</v>
      </c>
      <c r="C8" s="15" t="s">
        <v>46</v>
      </c>
      <c r="D8" s="17">
        <f>PMT(D6/12,D7*12,-D17)</f>
        <v>1049574.6583720101</v>
      </c>
    </row>
    <row r="9" spans="2:8" x14ac:dyDescent="0.25">
      <c r="B9" s="13" t="s">
        <v>47</v>
      </c>
      <c r="C9" s="15" t="s">
        <v>41</v>
      </c>
      <c r="D9" s="16">
        <v>0.8</v>
      </c>
    </row>
    <row r="10" spans="2:8" x14ac:dyDescent="0.25">
      <c r="B10" s="13" t="s">
        <v>48</v>
      </c>
      <c r="C10" s="15" t="s">
        <v>41</v>
      </c>
      <c r="D10" s="16">
        <v>0.08</v>
      </c>
    </row>
    <row r="11" spans="2:8" x14ac:dyDescent="0.25">
      <c r="B11" s="13" t="s">
        <v>49</v>
      </c>
      <c r="C11" s="15" t="s">
        <v>44</v>
      </c>
      <c r="D11" s="15">
        <v>10</v>
      </c>
    </row>
    <row r="12" spans="2:8" x14ac:dyDescent="0.25">
      <c r="B12" s="13" t="s">
        <v>50</v>
      </c>
      <c r="C12" s="15" t="s">
        <v>46</v>
      </c>
      <c r="D12" s="17">
        <f>PMT(D10/12,D11*12,-D18)</f>
        <v>70551.740374841873</v>
      </c>
      <c r="E12" s="18"/>
    </row>
    <row r="13" spans="2:8" x14ac:dyDescent="0.25">
      <c r="B13" s="13" t="s">
        <v>51</v>
      </c>
      <c r="C13" s="15" t="s">
        <v>52</v>
      </c>
      <c r="D13" s="15">
        <v>0</v>
      </c>
    </row>
    <row r="14" spans="2:8" x14ac:dyDescent="0.25">
      <c r="B14" s="13" t="s">
        <v>53</v>
      </c>
      <c r="C14" s="16" t="s">
        <v>41</v>
      </c>
      <c r="D14" s="16">
        <v>0.1</v>
      </c>
    </row>
    <row r="16" spans="2:8" x14ac:dyDescent="0.25">
      <c r="B16" s="13" t="s">
        <v>54</v>
      </c>
      <c r="C16" s="13" t="s">
        <v>2</v>
      </c>
      <c r="D16" s="13" t="s">
        <v>55</v>
      </c>
      <c r="F16" s="13" t="s">
        <v>56</v>
      </c>
      <c r="G16" s="13" t="s">
        <v>2</v>
      </c>
      <c r="H16" s="13" t="s">
        <v>55</v>
      </c>
    </row>
    <row r="17" spans="2:8" x14ac:dyDescent="0.25">
      <c r="B17" s="2" t="s">
        <v>57</v>
      </c>
      <c r="C17" s="2" t="s">
        <v>58</v>
      </c>
      <c r="D17" s="19">
        <f>H17*D5</f>
        <v>30277360.800000001</v>
      </c>
      <c r="F17" s="20" t="s">
        <v>59</v>
      </c>
      <c r="G17" s="20" t="s">
        <v>60</v>
      </c>
      <c r="H17" s="21">
        <f>[1]Hoja1!E45</f>
        <v>37846701</v>
      </c>
    </row>
    <row r="18" spans="2:8" x14ac:dyDescent="0.25">
      <c r="B18" s="2" t="s">
        <v>61</v>
      </c>
      <c r="C18" s="2" t="s">
        <v>62</v>
      </c>
      <c r="D18" s="19">
        <f>D9*H18</f>
        <v>5814978.9212998459</v>
      </c>
      <c r="F18" s="20" t="s">
        <v>63</v>
      </c>
      <c r="G18" s="20" t="s">
        <v>64</v>
      </c>
      <c r="H18" s="21">
        <f>SUM(H19:H30)</f>
        <v>7268723.6516248072</v>
      </c>
    </row>
    <row r="19" spans="2:8" x14ac:dyDescent="0.25">
      <c r="B19" s="2" t="s">
        <v>65</v>
      </c>
      <c r="C19" s="2" t="s">
        <v>66</v>
      </c>
      <c r="D19" s="19">
        <v>3000000</v>
      </c>
      <c r="F19" s="22" t="s">
        <v>67</v>
      </c>
      <c r="G19" s="23" t="s">
        <v>68</v>
      </c>
      <c r="H19" s="24">
        <f>[1]Hoja1!E8</f>
        <v>933813.56854603172</v>
      </c>
    </row>
    <row r="20" spans="2:8" x14ac:dyDescent="0.25">
      <c r="B20" s="2" t="s">
        <v>69</v>
      </c>
      <c r="C20" s="2" t="s">
        <v>70</v>
      </c>
      <c r="D20" s="19">
        <f>H42-D21-D19-D18-D17</f>
        <v>8420506.3582282402</v>
      </c>
      <c r="F20" s="22" t="s">
        <v>71</v>
      </c>
      <c r="G20" s="23" t="s">
        <v>68</v>
      </c>
      <c r="H20" s="24">
        <f>[1]Hoja1!E10</f>
        <v>192932.8731911112</v>
      </c>
    </row>
    <row r="21" spans="2:8" x14ac:dyDescent="0.25">
      <c r="B21" s="2" t="s">
        <v>53</v>
      </c>
      <c r="C21" s="2" t="s">
        <v>72</v>
      </c>
      <c r="D21" s="19">
        <f>D14*(H32+H33)</f>
        <v>90000</v>
      </c>
      <c r="F21" s="22" t="s">
        <v>73</v>
      </c>
      <c r="G21" s="23" t="s">
        <v>68</v>
      </c>
      <c r="H21" s="24">
        <f>[1]Hoja1!E12</f>
        <v>222740.82429206348</v>
      </c>
    </row>
    <row r="22" spans="2:8" x14ac:dyDescent="0.25">
      <c r="F22" s="22" t="s">
        <v>74</v>
      </c>
      <c r="G22" s="23" t="s">
        <v>68</v>
      </c>
      <c r="H22" s="24">
        <f>[1]Hoja1!E14</f>
        <v>1050171.7543174603</v>
      </c>
    </row>
    <row r="23" spans="2:8" x14ac:dyDescent="0.25">
      <c r="B23" t="s">
        <v>75</v>
      </c>
      <c r="D23" s="25">
        <f>SUM(D17:D21)</f>
        <v>47602846.079528093</v>
      </c>
      <c r="F23" s="22" t="s">
        <v>76</v>
      </c>
      <c r="G23" s="23" t="s">
        <v>68</v>
      </c>
      <c r="H23" s="24">
        <f>[1]Hoja1!E16</f>
        <v>402506.94001851854</v>
      </c>
    </row>
    <row r="24" spans="2:8" x14ac:dyDescent="0.25">
      <c r="F24" s="22" t="s">
        <v>77</v>
      </c>
      <c r="G24" s="23" t="s">
        <v>68</v>
      </c>
      <c r="H24" s="24">
        <f>[1]Hoja1!E18</f>
        <v>168563.46</v>
      </c>
    </row>
    <row r="25" spans="2:8" x14ac:dyDescent="0.25">
      <c r="C25" t="s">
        <v>105</v>
      </c>
      <c r="D25" t="b">
        <f>D23=H42</f>
        <v>1</v>
      </c>
      <c r="F25" s="22" t="s">
        <v>78</v>
      </c>
      <c r="G25" s="23" t="s">
        <v>68</v>
      </c>
      <c r="H25" s="24">
        <f>[1]Hoja1!E20</f>
        <v>544324.94852592598</v>
      </c>
    </row>
    <row r="26" spans="2:8" x14ac:dyDescent="0.25">
      <c r="D26" t="s">
        <v>21</v>
      </c>
      <c r="F26" s="22" t="s">
        <v>79</v>
      </c>
      <c r="G26" s="23" t="s">
        <v>68</v>
      </c>
      <c r="H26" s="24">
        <f>[1]Hoja1!E21</f>
        <v>1565349.2801173034</v>
      </c>
    </row>
    <row r="27" spans="2:8" x14ac:dyDescent="0.25">
      <c r="F27" s="22" t="s">
        <v>80</v>
      </c>
      <c r="G27" s="23" t="s">
        <v>68</v>
      </c>
      <c r="H27" s="24">
        <f>[1]Hoja1!E25</f>
        <v>460244.49926447403</v>
      </c>
    </row>
    <row r="28" spans="2:8" x14ac:dyDescent="0.25">
      <c r="D28" s="22"/>
      <c r="F28" s="22" t="s">
        <v>81</v>
      </c>
      <c r="G28" s="23" t="s">
        <v>68</v>
      </c>
      <c r="H28" s="24">
        <f>[1]Hoja1!E31</f>
        <v>303759.50335191848</v>
      </c>
    </row>
    <row r="29" spans="2:8" x14ac:dyDescent="0.25">
      <c r="F29" s="22" t="s">
        <v>82</v>
      </c>
      <c r="G29" s="23" t="s">
        <v>68</v>
      </c>
      <c r="H29" s="24">
        <f>[1]Hoja1!E34</f>
        <v>1218276.8</v>
      </c>
    </row>
    <row r="30" spans="2:8" x14ac:dyDescent="0.25">
      <c r="F30" s="22" t="s">
        <v>83</v>
      </c>
      <c r="G30" s="23" t="s">
        <v>68</v>
      </c>
      <c r="H30" s="24">
        <f>4120784/20</f>
        <v>206039.2</v>
      </c>
    </row>
    <row r="31" spans="2:8" ht="30" x14ac:dyDescent="0.25">
      <c r="F31" s="20" t="s">
        <v>84</v>
      </c>
      <c r="G31" s="26" t="s">
        <v>85</v>
      </c>
      <c r="H31" s="21">
        <f>SUM(H32:H37)</f>
        <v>1839168.9460649923</v>
      </c>
    </row>
    <row r="32" spans="2:8" x14ac:dyDescent="0.25">
      <c r="F32" s="22" t="s">
        <v>86</v>
      </c>
      <c r="G32" s="3" t="s">
        <v>86</v>
      </c>
      <c r="H32" s="27">
        <v>300000</v>
      </c>
    </row>
    <row r="33" spans="6:11" x14ac:dyDescent="0.25">
      <c r="F33" s="22" t="s">
        <v>87</v>
      </c>
      <c r="G33" s="3" t="s">
        <v>88</v>
      </c>
      <c r="H33" s="27">
        <v>600000</v>
      </c>
    </row>
    <row r="34" spans="6:11" x14ac:dyDescent="0.25">
      <c r="F34" s="22" t="s">
        <v>89</v>
      </c>
      <c r="G34" s="3" t="s">
        <v>90</v>
      </c>
      <c r="H34" s="27">
        <v>110000</v>
      </c>
    </row>
    <row r="35" spans="6:11" x14ac:dyDescent="0.25">
      <c r="F35" s="22" t="s">
        <v>91</v>
      </c>
      <c r="G35" s="3" t="s">
        <v>92</v>
      </c>
      <c r="H35" s="27">
        <f>(3870100+46400+1043900)/20</f>
        <v>248020</v>
      </c>
    </row>
    <row r="36" spans="6:11" x14ac:dyDescent="0.25">
      <c r="F36" s="22" t="s">
        <v>93</v>
      </c>
      <c r="G36" s="3" t="s">
        <v>94</v>
      </c>
      <c r="H36" s="27">
        <v>250000</v>
      </c>
    </row>
    <row r="37" spans="6:11" x14ac:dyDescent="0.25">
      <c r="F37" s="22" t="s">
        <v>95</v>
      </c>
      <c r="G37" s="3" t="s">
        <v>94</v>
      </c>
      <c r="H37" s="27">
        <f>0.04*(H18+H32+H33+H34)</f>
        <v>331148.94606499228</v>
      </c>
      <c r="J37" s="30" t="s">
        <v>96</v>
      </c>
      <c r="K37" s="32">
        <v>7.0000000000000007E-2</v>
      </c>
    </row>
    <row r="38" spans="6:11" x14ac:dyDescent="0.25">
      <c r="F38" s="20" t="s">
        <v>97</v>
      </c>
      <c r="G38" s="26" t="s">
        <v>98</v>
      </c>
      <c r="H38" s="21">
        <v>10000</v>
      </c>
      <c r="J38" s="30" t="s">
        <v>99</v>
      </c>
      <c r="K38" s="31">
        <f>(H18+H31+H38)*1</f>
        <v>9117892.5976898</v>
      </c>
    </row>
    <row r="39" spans="6:11" x14ac:dyDescent="0.25">
      <c r="F39" s="20" t="s">
        <v>96</v>
      </c>
      <c r="G39" s="26" t="s">
        <v>100</v>
      </c>
      <c r="H39" s="21">
        <f>K38*K37</f>
        <v>638252.48183828604</v>
      </c>
    </row>
    <row r="40" spans="6:11" x14ac:dyDescent="0.25">
      <c r="F40" s="20" t="s">
        <v>101</v>
      </c>
      <c r="G40" s="26" t="s">
        <v>102</v>
      </c>
      <c r="H40" s="21">
        <f>D8*D13</f>
        <v>0</v>
      </c>
    </row>
    <row r="41" spans="6:11" x14ac:dyDescent="0.25">
      <c r="H41" s="25"/>
    </row>
    <row r="42" spans="6:11" x14ac:dyDescent="0.25">
      <c r="F42" s="12" t="s">
        <v>103</v>
      </c>
      <c r="G42" s="12"/>
      <c r="H42" s="28">
        <f>H17+H18+H31+H38+H39+H40</f>
        <v>47602846.079528086</v>
      </c>
    </row>
    <row r="43" spans="6:11" x14ac:dyDescent="0.25">
      <c r="F43" s="12"/>
      <c r="G43" s="12"/>
      <c r="H43" s="12"/>
    </row>
    <row r="44" spans="6:11" x14ac:dyDescent="0.25">
      <c r="F44" s="12"/>
      <c r="G44" s="12" t="s">
        <v>105</v>
      </c>
      <c r="H44" s="29" t="b">
        <f>H42=D23</f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6E5BD1-A7E4-48DC-BE07-94E46BF0296D}">
  <dimension ref="B2:G48"/>
  <sheetViews>
    <sheetView showGridLines="0" topLeftCell="A24" workbookViewId="0">
      <selection activeCell="E38" sqref="E38"/>
    </sheetView>
  </sheetViews>
  <sheetFormatPr defaultRowHeight="15" x14ac:dyDescent="0.25"/>
  <cols>
    <col min="2" max="2" width="53.28515625" customWidth="1"/>
    <col min="3" max="3" width="16.140625" bestFit="1" customWidth="1"/>
    <col min="4" max="7" width="22.85546875" customWidth="1"/>
  </cols>
  <sheetData>
    <row r="2" spans="2:4" x14ac:dyDescent="0.25">
      <c r="B2" s="33" t="s">
        <v>114</v>
      </c>
    </row>
    <row r="4" spans="2:4" x14ac:dyDescent="0.25">
      <c r="B4" s="33" t="s">
        <v>115</v>
      </c>
      <c r="C4" s="34" t="s">
        <v>38</v>
      </c>
      <c r="D4" s="34" t="s">
        <v>39</v>
      </c>
    </row>
    <row r="5" spans="2:4" x14ac:dyDescent="0.25">
      <c r="B5" s="35" t="s">
        <v>116</v>
      </c>
      <c r="C5" s="36" t="s">
        <v>117</v>
      </c>
      <c r="D5" s="38">
        <f>'S&amp;U'!I17</f>
        <v>39000000</v>
      </c>
    </row>
    <row r="6" spans="2:4" x14ac:dyDescent="0.25">
      <c r="B6" s="35" t="s">
        <v>118</v>
      </c>
      <c r="C6" s="36" t="s">
        <v>41</v>
      </c>
      <c r="D6" s="40">
        <v>0.7</v>
      </c>
    </row>
    <row r="7" spans="2:4" x14ac:dyDescent="0.25">
      <c r="B7" s="35" t="s">
        <v>119</v>
      </c>
      <c r="C7" s="36" t="s">
        <v>41</v>
      </c>
      <c r="D7" s="40">
        <v>0.1</v>
      </c>
    </row>
    <row r="8" spans="2:4" x14ac:dyDescent="0.25">
      <c r="B8" s="35" t="s">
        <v>120</v>
      </c>
      <c r="C8" s="36" t="s">
        <v>52</v>
      </c>
      <c r="D8" s="39">
        <v>6</v>
      </c>
    </row>
    <row r="9" spans="2:4" x14ac:dyDescent="0.25">
      <c r="B9" s="35" t="s">
        <v>121</v>
      </c>
      <c r="C9" s="36" t="s">
        <v>41</v>
      </c>
      <c r="D9" s="40">
        <v>0.01</v>
      </c>
    </row>
    <row r="10" spans="2:4" x14ac:dyDescent="0.25">
      <c r="B10" s="35" t="s">
        <v>122</v>
      </c>
      <c r="D10" s="36" t="s">
        <v>123</v>
      </c>
    </row>
    <row r="11" spans="2:4" x14ac:dyDescent="0.25">
      <c r="B11" s="35" t="s">
        <v>124</v>
      </c>
      <c r="D11" s="39" t="s">
        <v>125</v>
      </c>
    </row>
    <row r="13" spans="2:4" x14ac:dyDescent="0.25">
      <c r="B13" s="33" t="s">
        <v>126</v>
      </c>
      <c r="C13" s="34" t="s">
        <v>38</v>
      </c>
      <c r="D13" s="34" t="s">
        <v>39</v>
      </c>
    </row>
    <row r="14" spans="2:4" x14ac:dyDescent="0.25">
      <c r="B14" s="35" t="s">
        <v>127</v>
      </c>
      <c r="C14" s="36" t="s">
        <v>41</v>
      </c>
      <c r="D14" s="41">
        <f>'S&amp;U'!D5</f>
        <v>0.8</v>
      </c>
    </row>
    <row r="15" spans="2:4" x14ac:dyDescent="0.25">
      <c r="B15" s="35" t="s">
        <v>128</v>
      </c>
      <c r="C15" s="36" t="s">
        <v>41</v>
      </c>
      <c r="D15" s="41">
        <f>'S&amp;U'!D6</f>
        <v>0.15</v>
      </c>
    </row>
    <row r="16" spans="2:4" x14ac:dyDescent="0.25">
      <c r="B16" s="35" t="s">
        <v>129</v>
      </c>
      <c r="C16" s="36" t="s">
        <v>44</v>
      </c>
      <c r="D16" s="37">
        <f>'S&amp;U'!D7</f>
        <v>3</v>
      </c>
    </row>
    <row r="18" spans="2:7" x14ac:dyDescent="0.25">
      <c r="B18" s="33" t="s">
        <v>130</v>
      </c>
      <c r="C18" s="33"/>
      <c r="D18" s="34" t="s">
        <v>131</v>
      </c>
    </row>
    <row r="19" spans="2:7" x14ac:dyDescent="0.25">
      <c r="B19" s="42" t="s">
        <v>132</v>
      </c>
      <c r="D19" s="44">
        <f>D5*D6</f>
        <v>27300000</v>
      </c>
    </row>
    <row r="20" spans="2:7" x14ac:dyDescent="0.25">
      <c r="B20" s="35" t="s">
        <v>133</v>
      </c>
      <c r="D20" s="45">
        <f>D19*D9</f>
        <v>273000</v>
      </c>
    </row>
    <row r="21" spans="2:7" x14ac:dyDescent="0.25">
      <c r="B21" s="35" t="s">
        <v>134</v>
      </c>
      <c r="D21" s="46">
        <f>D7/12</f>
        <v>8.3333333333333332E-3</v>
      </c>
    </row>
    <row r="22" spans="2:7" x14ac:dyDescent="0.25">
      <c r="B22" s="42" t="s">
        <v>182</v>
      </c>
      <c r="D22" s="44">
        <f>D19*D21</f>
        <v>227500</v>
      </c>
    </row>
    <row r="23" spans="2:7" x14ac:dyDescent="0.25">
      <c r="B23" s="35" t="s">
        <v>183</v>
      </c>
      <c r="D23" s="45">
        <f>D22*D8</f>
        <v>1365000</v>
      </c>
    </row>
    <row r="24" spans="2:7" x14ac:dyDescent="0.25">
      <c r="B24" s="42" t="s">
        <v>136</v>
      </c>
      <c r="D24" s="44">
        <f>D20+D23</f>
        <v>1638000</v>
      </c>
    </row>
    <row r="25" spans="2:7" x14ac:dyDescent="0.25">
      <c r="B25" s="35" t="s">
        <v>137</v>
      </c>
      <c r="D25" s="47">
        <f>D24/D19</f>
        <v>0.06</v>
      </c>
    </row>
    <row r="26" spans="2:7" x14ac:dyDescent="0.25">
      <c r="B26" s="42" t="s">
        <v>138</v>
      </c>
      <c r="D26" s="45">
        <f>D19-D20</f>
        <v>27027000</v>
      </c>
    </row>
    <row r="28" spans="2:7" x14ac:dyDescent="0.25">
      <c r="B28" s="33" t="s">
        <v>184</v>
      </c>
      <c r="C28" s="34" t="s">
        <v>139</v>
      </c>
      <c r="D28" s="34" t="s">
        <v>140</v>
      </c>
      <c r="E28" s="34" t="s">
        <v>141</v>
      </c>
      <c r="F28" s="34" t="s">
        <v>142</v>
      </c>
      <c r="G28" s="34" t="s">
        <v>143</v>
      </c>
    </row>
    <row r="29" spans="2:7" x14ac:dyDescent="0.25">
      <c r="B29" s="35" t="s">
        <v>144</v>
      </c>
      <c r="C29" s="45">
        <f>$D$19</f>
        <v>27300000</v>
      </c>
      <c r="D29" s="45">
        <f>C29*$D$21</f>
        <v>227500</v>
      </c>
      <c r="E29" s="52">
        <v>0</v>
      </c>
      <c r="F29" s="45">
        <f>D29+E29</f>
        <v>227500</v>
      </c>
      <c r="G29" s="45">
        <f>C29-E29</f>
        <v>27300000</v>
      </c>
    </row>
    <row r="30" spans="2:7" x14ac:dyDescent="0.25">
      <c r="B30" s="35" t="s">
        <v>145</v>
      </c>
      <c r="C30" s="45">
        <f>G29</f>
        <v>27300000</v>
      </c>
      <c r="D30" s="45">
        <f>C30*$D$21</f>
        <v>227500</v>
      </c>
      <c r="E30" s="52">
        <v>0</v>
      </c>
      <c r="F30" s="45">
        <f>D30+E30</f>
        <v>227500</v>
      </c>
      <c r="G30" s="45">
        <f>C30-E30</f>
        <v>27300000</v>
      </c>
    </row>
    <row r="31" spans="2:7" x14ac:dyDescent="0.25">
      <c r="B31" s="35" t="s">
        <v>146</v>
      </c>
      <c r="C31" s="45">
        <f t="shared" ref="C31:C33" si="0">G30</f>
        <v>27300000</v>
      </c>
      <c r="D31" s="45">
        <f t="shared" ref="D31:D33" si="1">C31*$D$21</f>
        <v>227500</v>
      </c>
      <c r="E31" s="52">
        <v>0</v>
      </c>
      <c r="F31" s="45">
        <f t="shared" ref="F31:F33" si="2">D31+E31</f>
        <v>227500</v>
      </c>
      <c r="G31" s="45">
        <f t="shared" ref="G31:G33" si="3">C31-E31</f>
        <v>27300000</v>
      </c>
    </row>
    <row r="32" spans="2:7" x14ac:dyDescent="0.25">
      <c r="B32" s="35" t="s">
        <v>147</v>
      </c>
      <c r="C32" s="45">
        <f t="shared" si="0"/>
        <v>27300000</v>
      </c>
      <c r="D32" s="45">
        <f t="shared" si="1"/>
        <v>227500</v>
      </c>
      <c r="E32" s="52">
        <v>0</v>
      </c>
      <c r="F32" s="45">
        <f t="shared" si="2"/>
        <v>227500</v>
      </c>
      <c r="G32" s="45">
        <f t="shared" si="3"/>
        <v>27300000</v>
      </c>
    </row>
    <row r="33" spans="2:7" x14ac:dyDescent="0.25">
      <c r="B33" s="35" t="s">
        <v>148</v>
      </c>
      <c r="C33" s="45">
        <f t="shared" si="0"/>
        <v>27300000</v>
      </c>
      <c r="D33" s="45">
        <f t="shared" si="1"/>
        <v>227500</v>
      </c>
      <c r="E33" s="52">
        <v>0</v>
      </c>
      <c r="F33" s="45">
        <f t="shared" si="2"/>
        <v>227500</v>
      </c>
      <c r="G33" s="45">
        <f t="shared" si="3"/>
        <v>27300000</v>
      </c>
    </row>
    <row r="34" spans="2:7" x14ac:dyDescent="0.25">
      <c r="B34" s="35" t="s">
        <v>149</v>
      </c>
      <c r="C34" s="45">
        <f>G33</f>
        <v>27300000</v>
      </c>
      <c r="D34" s="45">
        <f>C34*$D$21</f>
        <v>227500</v>
      </c>
      <c r="E34" s="49">
        <f>C34</f>
        <v>27300000</v>
      </c>
      <c r="F34" s="49">
        <f>D34+E34</f>
        <v>27527500</v>
      </c>
      <c r="G34" s="52">
        <f>C34-E34</f>
        <v>0</v>
      </c>
    </row>
    <row r="35" spans="2:7" x14ac:dyDescent="0.25">
      <c r="B35" s="43" t="s">
        <v>150</v>
      </c>
      <c r="C35" s="48"/>
      <c r="D35" s="44">
        <f>SUM(D29:D34)</f>
        <v>1365000</v>
      </c>
      <c r="E35" s="44">
        <f>SUM(E29:E34)</f>
        <v>27300000</v>
      </c>
      <c r="F35" s="44">
        <f>SUM(F29:F34)</f>
        <v>28665000</v>
      </c>
      <c r="G35" s="48"/>
    </row>
    <row r="37" spans="2:7" x14ac:dyDescent="0.25">
      <c r="B37" s="33" t="s">
        <v>151</v>
      </c>
      <c r="C37" s="33"/>
      <c r="D37" s="34" t="s">
        <v>131</v>
      </c>
    </row>
    <row r="38" spans="2:7" x14ac:dyDescent="0.25">
      <c r="B38" s="35" t="s">
        <v>152</v>
      </c>
      <c r="D38" s="45">
        <f>D19</f>
        <v>27300000</v>
      </c>
    </row>
    <row r="39" spans="2:7" x14ac:dyDescent="0.25">
      <c r="B39" s="42" t="s">
        <v>153</v>
      </c>
      <c r="D39" s="50">
        <f>'S&amp;U'!D17</f>
        <v>31200000</v>
      </c>
    </row>
    <row r="40" spans="2:7" x14ac:dyDescent="0.25">
      <c r="B40" s="35" t="s">
        <v>154</v>
      </c>
      <c r="D40" s="51">
        <f>'S&amp;U'!D8</f>
        <v>1081558.2493308568</v>
      </c>
    </row>
    <row r="41" spans="2:7" x14ac:dyDescent="0.25">
      <c r="B41" s="35" t="s">
        <v>155</v>
      </c>
      <c r="D41" s="52">
        <f>D39-D19</f>
        <v>3900000</v>
      </c>
    </row>
    <row r="43" spans="2:7" x14ac:dyDescent="0.25">
      <c r="B43" s="33" t="s">
        <v>156</v>
      </c>
      <c r="C43" s="34" t="s">
        <v>157</v>
      </c>
      <c r="D43" s="34" t="s">
        <v>158</v>
      </c>
    </row>
    <row r="44" spans="2:7" x14ac:dyDescent="0.25">
      <c r="B44" s="35" t="s">
        <v>159</v>
      </c>
      <c r="C44" s="45">
        <f>D19</f>
        <v>27300000</v>
      </c>
      <c r="D44" s="45">
        <f>D39</f>
        <v>31200000</v>
      </c>
    </row>
    <row r="45" spans="2:7" x14ac:dyDescent="0.25">
      <c r="B45" s="35" t="s">
        <v>160</v>
      </c>
      <c r="C45" s="53">
        <f>D7</f>
        <v>0.1</v>
      </c>
      <c r="D45" s="53">
        <f>D15</f>
        <v>0.15</v>
      </c>
    </row>
    <row r="46" spans="2:7" x14ac:dyDescent="0.25">
      <c r="B46" s="35" t="s">
        <v>161</v>
      </c>
      <c r="C46" s="36" t="str">
        <f>D8&amp;" months"</f>
        <v>6 months</v>
      </c>
      <c r="D46" s="36" t="str">
        <f>D16&amp;" years"</f>
        <v>3 years</v>
      </c>
    </row>
    <row r="47" spans="2:7" x14ac:dyDescent="0.25">
      <c r="B47" s="35" t="s">
        <v>162</v>
      </c>
      <c r="C47" s="53">
        <f>D6</f>
        <v>0.7</v>
      </c>
      <c r="D47" s="53">
        <f>D14</f>
        <v>0.8</v>
      </c>
    </row>
    <row r="48" spans="2:7" x14ac:dyDescent="0.25">
      <c r="B48" s="35" t="s">
        <v>135</v>
      </c>
      <c r="C48" s="45">
        <f>D22</f>
        <v>227500</v>
      </c>
      <c r="D48" s="45">
        <f>D40</f>
        <v>1081558.2493308568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18B15478E148743978F0FC635B7AAAE" ma:contentTypeVersion="11" ma:contentTypeDescription="Crear nuevo documento." ma:contentTypeScope="" ma:versionID="1709ade4004dec64c2e43cb90262b3e6">
  <xsd:schema xmlns:xsd="http://www.w3.org/2001/XMLSchema" xmlns:xs="http://www.w3.org/2001/XMLSchema" xmlns:p="http://schemas.microsoft.com/office/2006/metadata/properties" xmlns:ns2="526ef564-55ab-4f5d-b337-0b983e2a1bb6" xmlns:ns3="46a23645-241a-47ac-87da-5d73648025bd" targetNamespace="http://schemas.microsoft.com/office/2006/metadata/properties" ma:root="true" ma:fieldsID="111cb2c1c04d7e2fe35c457e8fc358e9" ns2:_="" ns3:_="">
    <xsd:import namespace="526ef564-55ab-4f5d-b337-0b983e2a1bb6"/>
    <xsd:import namespace="46a23645-241a-47ac-87da-5d73648025b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ef564-55ab-4f5d-b337-0b983e2a1bb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0dc53cf-acef-4f27-8e74-d2522b15b30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a23645-241a-47ac-87da-5d73648025b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51fbb6f-7f9a-4f65-a36b-7b6a64f616c4}" ma:internalName="TaxCatchAll" ma:showField="CatchAllData" ma:web="46a23645-241a-47ac-87da-5d73648025b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46a23645-241a-47ac-87da-5d73648025bd" xsi:nil="true"/>
    <lcf76f155ced4ddcb4097134ff3c332f xmlns="526ef564-55ab-4f5d-b337-0b983e2a1bb6">
      <Terms xmlns="http://schemas.microsoft.com/office/infopath/2007/PartnerControls"/>
    </lcf76f155ced4ddcb4097134ff3c332f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1C72C1B-BBBC-4A42-849A-BA55685979B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26ef564-55ab-4f5d-b337-0b983e2a1bb6"/>
    <ds:schemaRef ds:uri="46a23645-241a-47ac-87da-5d73648025b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2E0FB48-A555-4443-9DF2-F3F470D7E3B6}">
  <ds:schemaRefs>
    <ds:schemaRef ds:uri="526ef564-55ab-4f5d-b337-0b983e2a1bb6"/>
    <ds:schemaRef ds:uri="http://purl.org/dc/terms/"/>
    <ds:schemaRef ds:uri="http://schemas.microsoft.com/office/2006/documentManagement/types"/>
    <ds:schemaRef ds:uri="http://purl.org/dc/dcmitype/"/>
    <ds:schemaRef ds:uri="http://schemas.microsoft.com/office/infopath/2007/PartnerControls"/>
    <ds:schemaRef ds:uri="46a23645-241a-47ac-87da-5d73648025bd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69CE3F4-5954-4BB5-B1D7-63195A7A43E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Financing</vt:lpstr>
      <vt:lpstr>Equity</vt:lpstr>
      <vt:lpstr>S&amp;U</vt:lpstr>
      <vt:lpstr>S&amp;U (2)</vt:lpstr>
      <vt:lpstr>Bridge Financing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smiranda</dc:creator>
  <cp:keywords/>
  <dc:description/>
  <cp:lastModifiedBy>Santiago Miranda</cp:lastModifiedBy>
  <cp:revision/>
  <dcterms:created xsi:type="dcterms:W3CDTF">2025-12-21T22:18:00Z</dcterms:created>
  <dcterms:modified xsi:type="dcterms:W3CDTF">2026-03-06T02:26:19Z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0x010100A18B15478E148743978F0FC635B7AAAE</vt:lpwstr>
  </property>
  <property fmtid="{D5CDD505-2E9C-101B-9397-08002B2CF9AE}" pid="3" name="MediaServiceImageTags">
    <vt:lpwstr/>
  </property>
</Properties>
</file>